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504C6A99-2626-4DD1-88A0-96E36E663532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  <sheet name="0401" sheetId="22" r:id="rId9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8">'0401'!$B$2:$O$40</definedName>
    <definedName name="_xlnm.Print_Area" localSheetId="6">'0501'!$B$2:$O$40</definedName>
    <definedName name="_xlnm.Print_Area" localSheetId="5">Main!$B$2:$E$35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2" l="1"/>
  <c r="C7" i="22"/>
  <c r="C6" i="22"/>
  <c r="AF43" i="22"/>
  <c r="AD43" i="22"/>
  <c r="AD42" i="22"/>
  <c r="AF42" i="22" s="1"/>
  <c r="AF41" i="22"/>
  <c r="AD41" i="22"/>
  <c r="AF40" i="22"/>
  <c r="AD40" i="22"/>
  <c r="AF39" i="22"/>
  <c r="AD39" i="22"/>
  <c r="AD38" i="22"/>
  <c r="AF38" i="22" s="1"/>
  <c r="AF37" i="22"/>
  <c r="AD37" i="22"/>
  <c r="AF36" i="22"/>
  <c r="AD36" i="22"/>
  <c r="AF35" i="22"/>
  <c r="AD35" i="22"/>
  <c r="AD34" i="22"/>
  <c r="AF34" i="22" s="1"/>
  <c r="AF33" i="22"/>
  <c r="AD33" i="22"/>
  <c r="AF32" i="22"/>
  <c r="AD32" i="22"/>
  <c r="AF31" i="22"/>
  <c r="AD31" i="22"/>
  <c r="AD30" i="22"/>
  <c r="AF30" i="22" s="1"/>
  <c r="AD29" i="22"/>
  <c r="AD28" i="22"/>
  <c r="AD27" i="22"/>
  <c r="AD26" i="22"/>
  <c r="AF26" i="22" s="1"/>
  <c r="AD25" i="22"/>
  <c r="AD24" i="22"/>
  <c r="AD23" i="22"/>
  <c r="AD22" i="22"/>
  <c r="AF22" i="22" s="1"/>
  <c r="AF21" i="22"/>
  <c r="AD21" i="22"/>
  <c r="AF20" i="22"/>
  <c r="AD20" i="22"/>
  <c r="AF19" i="22"/>
  <c r="AD19" i="22"/>
  <c r="AD18" i="22"/>
  <c r="AF18" i="22" s="1"/>
  <c r="AF17" i="22"/>
  <c r="AD17" i="22"/>
  <c r="AF16" i="22"/>
  <c r="AD16" i="22"/>
  <c r="AF29" i="22" s="1"/>
  <c r="AF15" i="22"/>
  <c r="AD15" i="22"/>
  <c r="AD14" i="22"/>
  <c r="AF14" i="22" s="1"/>
  <c r="J11" i="22"/>
  <c r="J10" i="22"/>
  <c r="J9" i="22"/>
  <c r="J8" i="22"/>
  <c r="AC7" i="22"/>
  <c r="S7" i="22"/>
  <c r="L14" i="22" s="1"/>
  <c r="J7" i="22"/>
  <c r="J6" i="22"/>
  <c r="S5" i="22"/>
  <c r="C5" i="22"/>
  <c r="S4" i="22"/>
  <c r="AA14" i="22" s="1"/>
  <c r="C4" i="22"/>
  <c r="S3" i="22"/>
  <c r="S2" i="22"/>
  <c r="B2" i="22"/>
  <c r="R1" i="22"/>
  <c r="C7" i="10"/>
  <c r="C6" i="10"/>
  <c r="I14" i="2"/>
  <c r="AI14" i="22"/>
  <c r="AG14" i="22"/>
  <c r="AK14" i="22"/>
  <c r="AB14" i="22" s="1"/>
  <c r="I34" i="2"/>
  <c r="AC14" i="22" l="1"/>
  <c r="AA15" i="22"/>
  <c r="AF24" i="22"/>
  <c r="AF28" i="22"/>
  <c r="AF23" i="22"/>
  <c r="AF27" i="22"/>
  <c r="AF25" i="22"/>
  <c r="R1" i="3"/>
  <c r="R1" i="10"/>
  <c r="N6" i="22"/>
  <c r="N12" i="22"/>
  <c r="AG15" i="22"/>
  <c r="AI15" i="22"/>
  <c r="AK15" i="22"/>
  <c r="AB15" i="22" s="1"/>
  <c r="AC15" i="22" l="1"/>
  <c r="AA16" i="22"/>
  <c r="AE14" i="22"/>
  <c r="A1" i="9"/>
  <c r="AG16" i="22"/>
  <c r="AI16" i="22"/>
  <c r="AK16" i="22"/>
  <c r="AB16" i="22" s="1"/>
  <c r="AC16" i="22" l="1"/>
  <c r="AA17" i="22"/>
  <c r="AE15" i="22"/>
  <c r="J2" i="2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K17" i="22"/>
  <c r="AG17" i="22"/>
  <c r="AI17" i="22"/>
  <c r="AB17" i="22" s="1"/>
  <c r="AK37" i="11"/>
  <c r="AI30" i="11"/>
  <c r="AG23" i="11"/>
  <c r="AK30" i="11"/>
  <c r="AG18" i="11"/>
  <c r="AK29" i="11"/>
  <c r="AK27" i="11"/>
  <c r="AK42" i="11"/>
  <c r="AI38" i="11"/>
  <c r="AK24" i="11"/>
  <c r="AK20" i="11"/>
  <c r="AG28" i="11"/>
  <c r="AK38" i="11"/>
  <c r="AI39" i="11"/>
  <c r="AI34" i="11"/>
  <c r="AI27" i="11"/>
  <c r="AG26" i="11"/>
  <c r="AI15" i="11"/>
  <c r="AG43" i="11"/>
  <c r="AK25" i="11"/>
  <c r="AI14" i="11"/>
  <c r="AG33" i="11"/>
  <c r="AI16" i="11"/>
  <c r="AG27" i="11"/>
  <c r="AG14" i="11"/>
  <c r="AG19" i="11"/>
  <c r="AI19" i="11"/>
  <c r="AI23" i="11"/>
  <c r="AK16" i="11"/>
  <c r="AK28" i="11"/>
  <c r="AG38" i="11"/>
  <c r="AK17" i="11"/>
  <c r="AG24" i="11"/>
  <c r="AI20" i="11"/>
  <c r="AG35" i="11"/>
  <c r="AK41" i="11"/>
  <c r="AI40" i="11"/>
  <c r="AI35" i="11"/>
  <c r="AK40" i="11"/>
  <c r="AK39" i="11"/>
  <c r="AK33" i="11"/>
  <c r="AI37" i="11"/>
  <c r="AK31" i="11"/>
  <c r="AG34" i="11"/>
  <c r="AG41" i="11"/>
  <c r="AI29" i="11"/>
  <c r="AK23" i="11"/>
  <c r="AG30" i="11"/>
  <c r="AI25" i="11"/>
  <c r="AI17" i="11"/>
  <c r="AG31" i="11"/>
  <c r="AK43" i="11"/>
  <c r="AI42" i="11"/>
  <c r="AG42" i="11"/>
  <c r="AI21" i="11"/>
  <c r="AG21" i="11"/>
  <c r="AG25" i="11"/>
  <c r="AI36" i="11"/>
  <c r="AK21" i="11"/>
  <c r="AK34" i="11"/>
  <c r="AI26" i="11"/>
  <c r="AG15" i="11"/>
  <c r="AI41" i="11"/>
  <c r="AG16" i="11"/>
  <c r="AG40" i="11"/>
  <c r="AG20" i="11"/>
  <c r="AI28" i="11"/>
  <c r="AI22" i="11"/>
  <c r="AK18" i="11"/>
  <c r="AK35" i="11"/>
  <c r="AI32" i="11"/>
  <c r="AG37" i="11"/>
  <c r="AI43" i="11"/>
  <c r="AK26" i="11"/>
  <c r="AI18" i="11"/>
  <c r="AG39" i="11"/>
  <c r="AK15" i="11"/>
  <c r="AG22" i="11"/>
  <c r="AI24" i="11"/>
  <c r="AG29" i="11"/>
  <c r="AK14" i="11"/>
  <c r="AK32" i="11"/>
  <c r="AK19" i="11"/>
  <c r="AG32" i="11"/>
  <c r="AK36" i="11"/>
  <c r="AG36" i="11"/>
  <c r="AK22" i="11"/>
  <c r="AG17" i="11"/>
  <c r="AI33" i="11"/>
  <c r="AI31" i="11"/>
  <c r="O10" i="11"/>
  <c r="AC17" i="22" l="1"/>
  <c r="AE17" i="22" s="1"/>
  <c r="AE16" i="22"/>
  <c r="AA18" i="22"/>
  <c r="AF22" i="1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K18" i="22"/>
  <c r="AG18" i="22"/>
  <c r="AI18" i="22"/>
  <c r="AB18" i="22" s="1"/>
  <c r="AB20" i="11"/>
  <c r="AB19" i="11"/>
  <c r="AB32" i="11"/>
  <c r="N8" i="11"/>
  <c r="O9" i="11"/>
  <c r="AB35" i="11"/>
  <c r="O6" i="11"/>
  <c r="AB39" i="11"/>
  <c r="AB27" i="11"/>
  <c r="AB38" i="11"/>
  <c r="O8" i="11"/>
  <c r="AB24" i="11"/>
  <c r="AB15" i="11"/>
  <c r="AB42" i="11"/>
  <c r="AB29" i="11"/>
  <c r="AB16" i="11"/>
  <c r="AB37" i="11"/>
  <c r="N10" i="11"/>
  <c r="AB22" i="11"/>
  <c r="AB40" i="11"/>
  <c r="AB23" i="11"/>
  <c r="AB30" i="11"/>
  <c r="AB31" i="11"/>
  <c r="AB41" i="11"/>
  <c r="N11" i="11"/>
  <c r="AB43" i="11"/>
  <c r="AB17" i="11"/>
  <c r="AB25" i="11"/>
  <c r="AB34" i="11"/>
  <c r="AB14" i="11"/>
  <c r="AB18" i="11"/>
  <c r="N9" i="11"/>
  <c r="AB21" i="11"/>
  <c r="AB28" i="11"/>
  <c r="AB36" i="11"/>
  <c r="N12" i="11"/>
  <c r="AG15" i="10"/>
  <c r="AB33" i="11"/>
  <c r="AB26" i="11"/>
  <c r="N6" i="11"/>
  <c r="O7" i="11"/>
  <c r="AC18" i="22" l="1"/>
  <c r="AE18" i="22" s="1"/>
  <c r="AA19" i="22"/>
  <c r="O5" i="1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G19" i="22"/>
  <c r="AI19" i="22"/>
  <c r="AK19" i="22"/>
  <c r="AB19" i="22" s="1"/>
  <c r="AU35" i="10"/>
  <c r="AU44" i="10"/>
  <c r="AI27" i="10"/>
  <c r="AI22" i="10"/>
  <c r="AM28" i="10"/>
  <c r="AK26" i="10"/>
  <c r="AU20" i="10"/>
  <c r="AO39" i="10"/>
  <c r="AS26" i="10"/>
  <c r="AG21" i="10"/>
  <c r="AG29" i="10"/>
  <c r="AK24" i="10"/>
  <c r="AQ26" i="10"/>
  <c r="AM25" i="10"/>
  <c r="AQ40" i="10"/>
  <c r="AQ21" i="10"/>
  <c r="AM44" i="10"/>
  <c r="AG16" i="10"/>
  <c r="AI34" i="10"/>
  <c r="AO38" i="10"/>
  <c r="AG23" i="10"/>
  <c r="AG30" i="10"/>
  <c r="AG18" i="10"/>
  <c r="AG19" i="10"/>
  <c r="AS38" i="10"/>
  <c r="AO27" i="10"/>
  <c r="AS15" i="10"/>
  <c r="AU36" i="10"/>
  <c r="AG27" i="10"/>
  <c r="AS35" i="10"/>
  <c r="AU31" i="10"/>
  <c r="AU29" i="10"/>
  <c r="AO29" i="10"/>
  <c r="AK28" i="10"/>
  <c r="AM41" i="10"/>
  <c r="AQ29" i="10"/>
  <c r="AI42" i="10"/>
  <c r="AS28" i="10"/>
  <c r="AI18" i="10"/>
  <c r="AK37" i="10"/>
  <c r="AK27" i="10"/>
  <c r="AO40" i="10"/>
  <c r="AK41" i="10"/>
  <c r="AQ19" i="10"/>
  <c r="AI43" i="10"/>
  <c r="AG20" i="10"/>
  <c r="AQ33" i="10"/>
  <c r="AI39" i="10"/>
  <c r="AS19" i="10"/>
  <c r="AM30" i="10"/>
  <c r="N13" i="11"/>
  <c r="AM37" i="10"/>
  <c r="AO24" i="10"/>
  <c r="AS29" i="10"/>
  <c r="AK33" i="10"/>
  <c r="AU37" i="10"/>
  <c r="AI40" i="10"/>
  <c r="AG38" i="10"/>
  <c r="AO42" i="10"/>
  <c r="AG25" i="10"/>
  <c r="AM35" i="10"/>
  <c r="AQ14" i="10"/>
  <c r="AI24" i="10"/>
  <c r="AG37" i="10"/>
  <c r="AK34" i="10"/>
  <c r="AI15" i="10"/>
  <c r="AU25" i="10"/>
  <c r="AS45" i="10"/>
  <c r="AK18" i="10"/>
  <c r="AQ34" i="10"/>
  <c r="AI37" i="10"/>
  <c r="AS44" i="10"/>
  <c r="AI20" i="10"/>
  <c r="AM24" i="10"/>
  <c r="AI17" i="10"/>
  <c r="AI14" i="10"/>
  <c r="AG40" i="10"/>
  <c r="AO21" i="10"/>
  <c r="AO22" i="10"/>
  <c r="AI35" i="10"/>
  <c r="AK35" i="10"/>
  <c r="AQ38" i="10"/>
  <c r="AU32" i="10"/>
  <c r="AS25" i="10"/>
  <c r="AI45" i="10"/>
  <c r="N7" i="11"/>
  <c r="AU42" i="10"/>
  <c r="AI32" i="10"/>
  <c r="AK19" i="10"/>
  <c r="AU14" i="10"/>
  <c r="AS24" i="10"/>
  <c r="AI31" i="10"/>
  <c r="AO44" i="10"/>
  <c r="AO32" i="10"/>
  <c r="AS27" i="10"/>
  <c r="AS18" i="10"/>
  <c r="AO43" i="10"/>
  <c r="AO45" i="10"/>
  <c r="AK29" i="10"/>
  <c r="AI26" i="10"/>
  <c r="AO30" i="10"/>
  <c r="AM26" i="10"/>
  <c r="AQ24" i="10"/>
  <c r="AO41" i="10"/>
  <c r="AK14" i="10"/>
  <c r="AQ25" i="10"/>
  <c r="AQ30" i="10"/>
  <c r="AG24" i="10"/>
  <c r="AG35" i="10"/>
  <c r="AQ35" i="10"/>
  <c r="AI28" i="10"/>
  <c r="AU15" i="10"/>
  <c r="AM20" i="10"/>
  <c r="AG36" i="10"/>
  <c r="AU34" i="10"/>
  <c r="AG42" i="10"/>
  <c r="AU23" i="10"/>
  <c r="AO33" i="10"/>
  <c r="AO23" i="10"/>
  <c r="AS40" i="10"/>
  <c r="AM19" i="10"/>
  <c r="AQ41" i="10"/>
  <c r="AG22" i="10"/>
  <c r="AI16" i="10"/>
  <c r="AO18" i="10"/>
  <c r="AK36" i="10"/>
  <c r="AS30" i="10"/>
  <c r="AO25" i="10"/>
  <c r="AQ42" i="10"/>
  <c r="AM17" i="10"/>
  <c r="AU45" i="10"/>
  <c r="AI29" i="10"/>
  <c r="AO20" i="10"/>
  <c r="AU39" i="10"/>
  <c r="AS34" i="10"/>
  <c r="AM43" i="10"/>
  <c r="AO37" i="10"/>
  <c r="AM40" i="10"/>
  <c r="AK23" i="10"/>
  <c r="AK42" i="10"/>
  <c r="AM39" i="10"/>
  <c r="AO16" i="10"/>
  <c r="AK25" i="10"/>
  <c r="AI36" i="10"/>
  <c r="AU24" i="10"/>
  <c r="AQ44" i="10"/>
  <c r="AS20" i="10"/>
  <c r="AU40" i="10"/>
  <c r="AK44" i="10"/>
  <c r="AK20" i="10"/>
  <c r="AU43" i="10"/>
  <c r="AM45" i="10"/>
  <c r="AI19" i="10"/>
  <c r="AS14" i="10"/>
  <c r="AU22" i="10"/>
  <c r="AM16" i="10"/>
  <c r="AK38" i="10"/>
  <c r="AK21" i="10"/>
  <c r="AM36" i="10"/>
  <c r="AI30" i="10"/>
  <c r="AQ37" i="10"/>
  <c r="AM29" i="10"/>
  <c r="AG28" i="10"/>
  <c r="AU16" i="10"/>
  <c r="AS16" i="10"/>
  <c r="AS31" i="10"/>
  <c r="AQ27" i="10"/>
  <c r="AQ17" i="10"/>
  <c r="AI25" i="10"/>
  <c r="AO36" i="10"/>
  <c r="AS41" i="10"/>
  <c r="AM22" i="10"/>
  <c r="AU27" i="10"/>
  <c r="AU17" i="10"/>
  <c r="AO17" i="10"/>
  <c r="AK22" i="10"/>
  <c r="AS22" i="10"/>
  <c r="AS33" i="10"/>
  <c r="AI41" i="10"/>
  <c r="AQ43" i="10"/>
  <c r="AG14" i="10"/>
  <c r="AU33" i="10"/>
  <c r="AS43" i="10"/>
  <c r="AS21" i="10"/>
  <c r="AO31" i="10"/>
  <c r="AQ39" i="10"/>
  <c r="AO28" i="10"/>
  <c r="AK39" i="10"/>
  <c r="AS23" i="10"/>
  <c r="AG39" i="10"/>
  <c r="AU41" i="10"/>
  <c r="AG43" i="10"/>
  <c r="AQ18" i="10"/>
  <c r="AU19" i="10"/>
  <c r="AU26" i="10"/>
  <c r="AU21" i="10"/>
  <c r="AM14" i="10"/>
  <c r="AO26" i="10"/>
  <c r="AQ16" i="10"/>
  <c r="AG33" i="10"/>
  <c r="AI23" i="10"/>
  <c r="AQ45" i="10"/>
  <c r="AO15" i="10"/>
  <c r="AO19" i="10"/>
  <c r="AM34" i="10"/>
  <c r="AG45" i="10"/>
  <c r="AG17" i="10"/>
  <c r="AG44" i="10"/>
  <c r="AM23" i="10"/>
  <c r="AI33" i="10"/>
  <c r="AQ23" i="10"/>
  <c r="AQ31" i="10"/>
  <c r="AM42" i="10"/>
  <c r="AK17" i="10"/>
  <c r="AI44" i="10"/>
  <c r="AK40" i="10"/>
  <c r="AM38" i="10"/>
  <c r="AS17" i="10"/>
  <c r="AK45" i="10"/>
  <c r="AM18" i="10"/>
  <c r="AK43" i="10"/>
  <c r="AO14" i="10"/>
  <c r="AK16" i="10"/>
  <c r="AK31" i="10"/>
  <c r="AO34" i="10"/>
  <c r="AG32" i="10"/>
  <c r="AG41" i="10"/>
  <c r="AS32" i="10"/>
  <c r="AQ22" i="10"/>
  <c r="AG31" i="10"/>
  <c r="AM32" i="10"/>
  <c r="AO35" i="10"/>
  <c r="AU30" i="10"/>
  <c r="AS39" i="10"/>
  <c r="AQ20" i="10"/>
  <c r="AQ15" i="10"/>
  <c r="AG34" i="10"/>
  <c r="AM15" i="10"/>
  <c r="AK15" i="10"/>
  <c r="AQ28" i="10"/>
  <c r="AI21" i="10"/>
  <c r="AS37" i="10"/>
  <c r="AS36" i="10"/>
  <c r="AK32" i="10"/>
  <c r="AG26" i="10"/>
  <c r="AQ32" i="10"/>
  <c r="AM21" i="10"/>
  <c r="AU28" i="10"/>
  <c r="AI38" i="10"/>
  <c r="AM31" i="10"/>
  <c r="AU18" i="10"/>
  <c r="AU38" i="10"/>
  <c r="AQ36" i="10"/>
  <c r="AS42" i="10"/>
  <c r="AK30" i="10"/>
  <c r="AM27" i="10"/>
  <c r="AM33" i="10"/>
  <c r="O10" i="10"/>
  <c r="AC19" i="22" l="1"/>
  <c r="AA20" i="22"/>
  <c r="AF16" i="10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G20" i="22"/>
  <c r="AI20" i="22"/>
  <c r="AK20" i="22"/>
  <c r="AB20" i="22" s="1"/>
  <c r="AB26" i="10"/>
  <c r="AB32" i="10"/>
  <c r="AB19" i="10"/>
  <c r="N9" i="10"/>
  <c r="O7" i="10"/>
  <c r="AB42" i="10"/>
  <c r="AB31" i="10"/>
  <c r="AB29" i="10"/>
  <c r="N8" i="10"/>
  <c r="AB39" i="10"/>
  <c r="N11" i="10"/>
  <c r="AB21" i="10"/>
  <c r="AB45" i="10"/>
  <c r="AB23" i="10"/>
  <c r="AB35" i="10"/>
  <c r="AB30" i="10"/>
  <c r="AB14" i="10"/>
  <c r="N10" i="10"/>
  <c r="AB33" i="10"/>
  <c r="O9" i="10"/>
  <c r="AB22" i="10"/>
  <c r="AB16" i="10"/>
  <c r="AB24" i="10"/>
  <c r="AB27" i="10"/>
  <c r="AB15" i="10"/>
  <c r="AB43" i="10"/>
  <c r="AB44" i="10"/>
  <c r="AB41" i="10"/>
  <c r="N12" i="10"/>
  <c r="AB25" i="10"/>
  <c r="O8" i="10"/>
  <c r="AB34" i="10"/>
  <c r="O6" i="10"/>
  <c r="AB36" i="10"/>
  <c r="AB37" i="10"/>
  <c r="N6" i="10"/>
  <c r="AB28" i="10"/>
  <c r="O11" i="11"/>
  <c r="AB20" i="10"/>
  <c r="AB40" i="10"/>
  <c r="AB38" i="10"/>
  <c r="AB18" i="10"/>
  <c r="AB17" i="10"/>
  <c r="AC20" i="22" l="1"/>
  <c r="AE20" i="22"/>
  <c r="AE19" i="22"/>
  <c r="AA21" i="22"/>
  <c r="AE15" i="10"/>
  <c r="O5" i="10"/>
  <c r="E17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AK21" i="22"/>
  <c r="AG21" i="22"/>
  <c r="AI21" i="22"/>
  <c r="AB21" i="22" s="1"/>
  <c r="N7" i="10"/>
  <c r="AC21" i="22" l="1"/>
  <c r="AA22" i="22"/>
  <c r="AF25" i="3"/>
  <c r="AF27" i="3"/>
  <c r="AF26" i="3"/>
  <c r="AF28" i="3"/>
  <c r="AF29" i="3"/>
  <c r="V3" i="10"/>
  <c r="N5" i="10"/>
  <c r="D17" i="2" s="1"/>
  <c r="AF15" i="3"/>
  <c r="AF16" i="3"/>
  <c r="AF18" i="3"/>
  <c r="AF19" i="3"/>
  <c r="AF17" i="3"/>
  <c r="AF20" i="3"/>
  <c r="AF21" i="3"/>
  <c r="AF22" i="3"/>
  <c r="AF23" i="3"/>
  <c r="AF24" i="3"/>
  <c r="AG22" i="22"/>
  <c r="AI22" i="22"/>
  <c r="AK22" i="22"/>
  <c r="AB22" i="22" s="1"/>
  <c r="O11" i="10"/>
  <c r="N13" i="10"/>
  <c r="AC22" i="22" l="1"/>
  <c r="AA23" i="22"/>
  <c r="AE21" i="22"/>
  <c r="V2" i="10"/>
  <c r="AI23" i="22"/>
  <c r="AK23" i="22"/>
  <c r="AG23" i="22"/>
  <c r="AB23" i="22"/>
  <c r="AC23" i="22" l="1"/>
  <c r="AA24" i="22"/>
  <c r="AE22" i="22"/>
  <c r="S4" i="3"/>
  <c r="AG24" i="22"/>
  <c r="AI24" i="22"/>
  <c r="AK24" i="22"/>
  <c r="AB24" i="22" s="1"/>
  <c r="AC24" i="22" l="1"/>
  <c r="AA25" i="22"/>
  <c r="AE23" i="22"/>
  <c r="S5" i="3"/>
  <c r="AG25" i="22"/>
  <c r="AI25" i="22"/>
  <c r="AK25" i="22"/>
  <c r="AB25" i="22" s="1"/>
  <c r="AC25" i="22" l="1"/>
  <c r="AA26" i="22"/>
  <c r="AE24" i="22"/>
  <c r="AA14" i="3"/>
  <c r="J11" i="3"/>
  <c r="J10" i="3"/>
  <c r="J9" i="3"/>
  <c r="J8" i="3"/>
  <c r="J7" i="3"/>
  <c r="J6" i="3"/>
  <c r="AG26" i="22"/>
  <c r="AI26" i="22"/>
  <c r="AK26" i="22"/>
  <c r="AB26" i="22" s="1"/>
  <c r="AI14" i="3"/>
  <c r="AG14" i="3"/>
  <c r="AK14" i="3"/>
  <c r="AC26" i="22" l="1"/>
  <c r="AE25" i="22"/>
  <c r="AA27" i="22"/>
  <c r="AC14" i="3"/>
  <c r="AA15" i="3"/>
  <c r="S7" i="3"/>
  <c r="L14" i="3" s="1"/>
  <c r="S3" i="3"/>
  <c r="S2" i="3"/>
  <c r="AG27" i="22"/>
  <c r="AI27" i="22"/>
  <c r="AK27" i="22"/>
  <c r="AB27" i="22" s="1"/>
  <c r="AB14" i="3"/>
  <c r="AI15" i="3"/>
  <c r="AG15" i="3"/>
  <c r="AK15" i="3"/>
  <c r="N12" i="3"/>
  <c r="AC27" i="22" l="1"/>
  <c r="AA28" i="22"/>
  <c r="AE26" i="22"/>
  <c r="AC15" i="3"/>
  <c r="AE15" i="3" s="1"/>
  <c r="AE14" i="3"/>
  <c r="AA16" i="3"/>
  <c r="B2" i="3"/>
  <c r="C5" i="3"/>
  <c r="C4" i="3"/>
  <c r="AG28" i="22"/>
  <c r="AI28" i="22"/>
  <c r="AK28" i="22"/>
  <c r="AB28" i="22" s="1"/>
  <c r="AB15" i="3"/>
  <c r="AI16" i="3"/>
  <c r="N6" i="3"/>
  <c r="AK16" i="3"/>
  <c r="AG16" i="3"/>
  <c r="AC28" i="22" l="1"/>
  <c r="AA29" i="22"/>
  <c r="AE27" i="22"/>
  <c r="AC16" i="3"/>
  <c r="AA17" i="3"/>
  <c r="O8" i="22"/>
  <c r="O7" i="22"/>
  <c r="O9" i="22"/>
  <c r="O10" i="22"/>
  <c r="AG29" i="22"/>
  <c r="AI29" i="22"/>
  <c r="AK29" i="22"/>
  <c r="AB29" i="22" s="1"/>
  <c r="AG17" i="3"/>
  <c r="AI17" i="3"/>
  <c r="AB16" i="3"/>
  <c r="AK17" i="3"/>
  <c r="AC29" i="22" l="1"/>
  <c r="AA30" i="22"/>
  <c r="AE28" i="22"/>
  <c r="AC17" i="3"/>
  <c r="AE16" i="3"/>
  <c r="AA18" i="3"/>
  <c r="B8" i="2"/>
  <c r="B7" i="2"/>
  <c r="B6" i="2"/>
  <c r="AG30" i="22"/>
  <c r="AI30" i="22"/>
  <c r="AK30" i="22"/>
  <c r="AB30" i="22" s="1"/>
  <c r="N8" i="22"/>
  <c r="N10" i="22"/>
  <c r="AI18" i="3"/>
  <c r="AB17" i="3"/>
  <c r="AK18" i="3"/>
  <c r="AG18" i="3"/>
  <c r="AC30" i="22" l="1"/>
  <c r="AE29" i="22"/>
  <c r="AA31" i="22"/>
  <c r="AC18" i="3"/>
  <c r="AA19" i="3"/>
  <c r="AE17" i="3"/>
  <c r="B2" i="2"/>
  <c r="B4" i="2"/>
  <c r="N7" i="22"/>
  <c r="AG31" i="22"/>
  <c r="AI31" i="22"/>
  <c r="AK31" i="22"/>
  <c r="AB31" i="22" s="1"/>
  <c r="AI19" i="3"/>
  <c r="AB18" i="3"/>
  <c r="AK19" i="3"/>
  <c r="AG19" i="3"/>
  <c r="AC31" i="22" l="1"/>
  <c r="N5" i="22"/>
  <c r="AE30" i="22"/>
  <c r="AA32" i="22"/>
  <c r="AC19" i="3"/>
  <c r="AE18" i="3"/>
  <c r="AA20" i="3"/>
  <c r="C6" i="1"/>
  <c r="AG32" i="22"/>
  <c r="AI32" i="22"/>
  <c r="AK32" i="22"/>
  <c r="AB32" i="22" s="1"/>
  <c r="AK20" i="3"/>
  <c r="AI20" i="3"/>
  <c r="AB19" i="3"/>
  <c r="AG20" i="3"/>
  <c r="AC32" i="22" l="1"/>
  <c r="AA33" i="22"/>
  <c r="D14" i="2"/>
  <c r="V2" i="22"/>
  <c r="AE31" i="22"/>
  <c r="AC20" i="3"/>
  <c r="AE20" i="3" s="1"/>
  <c r="AA21" i="3"/>
  <c r="AE19" i="3"/>
  <c r="AK33" i="22"/>
  <c r="AG33" i="22"/>
  <c r="AI33" i="22"/>
  <c r="AB33" i="22" s="1"/>
  <c r="AG21" i="3"/>
  <c r="AB20" i="3"/>
  <c r="AK21" i="3"/>
  <c r="AI21" i="3"/>
  <c r="AC33" i="22" l="1"/>
  <c r="AA34" i="22"/>
  <c r="AE32" i="22"/>
  <c r="AC21" i="3"/>
  <c r="AA22" i="3"/>
  <c r="AG34" i="22"/>
  <c r="AI34" i="22"/>
  <c r="AK34" i="22"/>
  <c r="AB34" i="22" s="1"/>
  <c r="AB21" i="3"/>
  <c r="AK22" i="3"/>
  <c r="AI22" i="3"/>
  <c r="AG22" i="3"/>
  <c r="AC34" i="22" l="1"/>
  <c r="AA35" i="22"/>
  <c r="AE33" i="22"/>
  <c r="AC22" i="3"/>
  <c r="AE22" i="3" s="1"/>
  <c r="AA23" i="3"/>
  <c r="AE21" i="3"/>
  <c r="AG35" i="22"/>
  <c r="AI35" i="22"/>
  <c r="AK35" i="22"/>
  <c r="AB35" i="22" s="1"/>
  <c r="AK23" i="3"/>
  <c r="AI23" i="3"/>
  <c r="AB22" i="3"/>
  <c r="AG23" i="3"/>
  <c r="AC35" i="22" l="1"/>
  <c r="AA36" i="22"/>
  <c r="AE34" i="22"/>
  <c r="AC23" i="3"/>
  <c r="AA24" i="3"/>
  <c r="AG36" i="22"/>
  <c r="AI36" i="22"/>
  <c r="AK36" i="22"/>
  <c r="AB36" i="22" s="1"/>
  <c r="AK24" i="3"/>
  <c r="AB23" i="3"/>
  <c r="AI24" i="3"/>
  <c r="AG24" i="3"/>
  <c r="AC36" i="22" l="1"/>
  <c r="AA37" i="22"/>
  <c r="AE35" i="22"/>
  <c r="AC24" i="3"/>
  <c r="AE23" i="3"/>
  <c r="AA25" i="3"/>
  <c r="AG37" i="22"/>
  <c r="AI37" i="22"/>
  <c r="AK37" i="22"/>
  <c r="AB37" i="22" s="1"/>
  <c r="AG25" i="3"/>
  <c r="AB24" i="3"/>
  <c r="AI25" i="3"/>
  <c r="AK25" i="3"/>
  <c r="AC37" i="22" l="1"/>
  <c r="AA38" i="22"/>
  <c r="AE36" i="22"/>
  <c r="AC25" i="3"/>
  <c r="AA26" i="3"/>
  <c r="AE24" i="3"/>
  <c r="AG38" i="22"/>
  <c r="AI38" i="22"/>
  <c r="AK38" i="22"/>
  <c r="AB38" i="22" s="1"/>
  <c r="AB25" i="3"/>
  <c r="AG26" i="3"/>
  <c r="AI26" i="3"/>
  <c r="AK26" i="3"/>
  <c r="AC38" i="22" l="1"/>
  <c r="AA39" i="22"/>
  <c r="AE37" i="22"/>
  <c r="AC26" i="3"/>
  <c r="AA27" i="3"/>
  <c r="AE25" i="3"/>
  <c r="AG39" i="22"/>
  <c r="AI39" i="22"/>
  <c r="AK39" i="22"/>
  <c r="AB39" i="22" s="1"/>
  <c r="AI27" i="3"/>
  <c r="AB26" i="3"/>
  <c r="AG27" i="3"/>
  <c r="AK27" i="3"/>
  <c r="AC39" i="22" l="1"/>
  <c r="AA40" i="22"/>
  <c r="AE38" i="22"/>
  <c r="AC27" i="3"/>
  <c r="AA28" i="3"/>
  <c r="AE26" i="3"/>
  <c r="AG40" i="22"/>
  <c r="AI40" i="22"/>
  <c r="AK40" i="22"/>
  <c r="AB40" i="22" s="1"/>
  <c r="AI28" i="3"/>
  <c r="AB27" i="3"/>
  <c r="AK28" i="3"/>
  <c r="AG28" i="3"/>
  <c r="AC40" i="22" l="1"/>
  <c r="AA41" i="22"/>
  <c r="AE39" i="22"/>
  <c r="AC28" i="3"/>
  <c r="AA29" i="3"/>
  <c r="AE27" i="3"/>
  <c r="AG41" i="22"/>
  <c r="AI41" i="22"/>
  <c r="AK41" i="22"/>
  <c r="AB41" i="22" s="1"/>
  <c r="AI29" i="3"/>
  <c r="AB28" i="3"/>
  <c r="AK29" i="3"/>
  <c r="AG29" i="3"/>
  <c r="AC41" i="22" l="1"/>
  <c r="AA42" i="22"/>
  <c r="AE40" i="22"/>
  <c r="AC29" i="3"/>
  <c r="AA30" i="3"/>
  <c r="AE28" i="3"/>
  <c r="AG42" i="22"/>
  <c r="AI42" i="22"/>
  <c r="AK42" i="22"/>
  <c r="AB42" i="22" s="1"/>
  <c r="AI30" i="3"/>
  <c r="AG30" i="3"/>
  <c r="AB29" i="3"/>
  <c r="AK30" i="3"/>
  <c r="AC42" i="22" l="1"/>
  <c r="AA43" i="22"/>
  <c r="AE41" i="22"/>
  <c r="AC30" i="3"/>
  <c r="AA31" i="3"/>
  <c r="AE29" i="3"/>
  <c r="AG43" i="22"/>
  <c r="AI43" i="22"/>
  <c r="AK43" i="22"/>
  <c r="AB43" i="22" s="1"/>
  <c r="AB30" i="3"/>
  <c r="AK31" i="3"/>
  <c r="AG31" i="3"/>
  <c r="AI31" i="3"/>
  <c r="AC43" i="22" l="1"/>
  <c r="AE42" i="22"/>
  <c r="AC31" i="3"/>
  <c r="AA32" i="3"/>
  <c r="AE30" i="3"/>
  <c r="N11" i="22"/>
  <c r="O6" i="22"/>
  <c r="N9" i="22"/>
  <c r="AK32" i="3"/>
  <c r="AI32" i="3"/>
  <c r="AG32" i="3"/>
  <c r="AB31" i="3"/>
  <c r="O5" i="22" l="1"/>
  <c r="AE43" i="22"/>
  <c r="AC32" i="3"/>
  <c r="AA33" i="3"/>
  <c r="AE31" i="3"/>
  <c r="AI33" i="3"/>
  <c r="AB32" i="3"/>
  <c r="AG33" i="3"/>
  <c r="AK33" i="3"/>
  <c r="E14" i="2" l="1"/>
  <c r="V3" i="22"/>
  <c r="AC33" i="3"/>
  <c r="AA34" i="3"/>
  <c r="AE32" i="3"/>
  <c r="O11" i="22"/>
  <c r="N13" i="22"/>
  <c r="AG34" i="3"/>
  <c r="AK34" i="3"/>
  <c r="AI34" i="3"/>
  <c r="AB33" i="3"/>
  <c r="AC34" i="3" l="1"/>
  <c r="AA35" i="3"/>
  <c r="AE33" i="3"/>
  <c r="AG35" i="3"/>
  <c r="AK35" i="3"/>
  <c r="AB34" i="3"/>
  <c r="AI35" i="3"/>
  <c r="AC35" i="3" l="1"/>
  <c r="AA36" i="3"/>
  <c r="AE34" i="3"/>
  <c r="AI36" i="3"/>
  <c r="AK36" i="3"/>
  <c r="AB35" i="3"/>
  <c r="AG36" i="3"/>
  <c r="AC36" i="3" l="1"/>
  <c r="AA37" i="3"/>
  <c r="AE35" i="3"/>
  <c r="AK37" i="3"/>
  <c r="AG37" i="3"/>
  <c r="AB36" i="3"/>
  <c r="AI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G39" i="3"/>
  <c r="AK39" i="3"/>
  <c r="AC39" i="3" l="1"/>
  <c r="AA40" i="3"/>
  <c r="AE38" i="3"/>
  <c r="AK40" i="3"/>
  <c r="AB39" i="3"/>
  <c r="AG40" i="3"/>
  <c r="AI40" i="3"/>
  <c r="AC40" i="3" l="1"/>
  <c r="AA41" i="3"/>
  <c r="AE39" i="3"/>
  <c r="AG41" i="3"/>
  <c r="AK41" i="3"/>
  <c r="AB40" i="3"/>
  <c r="AI41" i="3"/>
  <c r="AC41" i="3" l="1"/>
  <c r="AA42" i="3"/>
  <c r="AE40" i="3"/>
  <c r="AI42" i="3"/>
  <c r="AG42" i="3"/>
  <c r="AB41" i="3"/>
  <c r="AK42" i="3"/>
  <c r="AC42" i="3" l="1"/>
  <c r="AA43" i="3"/>
  <c r="AE41" i="3"/>
  <c r="AG43" i="3"/>
  <c r="N7" i="3"/>
  <c r="O10" i="3"/>
  <c r="N10" i="3"/>
  <c r="O7" i="3"/>
  <c r="O8" i="3"/>
  <c r="AB42" i="3"/>
  <c r="O9" i="3"/>
  <c r="N8" i="3"/>
  <c r="AK43" i="3"/>
  <c r="AI43" i="3"/>
  <c r="N5" i="3" l="1"/>
  <c r="V2" i="3" s="1"/>
  <c r="AC43" i="3"/>
  <c r="AE42" i="3"/>
  <c r="O6" i="3"/>
  <c r="AB43" i="3"/>
  <c r="N9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3B9A7D78-ED6F-4768-A9BC-7AEBE15AB5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03D3A8AD-07EE-4DD2-8142-18DB81859B5B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<sst xmlns="http://schemas.openxmlformats.org/spreadsheetml/2006/main" count="585" uniqueCount="165">
  <si>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</si>
  <si>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</si>
  <si>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</si>
  <si>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</si>
  <si>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</si>
  <si>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</si>
  <si>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</si>
  <si>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</si>
  <si>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</si>
  <si>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</si>
  <si>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</si>
  <si>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</si>
  <si>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</si>
  <si>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</si>
  <si>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</si>
  <si>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</si>
  <si>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</si>
  <si>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</si>
  <si>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</si>
  <si>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</si>
  <si>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</si>
  <si>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</si>
  <si>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</si>
  <si>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</si>
  <si>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</si>
  <si>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</si>
  <si>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</si>
  <si>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</si>
  <si>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</si>
  <si>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</si>
  <si>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</si>
  <si>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</si>
  <si>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</si>
  <si>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</si>
  <si>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</si>
  <si>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</si>
  <si>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</si>
  <si>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</si>
  <si>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</si>
  <si>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</si>
  <si>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</si>
  <si>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</si>
  <si>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</si>
  <si>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</si>
  <si>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</si>
  <si>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</si>
  <si>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</si>
  <si>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</si>
  <si>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</si>
  <si>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</si>
  <si>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</si>
  <si>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</si>
  <si>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</si>
  <si>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</si>
  <si>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</si>
  <si>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</si>
  <si>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</si>
  <si>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</si>
  <si>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</si>
  <si>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</si>
  <si>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</si>
  <si>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</si>
  <si>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</si>
  <si>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</si>
  <si>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</si>
  <si>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</si>
  <si>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</si>
  <si>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</si>
  <si>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</si>
  <si>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</si>
  <si>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</si>
  <si>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</si>
  <si>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</si>
  <si>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</si>
  <si>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</si>
  <si>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</si>
  <si>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</si>
  <si>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</si>
  <si>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</si>
  <si>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</si>
  <si>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</si>
  <si>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</si>
  <si>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</si>
  <si>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</si>
  <si>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</si>
  <si>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</si>
  <si>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</si>
  <si>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</si>
  <si>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</si>
  <si>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</si>
  <si>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</si>
  <si>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</si>
  <si>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</si>
  <si>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</si>
  <si>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</si>
  <si>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</si>
  <si>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</si>
  <si>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</si>
  <si>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</si>
  <si>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</si>
  <si>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</si>
  <si>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</si>
  <si>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</si>
  <si>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</si>
  <si>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</si>
  <si>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</si>
  <si>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</si>
  <si>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</si>
  <si>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</si>
  <si>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</si>
  <si>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</si>
  <si>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</si>
  <si>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</si>
  <si>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</si>
  <si>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</si>
  <si>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</si>
  <si>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</si>
  <si>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</si>
  <si>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</si>
  <si>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</si>
  <si>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</si>
  <si>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</si>
  <si>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</si>
  <si>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</si>
  <si>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</si>
  <si>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</si>
  <si>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</si>
  <si>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</si>
  <si>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</si>
  <si>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</si>
  <si>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</si>
  <si>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</si>
  <si>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</si>
  <si>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</si>
  <si>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</si>
  <si>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</si>
  <si>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</si>
  <si>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</si>
  <si>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</si>
  <si>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</si>
  <si>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</si>
  <si>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</si>
  <si>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</si>
  <si>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</si>
  <si>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</si>
  <si>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</si>
  <si>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</si>
  <si>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</si>
  <si>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</si>
  <si>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</si>
  <si>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</si>
  <si>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</si>
  <si>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</si>
  <si>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</si>
  <si>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</si>
  <si>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</si>
  <si>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</si>
  <si>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</si>
  <si>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</si>
  <si>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</si>
  <si>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</si>
  <si>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</si>
  <si>
    <t>01  some trade</t>
  </si>
  <si>
    <t>some sub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</si>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</sst>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1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10" fillId="0" borderId="0" xfId="0" applyFont="1"/>
    <xf numFmtId="0" fontId="9" fillId="0" borderId="0" xfId="0" applyFont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1" fillId="0" borderId="0" xfId="3" applyNumberFormat="1"/>
    <xf numFmtId="0" fontId="21" fillId="0" borderId="0" xfId="3" applyAlignment="1">
      <alignment horizontal="right"/>
    </xf>
    <xf numFmtId="10" fontId="9" fillId="0" borderId="0" xfId="0" applyNumberFormat="1" applyFont="1"/>
    <xf numFmtId="0" fontId="10" fillId="0" borderId="0" xfId="0" applyNumberFormat="1" applyFont="1"/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2D2DC2F-9A12-4AE7-BA60-9C64D95773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AF13B9-C61F-4095-9995-D90A0B6FC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370196-9EB6-4299-8D6C-E3E2F0D39A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77B8DE-B73B-467D-904D-2B94E5FBE3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458D41-2A36-4A73-A18A-CD992CA513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44588D-1414-46EF-A62A-8DCDFF87FC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8E612B-BD47-4340-B3E7-BB51C86FB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14FE64-0736-437D-8E5F-4E33A1B6A3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71659A-3DE3-42FB-BD83-14D95C2DD3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2FF7C0-5BE1-4A00-B61F-50BFACE1FD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C9C90C-2B76-4B7E-B94D-026A170533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91A977-1DF9-42AC-8BC5-BED905AB3B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B71C3F-70AB-4796-BBC3-00136812AD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390B9C-C38A-4884-AA3E-AAAC41204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679B77-83A4-4550-8D26-E7DDD4B76D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78A5FD-04EF-463F-98C7-FA4D59DBC9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B77A92-5247-4560-9A10-1D0F68F374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9F5D20-7FED-4EDE-B96D-F4F180AE93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1D0121-316F-471C-85FB-832F8FFF7E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6BED57-0EDF-4B37-903A-97D4F04E43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A03F52-493D-49FE-AD41-DF490AEA6A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E7469B-D28B-44EB-AFBE-B6FF80485D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8BA9D2-13D6-4F05-8AF5-5970D24BA4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5E48BB-1D3D-4CF2-B33D-2B2E7D6662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148E0F-2101-4CCF-9106-BF770631E9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A7131A-4740-41FE-A41E-ADEB98A023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CC349C-A627-4F47-87CC-10D427E966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73D2B8-E86F-4EE5-9318-803254AA5E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820112-9185-47C9-8E71-AAD0D26CD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5040F4-1883-4726-8ABD-B55A5021D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712B44F-7CCD-4893-B4BA-0CF1D09C6C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B386E5-0FC9-4233-9018-A94843518C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82B737-4F92-48FC-83EB-BB762B063E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DAA6E8-3545-4BB7-8484-E3401C7007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57004D-7546-4034-9E18-ADE5BA5C6B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D566EB-9CB3-425B-AB1E-E9CAA55CA5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BD1797-EA95-4D43-98BC-A14D5F476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0E6424-FCF0-44A1-9FFF-E892CEDA9C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378851-324F-4E6B-8261-D6E5A405A3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61CA2F-BD47-4C15-BDD3-BF44F64B9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68E7FE-86C6-47FD-9201-D86D51AD62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1F2DA8-54BB-4E28-AFA9-22CCCAB581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42E477-FFE6-4289-A3BD-1D6951F3CF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27B807-B9AD-444E-B81F-C7B0204153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F0BB9A-E9EE-4BD6-8DB8-19E1A0C930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CDFCC5-72F8-40D6-8781-EE2197D460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849DAE-C332-4C24-BC50-E47F773A5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67C92F-2FC4-4F1A-8EF4-A7C1BC33DA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944C38-321A-4981-A802-E9681B7320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63C530-5B4F-446D-A7BE-7C97197041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7EB7D2-4F3F-4EE6-A0E5-ADAAD0951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711D40-FC78-4587-9E1D-EC5EE3F31F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601BC3-4D32-40B7-89B1-83CF062B24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457D68-5473-4E2C-B23A-AF6D78DDEC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248CCA-2BE4-4573-A64D-DFB91EE001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1458E9-8D3E-4E36-BE05-217E7DBD62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C3F166-59C6-4C87-91BC-6FB1EF217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55A495-3624-48D8-AB89-8C23C88DA2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A2B7B8-C1F3-4B9E-9515-8D4C065C42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744030-47CD-4396-A694-83E1A74438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66E615-D9DA-4C89-A9B2-E58126D52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8ACF86-8D5E-4614-BC6D-9830E58C0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726D45-F01A-41EC-A022-947CC3A92B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AAC35C-1666-44F2-9756-92A7B41E11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3FECA6-CDD8-4195-BF39-CF3E27A3B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8F41C1-2269-4976-B95D-8597004A6D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6F106-6DEA-4275-A531-9B12DF755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2FC9D5-831A-46F2-9341-12B0241D45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684F9C-8FE1-46B0-B9B5-2BE3665D8C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11A039-B49C-4BC9-ADF6-8D3FE4089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250264-3A24-4FC2-B3B0-833D926BAD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B6B8F1-1A2E-4A5D-9DB8-FEDF7F47F1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55A26E-AACC-4453-9CC0-415E2EE463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26C16B-100F-49A8-99A7-32CD20668D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F025F5-D0D7-4C7C-BF80-3BA95F3A2D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430E64-680A-4395-95FE-C11C5CF46F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981CF2-65F5-45B9-A2BA-ECFBE11232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BAE017-7A0C-439A-A111-E0651FE9FA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407B60-5918-4CB1-9425-210F62CB6D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660354-F487-4258-B58E-00701F6C9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DE78AC-2FA4-47E6-BAAC-04EDCA10CD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3E0387-0B64-4337-8FF2-C2211288E9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85C7CE-2700-477E-B0FE-731DCFB73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A0C7ED-8F47-489D-9CA9-1951B65380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142B76-44A1-4F21-B22B-741E66680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5BD80C-FB07-4632-A249-D5C6874638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ED5817-6B57-467B-A6C3-301F903743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C26019-086E-4771-9FD0-49D7DBD0E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01CEB8-C3AE-4797-AF64-163DC9CAC2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F7FC7F-0B6D-4FE9-93EF-B68903052F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5297C8-B6B3-4CEE-B5A5-BD3589B1A3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2C8DAE-7DD2-438D-B82F-40EE9CCFBC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'0401'!$AC$13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52D3947-35CC-49D1-BC30-4F45A4F2A0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0F-48CB-AAD5-EB1A601A58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38CE3F-C3A4-4EAA-8B88-07F10382E1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0F-48CB-AAD5-EB1A601A58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34359F-73EB-4AB6-98AF-1EB6B477E1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0F-48CB-AAD5-EB1A601A58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4406E7-1714-44B4-866D-4C034CBB29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0F-48CB-AAD5-EB1A601A58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BE1ED5-FE64-409E-8E5D-3E5886D9E7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0F-48CB-AAD5-EB1A601A58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1D98E8-EE7B-4EE7-B5E1-901FE5CBFD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0F-48CB-AAD5-EB1A601A58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C2E144-02D3-421C-811C-40B6EBF920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0F-48CB-AAD5-EB1A601A58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E94B20-98E6-4182-BD1C-F53A6138B3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0F-48CB-AAD5-EB1A601A58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CF46F1-809D-4CF2-A3A4-480FBC7775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0F-48CB-AAD5-EB1A601A58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F1045E-B8B7-4372-BA74-57A19A732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0F-48CB-AAD5-EB1A601A58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227053-3DF7-4ECA-BB4B-BEF2C6EE83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0F-48CB-AAD5-EB1A601A58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5D486D-97DA-42CC-BEF2-947136877A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0F-48CB-AAD5-EB1A601A58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129FE8-6B05-45EF-AF52-0FDF359C63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0F-48CB-AAD5-EB1A601A58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D83D07-B975-4CD8-987D-BF568AD5AB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0F-48CB-AAD5-EB1A601A58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6614E6-7BC9-4BEB-9F27-055349372E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0F-48CB-AAD5-EB1A601A58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BB82B8-15DA-4810-9FF3-732701F3A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0F-48CB-AAD5-EB1A601A58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6E21D1-89E7-4D80-AC85-D1CEFF02A8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0F-48CB-AAD5-EB1A601A58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A4D815-A664-4C39-ABBB-2E9AA003D8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0F-48CB-AAD5-EB1A601A58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3448F1-993F-46CE-9D9A-7760FE564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0F-48CB-AAD5-EB1A601A58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97851A-5E2C-4B1A-B807-EBD510E465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0F-48CB-AAD5-EB1A601A58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1EF6F8-DEDB-4382-8CCA-A1B546AC32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0F-48CB-AAD5-EB1A601A58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A9A8FF-D28B-4558-B1F8-C15481AAA7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0F-48CB-AAD5-EB1A601A58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B97F3D-4E26-4CDC-B9FB-CC21FF90EF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0F-48CB-AAD5-EB1A601A58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42C940-856B-4FD5-A0A0-274558A5B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0F-48CB-AAD5-EB1A601A58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573DD5-6FAE-4EF9-AE94-BE0CAA335C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0F-48CB-AAD5-EB1A601A58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75385B-7F23-4CDB-8574-8727C800D6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0F-48CB-AAD5-EB1A601A58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FD50BE-2CA2-4BCE-A229-966BFD8CAE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0F-48CB-AAD5-EB1A601A58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5F0925-E3A3-4714-9F2D-053E742ECE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0F-48CB-AAD5-EB1A601A58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96E7BF-8292-4D02-9D51-7DA7BBA106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0F-48CB-AAD5-EB1A601A58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7FBF2C-B888-4BC0-B19F-72C377F78E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0F-48CB-AAD5-EB1A601A58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A0F-48CB-AAD5-EB1A601A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'0401'!$AB$14:$AB$44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6A0F-48CB-AAD5-EB1A601A581A}"/>
            </c:ext>
          </c:extLst>
        </c:ser>
        <c:ser>
          <c:idx val="1"/>
          <c:order val="1"/>
          <c:tx>
            <c:strRef>
              <c:f>'0401'!$AD$13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A0F-48CB-AAD5-EB1A601A581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'0401'!$AE$13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A0F-48CB-AAD5-EB1A601A581A}"/>
            </c:ext>
          </c:extLst>
        </c:ser>
        <c:ser>
          <c:idx val="3"/>
          <c:order val="3"/>
          <c:tx>
            <c:strRef>
              <c:f>'0401'!$AF$13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A0F-48CB-AAD5-EB1A601A581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'0401'!$N$5:$O$5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4-47DF-9FD1-76017714B3C1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974-47DF-9FD1-76017714B3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'0401'!$V$2:$V$3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74-47DF-9FD1-76017714B3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6912</xdr:colOff>
      <xdr:row>3</xdr:row>
      <xdr:rowOff>11355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4595DA-9AD3-4957-B772-ACA32EC0B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11847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CACCAC-BB78-4835-9293-35115EBA0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B56EC8-9768-4358-AE62-992BABAE2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FD527FA8-BB5A-4A34-9757-D25E6251A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2483EBBB-A46A-4C45-930F-83D333BC2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9575692F-43F2-4A93-98AD-A88FE8EFF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2B013E2E-4694-4951-8998-B5F195E2F0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3B5D0A45-F836-4EC2-8F78-39432A1FE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EB8549A8-8F6B-4DD2-B646-A2CF002F2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EA56331C-0D0D-4B59-B444-3FFAFE608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45" dataDxfId="144">
  <autoFilter ref="R13:X16" xr:uid="{FF2C9E8B-1A62-479C-AF68-79B236C0B7BB}"/>
  <tableColumns count="7">
    <tableColumn id="1" xr3:uid="{727C6146-39EA-4E15-8783-53CAA87FAF36}" name="Zone ID" dataDxfId="143"/>
    <tableColumn id="2" xr3:uid="{2CA65110-6DD7-46D8-BFC2-5EB0C0E57567}" name="Description" dataDxfId="142"/>
    <tableColumn id="3" xr3:uid="{12D64F80-6A69-494F-BF8F-E326D34A185A}" name="Short Description" dataDxfId="141"/>
    <tableColumn id="4" xr3:uid="{71F3F5B2-8F6B-4985-B1FC-5A9D60095474}" name="Start Date" dataDxfId="140"/>
    <tableColumn id="5" xr3:uid="{57258378-8FED-4727-89AC-D938CB414B7B}" name="Finish Date" dataDxfId="139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38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37">
      <calculatedColumnFormula>IF(AA13 = "Date", $S$4, AA13+7)</calculatedColumnFormula>
    </tableColumn>
    <tableColumn id="6" xr3:uid="{5740AC03-CF53-4345-8667-6AC0CA6843D0}" name="Primary Areas" dataDxfId="136">
      <calculatedColumnFormula>PrimaryAreas(3)</calculatedColumnFormula>
    </tableColumn>
    <tableColumn id="2" xr3:uid="{AF232D3D-EC3F-4232-BA5D-1427173C2D6A}" name="Weekly Plan" dataDxfId="135">
      <calculatedColumnFormula xml:space="preserve"> IF(#REF!="", 0,#REF!)+ IF(#REF!="", 0,#REF!)+ IF(#REF!="", 0,#REF!)</calculatedColumnFormula>
    </tableColumn>
    <tableColumn id="3" xr3:uid="{B28103F6-7596-4848-9F0D-3E4A9E5CBEFE}" name="Weekly Actual" dataDxfId="134">
      <calculatedColumnFormula>IF(AND(ISBLANK(#REF!),ISBLANK(#REF!),ISBLANK(#REF!)),"",#REF! +#REF!+#REF!)</calculatedColumnFormula>
    </tableColumn>
    <tableColumn id="4" xr3:uid="{EF1C6009-71E6-491B-B64F-04049D2D9103}" name="Accumulated Plan" dataDxfId="133">
      <calculatedColumnFormula>SUM($AC$14:AC14)</calculatedColumnFormula>
    </tableColumn>
    <tableColumn id="5" xr3:uid="{442DAB73-1233-4C61-8DE9-3B44CE2C5D69}" name="Accumulated Actual" dataDxfId="132">
      <calculatedColumnFormula>IF(AD14="",NA(),SUM($AD$14:AD14))</calculatedColumnFormula>
    </tableColumn>
    <tableColumn id="43" xr3:uid="{CE31DBAF-57B0-4D4D-852A-B07516A73A41}" name="WP_A1" dataDxfId="131">
      <calculatedColumnFormula>WeeklyPlanned(Output_Template[[#Headers],[WP_A1]], Output_Template[[#This Row],[Date]])</calculatedColumnFormula>
    </tableColumn>
    <tableColumn id="44" xr3:uid="{A0857F89-2BC6-42D6-B02F-90D9272451CA}" name="WA_A1" dataDxfId="130"/>
    <tableColumn id="45" xr3:uid="{2A74D439-B21B-40DD-BB55-7D2C2B18629E}" name="WP_A2" dataDxfId="129">
      <calculatedColumnFormula>WeeklyPlanned(Output_Template[[#Headers],[WP_A2]], Output_Template[[#This Row],[Date]])</calculatedColumnFormula>
    </tableColumn>
    <tableColumn id="46" xr3:uid="{670DB326-434A-466C-9E3C-6A8FE180F21F}" name="WA_A2" dataDxfId="128"/>
    <tableColumn id="47" xr3:uid="{B6798EC6-DE2D-49BB-961E-220FED1F6F10}" name="WP_A3" dataDxfId="127">
      <calculatedColumnFormula>WeeklyPlanned(Output_Template[[#Headers],[WP_A3]], Output_Template[[#This Row],[Date]])</calculatedColumnFormula>
    </tableColumn>
    <tableColumn id="48" xr3:uid="{B2CB6DA2-6E53-4BAC-881B-229E451DFCE0}" name="WA_A3" dataDxfId="12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25">
  <autoFilter ref="H2:H5" xr:uid="{1041DC80-58D6-4308-9DE1-A4EC8AAD3C20}"/>
  <tableColumns count="1">
    <tableColumn id="1" xr3:uid="{0E6D3E77-7CB7-40A1-BCA6-DDC8164AAEB9}" name="Holidays" dataDxfId="124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123" dataDxfId="122">
  <autoFilter ref="R13:X21" xr:uid="{FF2C9E8B-1A62-479C-AF68-79B236C0B7BB}"/>
  <tableColumns count="7">
    <tableColumn id="1" xr3:uid="{9FED2BA1-A1A7-4513-A20F-F09DB113155D}" name="Zone ID" dataDxfId="121"/>
    <tableColumn id="2" xr3:uid="{8B67A205-5329-400B-84DC-CB06A032CF16}" name="Description" dataDxfId="120"/>
    <tableColumn id="3" xr3:uid="{2253D560-C30C-43DE-ABAB-BFAFD145DF40}" name="Short Description" dataDxfId="119"/>
    <tableColumn id="4" xr3:uid="{09E57ADB-1BEB-4CFB-B160-A9C7ADA56DE0}" name="Start Date" dataDxfId="118"/>
    <tableColumn id="5" xr3:uid="{B704EAFC-B4AE-45F3-A5AC-5189060C6D42}" name="Finish Date" dataDxfId="117"/>
    <tableColumn id="6" xr3:uid="{FAFABCDE-D7F7-45A9-83E7-80ADC6F01B0B}" name="Total" dataDxfId="116" dataCellStyle="Normal"/>
    <tableColumn id="7" xr3:uid="{F8D69A8D-7550-4939-9D63-599172BCFFFD}" name="Completed Total" dataDxfId="115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114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113">
      <calculatedColumnFormula>IF(AA13 = "Date", $S$4, AA13+7)</calculatedColumnFormula>
    </tableColumn>
    <tableColumn id="6" xr3:uid="{DE271CBB-C0FC-482D-929A-C21AEFAC32E4}" name="Primary Areas" dataDxfId="112">
      <calculatedColumnFormula>PrimaryAreas(8)</calculatedColumnFormula>
    </tableColumn>
    <tableColumn id="2" xr3:uid="{71EE47CC-75E0-49E1-B527-E1364059B0A6}" name="Weekly Plan" dataDxfId="111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10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09">
      <calculatedColumnFormula>SUM($AC$14:AC14)</calculatedColumnFormula>
    </tableColumn>
    <tableColumn id="5" xr3:uid="{CB7FAB5B-BEAB-4D4A-BD18-57DE0B5DE266}" name="Accumulated Actual" dataDxfId="108">
      <calculatedColumnFormula>IF(AD14="",NA(),SUM($AD$14:AD14))</calculatedColumnFormula>
    </tableColumn>
    <tableColumn id="7" xr3:uid="{2A1CBA5C-29D6-4EB1-8BAA-AF2C064B4A02}" name="WP_ABC" dataDxfId="107">
      <calculatedColumnFormula>WeeklyPlanned(Output_0501[[#Headers],[WP_ABC]], Output_0501[[#This Row],[Date]])</calculatedColumnFormula>
    </tableColumn>
    <tableColumn id="8" xr3:uid="{04DC9374-2B37-4BF5-AA39-F11FC0149281}" name="WA_ABC" dataDxfId="106"/>
    <tableColumn id="9" xr3:uid="{4F88CC2C-A480-4C5B-BA01-24B210AB447A}" name="WP_ACS" dataDxfId="105">
      <calculatedColumnFormula>WeeklyPlanned(Output_0501[[#Headers],[WP_ACS]], Output_0501[[#This Row],[Date]])</calculatedColumnFormula>
    </tableColumn>
    <tableColumn id="10" xr3:uid="{48C24C77-4D2B-435F-BBC2-FAD4AD540AB6}" name="WA_ACS" dataDxfId="104"/>
    <tableColumn id="11" xr3:uid="{75D5C587-305D-4077-9FAA-C79F65923E57}" name="WP_AL1" dataDxfId="103">
      <calculatedColumnFormula>WeeklyPlanned(Output_0501[[#Headers],[WP_AL1]], Output_0501[[#This Row],[Date]])</calculatedColumnFormula>
    </tableColumn>
    <tableColumn id="12" xr3:uid="{8077796C-E6FC-4EE3-89F7-798709387F7F}" name="WA_AL1" dataDxfId="102"/>
    <tableColumn id="13" xr3:uid="{792F3323-B0E8-4776-9689-FD45E57B619D}" name="WP_HBase" dataDxfId="101">
      <calculatedColumnFormula>WeeklyPlanned(Output_0501[[#Headers],[WP_HBase]], Output_0501[[#This Row],[Date]])</calculatedColumnFormula>
    </tableColumn>
    <tableColumn id="14" xr3:uid="{9E7E74B1-B432-4576-8F57-2DCED559C004}" name="WA_HBase" dataDxfId="100"/>
    <tableColumn id="15" xr3:uid="{6C8A9406-B3E7-4378-8961-19DE99A823B8}" name="WP_HWST" dataDxfId="99">
      <calculatedColumnFormula>WeeklyPlanned(Output_0501[[#Headers],[WP_HWST]], Output_0501[[#This Row],[Date]])</calculatedColumnFormula>
    </tableColumn>
    <tableColumn id="16" xr3:uid="{85632008-1A06-41BF-96BF-DF4F2942C8E3}" name="WA_HWST" dataDxfId="98"/>
    <tableColumn id="17" xr3:uid="{4ED0746A-56E1-4B9A-8D82-621AD6A805EE}" name="WP_HWSR" dataDxfId="97">
      <calculatedColumnFormula>WeeklyPlanned(Output_0501[[#Headers],[WP_HWSR]], Output_0501[[#This Row],[Date]])</calculatedColumnFormula>
    </tableColumn>
    <tableColumn id="18" xr3:uid="{616A2447-10D3-4C5E-BE98-C8594A351722}" name="WA_HWSR" dataDxfId="96"/>
    <tableColumn id="19" xr3:uid="{13711C20-54F0-41FE-93CC-92DB5745C53C}" name="WP_HL2" dataDxfId="95">
      <calculatedColumnFormula>WeeklyPlanned(Output_0501[[#Headers],[WP_HL2]], Output_0501[[#This Row],[Date]])</calculatedColumnFormula>
    </tableColumn>
    <tableColumn id="20" xr3:uid="{AE155A80-4969-4902-8DAF-8DC808584420}" name="WA_HL2" dataDxfId="94"/>
    <tableColumn id="21" xr3:uid="{186F9C43-2DF5-47B7-A779-6A42D4C3454E}" name="WP_HBCeil" dataDxfId="93">
      <calculatedColumnFormula>WeeklyPlanned(Output_0501[[#Headers],[WP_HBCeil]], Output_0501[[#This Row],[Date]])</calculatedColumnFormula>
    </tableColumn>
    <tableColumn id="22" xr3:uid="{7F8ADB3E-C083-4C51-8B5A-9EACC6ABF4A0}" name="WA_HBCeil" dataDxfId="9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91" dataDxfId="90">
  <autoFilter ref="R13:X16" xr:uid="{FF2C9E8B-1A62-479C-AF68-79B236C0B7BB}"/>
  <tableColumns count="7">
    <tableColumn id="1" xr3:uid="{98B6CEFA-F45C-41F6-AA4B-12A3C8376FF3}" name="Zone ID" dataDxfId="89"/>
    <tableColumn id="2" xr3:uid="{0EED481C-6B7F-45EA-96EB-621E9C83F3F6}" name="Description" dataDxfId="88"/>
    <tableColumn id="3" xr3:uid="{92B65829-37BF-4514-B7D6-292B5B8F0C44}" name="Short Description" dataDxfId="87"/>
    <tableColumn id="4" xr3:uid="{80A86D55-7D1D-4DFA-811D-6869E0913B53}" name="Start Date" dataDxfId="86"/>
    <tableColumn id="5" xr3:uid="{93521AA3-7D74-4D93-B395-07061FC7E0C3}" name="Finish Date" dataDxfId="85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8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83">
      <calculatedColumnFormula>IF(AA13 = "Date", $S$4, AA13+7)</calculatedColumnFormula>
    </tableColumn>
    <tableColumn id="6" xr3:uid="{AB52DC66-705D-403C-9556-5F09775CDBB4}" name="Primary Areas" dataDxfId="82">
      <calculatedColumnFormula>PrimaryAreas(3)</calculatedColumnFormula>
    </tableColumn>
    <tableColumn id="2" xr3:uid="{B199DE9E-07BB-4F6F-BF0F-FD9612C1E4A1}" name="Weekly Plan" dataDxfId="81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80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9">
      <calculatedColumnFormula>SUM($AC$14:AC14)</calculatedColumnFormula>
    </tableColumn>
    <tableColumn id="5" xr3:uid="{651F866A-913C-41F0-96AF-A1AE2AFF845B}" name="Accumulated Actual" dataDxfId="78">
      <calculatedColumnFormula>IF(AD14="",NA(),SUM($AD$14:AD14))</calculatedColumnFormula>
    </tableColumn>
    <tableColumn id="43" xr3:uid="{32BBBBE6-824B-424A-A817-1078C82774BD}" name="WP_A1" dataDxfId="77">
      <calculatedColumnFormula>WeeklyPlanned(Output_0001[[#Headers],[WP_A1]], Output_0001[[#This Row],[Date]])</calculatedColumnFormula>
    </tableColumn>
    <tableColumn id="44" xr3:uid="{2E76C9D7-DBC3-40AA-B2D2-F2A8133ADEDC}" name="WA_A1" dataDxfId="76"/>
    <tableColumn id="45" xr3:uid="{8349A05E-AB3B-4D38-86D5-C3757AF0C549}" name="WP_A2" dataDxfId="75">
      <calculatedColumnFormula>WeeklyPlanned(Output_0001[[#Headers],[WP_A2]], Output_0001[[#This Row],[Date]])</calculatedColumnFormula>
    </tableColumn>
    <tableColumn id="46" xr3:uid="{98829D33-590E-463C-A7AE-DB10CF64BCCB}" name="WA_A2" dataDxfId="74"/>
    <tableColumn id="47" xr3:uid="{0C2A1C55-569B-4688-8BB0-54DD665AAD32}" name="WP_A3" dataDxfId="73">
      <calculatedColumnFormula>WeeklyPlanned(Output_0001[[#Headers],[WP_A3]], Output_0001[[#This Row],[Date]])</calculatedColumnFormula>
    </tableColumn>
    <tableColumn id="48" xr3:uid="{5EA3C838-64EE-4DF3-8DFE-BE9B5AC605F5}" name="WA_A3" dataDxfId="72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6611064-DD1B-4741-87CF-315CC7F32A92}" name="Input_0401" displayName="Input_0401" ref="R13:X16" totalsRowShown="0" headerRowDxfId="19" dataDxfId="18">
  <autoFilter ref="R13:X16" xr:uid="{FF2C9E8B-1A62-479C-AF68-79B236C0B7BB}"/>
  <tableColumns count="7">
    <tableColumn id="1" xr3:uid="{DF500393-7896-4A16-A5AC-D1A7274E7F6A}" name="Zone ID" dataDxfId="17"/>
    <tableColumn id="2" xr3:uid="{63CE44CA-61BB-4AE2-AA12-471C01261F25}" name="Description" dataDxfId="16"/>
    <tableColumn id="3" xr3:uid="{67BF8023-9E8B-4ABA-A484-B04C3FA06D98}" name="Short Description" dataDxfId="15"/>
    <tableColumn id="4" xr3:uid="{A31AA9A3-0838-4936-9E57-6B121623DAA7}" name="Start Date" dataDxfId="14"/>
    <tableColumn id="5" xr3:uid="{9442C51B-196D-448E-99B8-ABE91DD443DB}" name="Finish Date" dataDxfId="13"/>
    <tableColumn id="6" xr3:uid="{0A81EE02-8B82-429A-BD72-E9C2A2CF5163}" name="Total" dataCellStyle="Normal"/>
    <tableColumn id="7" xr3:uid="{DEF22C1E-9A4E-4A6D-80EC-5B475FC06366}" name="Completed Total" dataCellStyle="Normal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DD09206-61C1-4082-878F-4B8327D2CBD8}" name="Output_0401" displayName="Output_0401" ref="AA13:AL43" totalsRowShown="0" headerRowDxfId="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97F4EF6-AF8E-4A0A-8741-6E3DA4089934}" name="Date" dataDxfId="11">
      <calculatedColumnFormula>IF(AA13 = "Date", $S$4, AA13+7)</calculatedColumnFormula>
    </tableColumn>
    <tableColumn id="6" xr3:uid="{71B75F05-EAE9-4E7E-BBEF-F7C5A4D78C80}" name="Primary Areas" dataDxfId="10">
      <calculatedColumnFormula>PrimaryAreas(3)</calculatedColumnFormula>
    </tableColumn>
    <tableColumn id="2" xr3:uid="{DE759C89-A175-4020-A413-5E9617512F02}" name="Weekly Plan" dataDxfId="9">
      <calculatedColumnFormula>IF(Output_0401[[#This Row],[WP_A1]]="", 0, Output_0401[[#This Row],[WP_A1]])+IF(Output_0401[[#This Row],[WP_A2]]="", 0, Output_0401[[#This Row],[WP_A2]])+IF(Output_0401[[#This Row],[WP_A3]]="", 0, Output_0401[[#This Row],[WP_A3]])</calculatedColumnFormula>
    </tableColumn>
    <tableColumn id="3" xr3:uid="{D15AE629-3E9E-4296-9D64-F03B69A3D0B8}" name="Weekly Actual" dataDxfId="8">
      <calculatedColumnFormula>IF(AND(ISBLANK(Output_0401[[#This Row],[WA_A1]]),ISBLANK(Output_0401[[#This Row],[WA_A2]]),ISBLANK(Output_0401[[#This Row],[WA_A3]])),"", Output_0401[[#This Row],[WA_A1]]+Output_0401[[#This Row],[WA_A2]]+Output_0401[[#This Row],[WA_A3]])</calculatedColumnFormula>
    </tableColumn>
    <tableColumn id="4" xr3:uid="{D3B54E09-74F7-425E-94E6-07BB11B444DC}" name="Accumulated Plan" dataDxfId="7">
      <calculatedColumnFormula>SUM($AC$14:AC14)</calculatedColumnFormula>
    </tableColumn>
    <tableColumn id="5" xr3:uid="{A9D583B4-1469-41C2-838E-DE82C260F10A}" name="Accumulated Actual" dataDxfId="6">
      <calculatedColumnFormula>IF(AD14="",NA(),SUM($AD$14:AD14))</calculatedColumnFormula>
    </tableColumn>
    <tableColumn id="43" xr3:uid="{F96DB551-191C-4E3D-9982-14F8387C0D18}" name="WP_A1" dataDxfId="5">
      <calculatedColumnFormula>WeeklyPlanned(Output_0401[[#Headers],[WP_A1]], Output_0401[[#This Row],[Date]])</calculatedColumnFormula>
    </tableColumn>
    <tableColumn id="44" xr3:uid="{2A1C18A2-4D76-4704-8626-3BA617941977}" name="WA_A1" dataDxfId="4"/>
    <tableColumn id="45" xr3:uid="{3ABF9747-DD66-4FE5-9AD6-5E0AF907158B}" name="WP_A2" dataDxfId="3">
      <calculatedColumnFormula>WeeklyPlanned(Output_0401[[#Headers],[WP_A2]], Output_0401[[#This Row],[Date]])</calculatedColumnFormula>
    </tableColumn>
    <tableColumn id="46" xr3:uid="{5445BCEE-1727-4D44-A93A-21A4BD7C0F7E}" name="WA_A2" dataDxfId="2"/>
    <tableColumn id="47" xr3:uid="{8A4BB08B-F04F-4708-B719-F25A857259ED}" name="WP_A3" dataDxfId="1">
      <calculatedColumnFormula>WeeklyPlanned(Output_0401[[#Headers],[WP_A3]], Output_0401[[#This Row],[Date]])</calculatedColumnFormula>
    </tableColumn>
    <tableColumn id="48" xr3:uid="{5FA7A511-ABA7-4B8C-BF21-CCC0C9910A86}" name="WA_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8.xml"/><Relationship Id="rId12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5" thickBot="1" x14ac:dyDescent="0.4">
      <c r="R1" s="108" t="str">
        <f>HYPERLINK("#Main!A1", "Back to Main")</f>
        <v>Back to Main</v>
      </c>
      <c r="AA1" s="79" t="s">
        <v>80</v>
      </c>
      <c r="AB1" s="80"/>
    </row>
    <row r="2" spans="2:3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8" t="str">
        <f>Main!C34</f>
        <v>Sample Sub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8" t="str">
        <f>RIGHT(Main!B34, LEN(Main!B34) - 4)</f>
        <v>Sample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1" t="str">
        <f>_xlfn.CONCAT("This Week's Production (", IF(ISBLANK($S$6),"",$S$6), ")")</f>
        <v>This Week's Production (SF)</v>
      </c>
      <c r="K8" s="91"/>
      <c r="L8" s="91"/>
      <c r="M8" s="9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1" t="str">
        <f>_xlfn.CONCAT("Weekly Average (", IF(ISBLANK($S$6),"",$S$6), ")")</f>
        <v>Weekly Average (SF)</v>
      </c>
      <c r="K9" s="91"/>
      <c r="L9" s="91"/>
      <c r="M9" s="9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1" t="str">
        <f>_xlfn.CONCAT("Average Past 4 Weeks (", IF(ISBLANK($S$6),"",$S$6), ")")</f>
        <v>Average Past 4 Weeks (SF)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156</v>
      </c>
      <c r="V10" s="86"/>
      <c r="W10" s="86"/>
      <c r="X10" s="86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1" t="str">
        <f>_xlfn.CONCAT("On Schedule Average (", IF(ISBLANK($S$6),"",$S$6), ")")</f>
        <v>On Schedule Average (SF)</v>
      </c>
      <c r="K11" s="91"/>
      <c r="L11" s="91"/>
      <c r="M11" s="91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6"/>
      <c r="V11" s="86"/>
      <c r="W11" s="86"/>
      <c r="X11" s="86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1" t="s">
        <v>46</v>
      </c>
      <c r="K13" s="81"/>
      <c r="L13" s="81"/>
      <c r="M13" s="81"/>
      <c r="N13" s="82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9"/>
      <c r="M15" s="89"/>
      <c r="N15" s="89"/>
      <c r="O15" s="9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71" priority="10">
      <formula>ISERROR(AF14)</formula>
    </cfRule>
  </conditionalFormatting>
  <conditionalFormatting sqref="W13:X13">
    <cfRule type="expression" dxfId="70" priority="8">
      <formula>IF(OR($S$8 = "Assemble Addin", $S$8 = "Bluebeam QL"), TRUE, FALSE)</formula>
    </cfRule>
  </conditionalFormatting>
  <conditionalFormatting sqref="N6:O6">
    <cfRule type="expression" dxfId="69" priority="7">
      <formula>IF($N$6=$O$6, FALSE, TRUE)</formula>
    </cfRule>
  </conditionalFormatting>
  <conditionalFormatting sqref="W14:X16">
    <cfRule type="expression" dxfId="68" priority="5">
      <formula>IF(OR($S$8 = "Assemble Addin", $S$8 = "Bluebeam QL"), TRUE, FALSE)</formula>
    </cfRule>
    <cfRule type="expression" dxfId="67" priority="6">
      <formula>IF(OR($S$8 = "Assemble Addin", $S$8 = "Bluebeam QL"), MOD(ROW(), 2)=0, FALSE)</formula>
    </cfRule>
  </conditionalFormatting>
  <conditionalFormatting sqref="R13">
    <cfRule type="expression" dxfId="66" priority="2">
      <formula>IF($S$8 = "Assemble Addin", TRUE, FALSE)</formula>
    </cfRule>
  </conditionalFormatting>
  <conditionalFormatting sqref="R14:R16">
    <cfRule type="expression" dxfId="65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100" t="str">
        <f>UPPER("Structural Steel 07/01/2020")</f>
        <v>STRUCTURAL STEEL 07/01/2020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</row>
    <row r="2" spans="1:14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4" spans="1:14" x14ac:dyDescent="0.35">
      <c r="A34" s="101" t="s">
        <v>116</v>
      </c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3" t="s">
        <v>5</v>
      </c>
      <c r="F1" s="103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4" t="s">
        <v>6</v>
      </c>
      <c r="C2" s="104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154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151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152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2"/>
  <sheetViews>
    <sheetView tabSelected="1" zoomScale="115" zoomScaleNormal="115" workbookViewId="0">
      <selection activeCell="C40" sqref="C40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6" t="str">
        <f>"PROGRESS REPORT "&amp; TEXT(Report_Date, "mm/dd/yyy")</f>
        <v>PROGRESS REPORT 07/01/2020</v>
      </c>
      <c r="C2" s="106"/>
      <c r="D2" s="106"/>
      <c r="E2" s="106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157</v>
      </c>
      <c r="J10" s="12" t="s">
        <v>35</v>
      </c>
      <c r="K10" s="12" t="s">
        <v>34</v>
      </c>
    </row>
    <row r="11" spans="2:12" ht="15" hidden="1" x14ac:dyDescent="0.3">
      <c r="B11" s="105" t="s">
        <v>26</v>
      </c>
      <c r="C11" s="105"/>
      <c r="D11" s="105"/>
      <c r="E11" s="105"/>
      <c r="F11" s="16"/>
      <c r="G11" s="16"/>
      <c r="H11" s="16"/>
      <c r="I11" s="16"/>
      <c r="J11" s="16"/>
      <c r="K11" s="16"/>
      <c r="L11" s="76" t="s">
        <v>161</v>
      </c>
    </row>
    <row r="12" spans="2:12" hidden="1" x14ac:dyDescent="0.3">
      <c r="B12" s="13"/>
      <c r="G12" s="38"/>
      <c r="H12" s="37"/>
    </row>
    <row r="13" spans="2:12" ht="15" x14ac:dyDescent="0.3">
      <c r="B13" s="105" t="s">
        <v>27</v>
      </c>
      <c r="C13" s="105"/>
      <c r="D13" s="105"/>
      <c r="E13" s="105"/>
      <c r="F13" s="16"/>
      <c r="G13" s="16"/>
      <c r="H13" s="16"/>
      <c r="I13" s="16"/>
      <c r="J13" s="16"/>
      <c r="K13" s="16"/>
      <c r="L13" s="76" t="s">
        <v>161</v>
      </c>
    </row>
    <row r="14" spans="2:12" s="78" customFormat="1" ht="14.5" x14ac:dyDescent="0.35">
      <c r="B14" s="9" t="s">
        <v>162</v>
      </c>
      <c r="C14" s="78" t="s">
        <v>163</v>
      </c>
      <c r="D14" s="109">
        <f ca="1">'0401'!N5</f>
        <v>0.52727272727272723</v>
      </c>
      <c r="E14" s="109">
        <f ca="1">'0401'!O5</f>
        <v>0.35555555555555568</v>
      </c>
      <c r="G14" s="73"/>
      <c r="H14" s="107" t="str">
        <f>HYPERLINK("#0401!A1", "0401")</f>
        <v>0401</v>
      </c>
      <c r="I14" s="78" t="str">
        <f ca="1">IF(Report_Date = INDIRECT(H14 &amp; "!S9" ), "Ready", "Not Ready")</f>
        <v>Ready</v>
      </c>
      <c r="J14" s="78" t="s">
        <v>160</v>
      </c>
      <c r="K14" s="78" t="s">
        <v>160</v>
      </c>
    </row>
    <row r="15" spans="2:12" s="78" customFormat="1" x14ac:dyDescent="0.3">
      <c r="B15" s="9"/>
      <c r="D15" s="109"/>
      <c r="E15" s="109"/>
      <c r="G15" s="73"/>
      <c r="H15" s="37"/>
    </row>
    <row r="16" spans="2:12" ht="15" x14ac:dyDescent="0.3">
      <c r="B16" s="105" t="s">
        <v>28</v>
      </c>
      <c r="C16" s="105"/>
      <c r="D16" s="105"/>
      <c r="E16" s="105"/>
      <c r="F16" s="16"/>
      <c r="G16" s="16"/>
      <c r="H16" s="16"/>
      <c r="I16" s="16"/>
      <c r="J16" s="16"/>
      <c r="K16" s="16"/>
      <c r="L16" s="76" t="s">
        <v>161</v>
      </c>
    </row>
    <row r="17" spans="2:12" s="78" customFormat="1" x14ac:dyDescent="0.3">
      <c r="B17" s="9" t="s">
        <v>150</v>
      </c>
      <c r="C17" s="78" t="s">
        <v>148</v>
      </c>
      <c r="D17" s="10">
        <f ca="1">'0501'!N5</f>
        <v>0</v>
      </c>
      <c r="E17" s="10">
        <f ca="1">'0501'!O5</f>
        <v>0.10714285714285712</v>
      </c>
      <c r="G17" s="73"/>
      <c r="H17" s="37" t="s">
        <v>149</v>
      </c>
      <c r="I17" s="74" t="s">
        <v>164</v>
      </c>
      <c r="J17" s="78" t="s">
        <v>159</v>
      </c>
      <c r="K17" s="78" t="s">
        <v>160</v>
      </c>
    </row>
    <row r="18" spans="2:12" s="76" customFormat="1" x14ac:dyDescent="0.3">
      <c r="B18" s="9"/>
      <c r="D18" s="10"/>
      <c r="E18" s="10"/>
      <c r="G18" s="73"/>
      <c r="H18" s="37"/>
    </row>
    <row r="19" spans="2:12" ht="15" hidden="1" x14ac:dyDescent="0.3">
      <c r="B19" s="105" t="s">
        <v>29</v>
      </c>
      <c r="C19" s="105"/>
      <c r="D19" s="105"/>
      <c r="E19" s="105"/>
      <c r="F19" s="16"/>
      <c r="G19" s="16"/>
      <c r="H19" s="16"/>
      <c r="I19" s="16"/>
      <c r="J19" s="16"/>
      <c r="K19" s="16"/>
      <c r="L19" s="76" t="s">
        <v>161</v>
      </c>
    </row>
    <row r="20" spans="2:12" hidden="1" x14ac:dyDescent="0.3">
      <c r="B20" s="9"/>
      <c r="G20" s="73"/>
      <c r="H20" s="37"/>
    </row>
    <row r="21" spans="2:12" ht="15" hidden="1" x14ac:dyDescent="0.3">
      <c r="B21" s="105" t="s">
        <v>30</v>
      </c>
      <c r="C21" s="105"/>
      <c r="D21" s="105"/>
      <c r="E21" s="105"/>
      <c r="F21" s="16"/>
      <c r="G21" s="16"/>
      <c r="H21" s="16"/>
      <c r="I21" s="16"/>
      <c r="J21" s="16"/>
      <c r="K21" s="16"/>
      <c r="L21" s="76" t="s">
        <v>161</v>
      </c>
    </row>
    <row r="22" spans="2:12" hidden="1" x14ac:dyDescent="0.3">
      <c r="B22" s="9"/>
      <c r="G22" s="73"/>
      <c r="H22" s="37"/>
    </row>
    <row r="23" spans="2:12" ht="15" hidden="1" x14ac:dyDescent="0.3">
      <c r="B23" s="105" t="s">
        <v>127</v>
      </c>
      <c r="C23" s="105"/>
      <c r="D23" s="105"/>
      <c r="E23" s="105"/>
      <c r="F23" s="16"/>
      <c r="G23" s="16"/>
      <c r="H23" s="16"/>
      <c r="I23" s="16"/>
      <c r="J23" s="16"/>
      <c r="K23" s="16"/>
      <c r="L23" s="76" t="s">
        <v>161</v>
      </c>
    </row>
    <row r="24" spans="2:12" hidden="1" x14ac:dyDescent="0.3">
      <c r="B24" s="9"/>
      <c r="G24" s="73"/>
      <c r="H24" s="37"/>
    </row>
    <row r="25" spans="2:12" ht="15" hidden="1" x14ac:dyDescent="0.3">
      <c r="B25" s="105" t="s">
        <v>128</v>
      </c>
      <c r="C25" s="105"/>
      <c r="D25" s="105"/>
      <c r="E25" s="105"/>
      <c r="F25" s="16"/>
      <c r="G25" s="16"/>
      <c r="H25" s="16"/>
      <c r="I25" s="16"/>
      <c r="J25" s="16"/>
      <c r="K25" s="16"/>
      <c r="L25" s="76" t="s">
        <v>161</v>
      </c>
    </row>
    <row r="26" spans="2:12" hidden="1" x14ac:dyDescent="0.3">
      <c r="B26" s="9"/>
      <c r="G26" s="73"/>
      <c r="H26" s="37"/>
    </row>
    <row r="27" spans="2:12" ht="15" hidden="1" x14ac:dyDescent="0.3">
      <c r="B27" s="105" t="s">
        <v>129</v>
      </c>
      <c r="C27" s="105"/>
      <c r="D27" s="105"/>
      <c r="E27" s="105"/>
      <c r="F27" s="16"/>
      <c r="G27" s="16"/>
      <c r="H27" s="16"/>
      <c r="I27" s="16"/>
      <c r="J27" s="16"/>
      <c r="K27" s="16"/>
      <c r="L27" s="76" t="s">
        <v>161</v>
      </c>
    </row>
    <row r="28" spans="2:12" hidden="1" x14ac:dyDescent="0.3">
      <c r="B28" s="9"/>
      <c r="G28" s="73"/>
      <c r="H28" s="37"/>
    </row>
    <row r="29" spans="2:12" ht="15" hidden="1" x14ac:dyDescent="0.3">
      <c r="B29" s="105" t="s">
        <v>130</v>
      </c>
      <c r="C29" s="105"/>
      <c r="D29" s="105"/>
      <c r="E29" s="105"/>
      <c r="F29" s="16"/>
      <c r="G29" s="16"/>
      <c r="H29" s="16"/>
      <c r="I29" s="16"/>
      <c r="J29" s="16"/>
      <c r="K29" s="16"/>
      <c r="L29" s="76" t="s">
        <v>161</v>
      </c>
    </row>
    <row r="30" spans="2:12" hidden="1" x14ac:dyDescent="0.3">
      <c r="B30" s="9"/>
      <c r="G30" s="73"/>
      <c r="H30" s="37"/>
    </row>
    <row r="31" spans="2:12" ht="15" hidden="1" x14ac:dyDescent="0.3">
      <c r="B31" s="105" t="s">
        <v>131</v>
      </c>
      <c r="C31" s="105"/>
      <c r="D31" s="105"/>
      <c r="E31" s="105"/>
      <c r="F31" s="16"/>
      <c r="G31" s="16"/>
      <c r="H31" s="16"/>
      <c r="I31" s="16"/>
      <c r="J31" s="16"/>
      <c r="K31" s="16"/>
      <c r="L31" s="76" t="s">
        <v>161</v>
      </c>
    </row>
    <row r="32" spans="2:12" hidden="1" x14ac:dyDescent="0.3">
      <c r="B32" s="9"/>
      <c r="G32" s="73"/>
      <c r="H32" s="37"/>
    </row>
    <row r="33" spans="2:12" ht="15" x14ac:dyDescent="0.3">
      <c r="B33" s="105" t="s">
        <v>132</v>
      </c>
      <c r="C33" s="105"/>
      <c r="D33" s="105"/>
      <c r="E33" s="105"/>
      <c r="F33" s="16"/>
      <c r="G33" s="16"/>
      <c r="H33" s="16"/>
      <c r="I33" s="16"/>
      <c r="J33" s="16"/>
      <c r="K33" s="16"/>
      <c r="L33" s="67" t="s">
        <v>161</v>
      </c>
    </row>
    <row r="34" spans="2:12" x14ac:dyDescent="0.3">
      <c r="B34" s="9" t="s">
        <v>153</v>
      </c>
      <c r="C34" s="67" t="s">
        <v>133</v>
      </c>
      <c r="G34" s="73"/>
      <c r="H34" s="37" t="s">
        <v>134</v>
      </c>
      <c r="I34" s="74" t="str">
        <f ca="1">IF(Report_Date = INDIRECT(H34 &amp; "!S9"), "Ready", "Not Ready")</f>
        <v>Ready</v>
      </c>
      <c r="J34" s="67" t="s">
        <v>159</v>
      </c>
    </row>
    <row r="35" spans="2:12" x14ac:dyDescent="0.3">
      <c r="G35" s="38"/>
      <c r="H35" s="37"/>
    </row>
    <row r="36" spans="2:12" x14ac:dyDescent="0.3">
      <c r="G36" s="38"/>
      <c r="H36" s="37"/>
    </row>
    <row r="37" spans="2:12" x14ac:dyDescent="0.3">
      <c r="G37" s="38"/>
      <c r="H37" s="37"/>
    </row>
    <row r="38" spans="2:12" x14ac:dyDescent="0.3">
      <c r="G38" s="38"/>
      <c r="H38" s="37"/>
    </row>
    <row r="39" spans="2:12" x14ac:dyDescent="0.3">
      <c r="G39" s="38"/>
      <c r="H39" s="37"/>
    </row>
    <row r="40" spans="2:12" x14ac:dyDescent="0.3">
      <c r="G40" s="38"/>
      <c r="H40" s="37"/>
    </row>
    <row r="41" spans="2:12" x14ac:dyDescent="0.3">
      <c r="G41" s="38"/>
      <c r="H41" s="37"/>
    </row>
    <row r="42" spans="2:12" x14ac:dyDescent="0.3">
      <c r="G42" s="38"/>
      <c r="H42" s="37"/>
    </row>
    <row r="43" spans="2:12" x14ac:dyDescent="0.3">
      <c r="G43" s="38"/>
      <c r="H43" s="37"/>
    </row>
    <row r="44" spans="2:12" x14ac:dyDescent="0.3">
      <c r="G44" s="38"/>
      <c r="H44" s="37"/>
    </row>
    <row r="45" spans="2:12" x14ac:dyDescent="0.3">
      <c r="G45" s="38"/>
      <c r="H45" s="37"/>
    </row>
    <row r="46" spans="2:12" x14ac:dyDescent="0.3">
      <c r="G46" s="38"/>
      <c r="H46" s="37"/>
    </row>
    <row r="47" spans="2:12" x14ac:dyDescent="0.3">
      <c r="G47" s="38"/>
      <c r="H47" s="37"/>
    </row>
    <row r="48" spans="2:12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G263" s="38"/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  <row r="692" spans="8:8" x14ac:dyDescent="0.3">
      <c r="H692" s="37"/>
    </row>
  </sheetData>
  <mergeCells count="12">
    <mergeCell ref="B33:E33"/>
    <mergeCell ref="B23:E23"/>
    <mergeCell ref="B25:E25"/>
    <mergeCell ref="B27:E27"/>
    <mergeCell ref="B29:E29"/>
    <mergeCell ref="B31:E31"/>
    <mergeCell ref="B21:E21"/>
    <mergeCell ref="B2:E2"/>
    <mergeCell ref="B11:E11"/>
    <mergeCell ref="B13:E13"/>
    <mergeCell ref="B16:E16"/>
    <mergeCell ref="B19:E19"/>
  </mergeCells>
  <phoneticPr fontId="6" type="noConversion"/>
  <conditionalFormatting sqref="E36:E77 E32 E30 E28 E26 E24 E18:E22 E12:E16">
    <cfRule type="expression" dxfId="64" priority="63">
      <formula>IF(ISBLANK($D12), FALSE, IF(RedGreen_Formatting = "Enabled", $D12 &lt;= $E12 + Percent_Error, FALSE))</formula>
    </cfRule>
    <cfRule type="expression" dxfId="63" priority="64">
      <formula>IF(ISBLANK($D12), FALSE, IF(RedGreen_Formatting = "Enabled", $D12 &gt; $E12 + Percent_Error, FALSE))</formula>
    </cfRule>
  </conditionalFormatting>
  <conditionalFormatting sqref="E23">
    <cfRule type="expression" dxfId="62" priority="61">
      <formula>IF(ISBLANK($D23), FALSE, IF(RedGreen_Formatting = "Enabled", $D23 &lt;= $E23 + Percent_Error, FALSE))</formula>
    </cfRule>
    <cfRule type="expression" dxfId="61" priority="62">
      <formula>IF(ISBLANK($D23), FALSE, IF(RedGreen_Formatting = "Enabled", $D23 &gt; $E23 + Percent_Error, FALSE))</formula>
    </cfRule>
  </conditionalFormatting>
  <conditionalFormatting sqref="E25">
    <cfRule type="expression" dxfId="60" priority="59">
      <formula>IF(ISBLANK($D25), FALSE, IF(RedGreen_Formatting = "Enabled", $D25 &lt;= $E25 + Percent_Error, FALSE))</formula>
    </cfRule>
    <cfRule type="expression" dxfId="59" priority="60">
      <formula>IF(ISBLANK($D25), FALSE, IF(RedGreen_Formatting = "Enabled", $D25 &gt; $E25 + Percent_Error, FALSE))</formula>
    </cfRule>
  </conditionalFormatting>
  <conditionalFormatting sqref="E27">
    <cfRule type="expression" dxfId="58" priority="57">
      <formula>IF(ISBLANK($D27), FALSE, IF(RedGreen_Formatting = "Enabled", $D27 &lt;= $E27 + Percent_Error, FALSE))</formula>
    </cfRule>
    <cfRule type="expression" dxfId="57" priority="58">
      <formula>IF(ISBLANK($D27), FALSE, IF(RedGreen_Formatting = "Enabled", $D27 &gt; $E27 + Percent_Error, FALSE))</formula>
    </cfRule>
  </conditionalFormatting>
  <conditionalFormatting sqref="E29">
    <cfRule type="expression" dxfId="56" priority="55">
      <formula>IF(ISBLANK($D29), FALSE, IF(RedGreen_Formatting = "Enabled", $D29 &lt;= $E29 + Percent_Error, FALSE))</formula>
    </cfRule>
    <cfRule type="expression" dxfId="55" priority="56">
      <formula>IF(ISBLANK($D29), FALSE, IF(RedGreen_Formatting = "Enabled", $D29 &gt; $E29 + Percent_Error, FALSE))</formula>
    </cfRule>
  </conditionalFormatting>
  <conditionalFormatting sqref="E31">
    <cfRule type="expression" dxfId="54" priority="53">
      <formula>IF(ISBLANK($D31), FALSE, IF(RedGreen_Formatting = "Enabled", $D31 &lt;= $E31 + Percent_Error, FALSE))</formula>
    </cfRule>
    <cfRule type="expression" dxfId="53" priority="54">
      <formula>IF(ISBLANK($D31), FALSE, IF(RedGreen_Formatting = "Enabled", $D31 &gt; $E31 + Percent_Error, FALSE))</formula>
    </cfRule>
  </conditionalFormatting>
  <conditionalFormatting sqref="E33">
    <cfRule type="expression" dxfId="52" priority="51">
      <formula>IF(ISBLANK($D33), FALSE, IF(RedGreen_Formatting = "Enabled", $D33 &lt;= $E33 + Percent_Error, FALSE))</formula>
    </cfRule>
    <cfRule type="expression" dxfId="51" priority="52">
      <formula>IF(ISBLANK($D33), FALSE, IF(RedGreen_Formatting = "Enabled", $D33 &gt; $E33 + Percent_Error, FALSE))</formula>
    </cfRule>
  </conditionalFormatting>
  <conditionalFormatting sqref="E35">
    <cfRule type="expression" dxfId="50" priority="33">
      <formula>IF(ISBLANK($D35), FALSE, IF(RedGreen_Formatting = "Enabled", $D35 &lt;= $E35 + Percent_Error, FALSE))</formula>
    </cfRule>
    <cfRule type="expression" dxfId="49" priority="34">
      <formula>IF(ISBLANK($D35), FALSE, IF(RedGreen_Formatting = "Enabled", $D35 &gt; $E35 + Percent_Error, FALSE))</formula>
    </cfRule>
  </conditionalFormatting>
  <conditionalFormatting sqref="E34">
    <cfRule type="expression" dxfId="48" priority="13">
      <formula>IF(ISBLANK($D34), FALSE, IF(RedGreen_Formatting = "Enabled", $D34 &lt;= $E34 + Percent_Error, FALSE))</formula>
    </cfRule>
    <cfRule type="expression" dxfId="47" priority="14">
      <formula>IF(ISBLANK($D34), FALSE, IF(RedGreen_Formatting = "Enabled", $D34 &gt; $E34 + Percent_Error, FALSE))</formula>
    </cfRule>
  </conditionalFormatting>
  <conditionalFormatting sqref="I34">
    <cfRule type="cellIs" dxfId="46" priority="7" operator="equal">
      <formula>"Not Ready"</formula>
    </cfRule>
    <cfRule type="cellIs" dxfId="45" priority="8" operator="equal">
      <formula>"Ready"</formula>
    </cfRule>
  </conditionalFormatting>
  <conditionalFormatting sqref="I17">
    <cfRule type="cellIs" dxfId="44" priority="1" operator="equal">
      <formula>"Not Ready"</formula>
    </cfRule>
    <cfRule type="cellIs" dxfId="43" priority="2" operator="equal">
      <formula>"Ready"</formula>
    </cfRule>
  </conditionalFormatting>
  <conditionalFormatting sqref="E17">
    <cfRule type="expression" dxfId="42" priority="3">
      <formula>IF(ISBLANK($D17), FALSE, IF(RedGreen_Formatting = "Enabled", $D17 &lt;= $E17 + Percent_Error, FALSE))</formula>
    </cfRule>
    <cfRule type="expression" dxfId="41" priority="4">
      <formula>IF(ISBLANK($D17), FALSE, IF(RedGreen_Formatting = "Enabled", $D17 &gt; $E17 + Percent_Error, FALSE))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dd_New_Trade_Sub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R30" sqref="R30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108" t="str">
        <f>HYPERLINK("#Main!A1", "Back to Main")</f>
        <v>Back to Main</v>
      </c>
      <c r="AA1" s="79" t="s">
        <v>80</v>
      </c>
      <c r="AB1" s="80"/>
    </row>
    <row r="2" spans="2:4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110" t="str">
        <f>Main!C17</f>
        <v>Glassey Steel Works</v>
      </c>
      <c r="D6" s="110"/>
      <c r="E6" s="110"/>
      <c r="F6" s="110"/>
      <c r="G6" s="110"/>
      <c r="H6" s="110"/>
      <c r="I6" s="110"/>
      <c r="J6" s="91" t="str">
        <f>_xlfn.CONCAT("Overall Totals (", IF(ISBLANK($S$6),"",$S$6), ")")</f>
        <v>Overall Totals (Count)</v>
      </c>
      <c r="K6" s="91"/>
      <c r="L6" s="91"/>
      <c r="M6" s="91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8" t="str">
        <f>RIGHT(Main!B17, LEN(Main!B17) - 4)</f>
        <v>Structural Steel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(Count)</v>
      </c>
      <c r="K7" s="91"/>
      <c r="L7" s="91"/>
      <c r="M7" s="91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91" t="str">
        <f>_xlfn.CONCAT("This Week's Production (", IF(ISBLANK($S$6),"",$S$6), ")")</f>
        <v>This Week's Production (Count)</v>
      </c>
      <c r="K8" s="91"/>
      <c r="L8" s="91"/>
      <c r="M8" s="91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91" t="str">
        <f>_xlfn.CONCAT("Weekly Average (", IF(ISBLANK($S$6),"",$S$6), ")")</f>
        <v>Weekly Average (Count)</v>
      </c>
      <c r="K9" s="91"/>
      <c r="L9" s="91"/>
      <c r="M9" s="91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158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91" t="str">
        <f>_xlfn.CONCAT("Average Past 4 Weeks (", IF(ISBLANK($S$6),"",$S$6), ")")</f>
        <v>Average Past 4 Weeks (Count)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6"/>
      <c r="V10" s="86"/>
      <c r="W10" s="86"/>
      <c r="X10" s="86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91" t="str">
        <f>_xlfn.CONCAT("On Schedule Average (", IF(ISBLANK($S$6),"",$S$6), ")")</f>
        <v>On Schedule Average (Count)</v>
      </c>
      <c r="K11" s="91"/>
      <c r="L11" s="91"/>
      <c r="M11" s="91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6"/>
      <c r="V11" s="86"/>
      <c r="W11" s="86"/>
      <c r="X11" s="86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81" t="s">
        <v>46</v>
      </c>
      <c r="K13" s="81"/>
      <c r="L13" s="81"/>
      <c r="M13" s="81"/>
      <c r="N13" s="82">
        <f ca="1">IF($O$5&gt;0.999, "Completed", WORKDAY($S$3, ROUNDUP((SUM(Input_0501[Total])-(INDIRECT("AF"&amp;MATCH($S$3, Output_0501[Date],0)+13)))/($O$10/COUNTIF($U$2:$U$8, TRUE)),0), Holidays_Table[Holidays]))</f>
        <v>44285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7"/>
      <c r="N14" s="87"/>
      <c r="O14" s="88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9"/>
      <c r="M15" s="89"/>
      <c r="N15" s="89"/>
      <c r="O15" s="90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40" priority="7">
      <formula>ISERROR(AF14)</formula>
    </cfRule>
  </conditionalFormatting>
  <conditionalFormatting sqref="W13:X13">
    <cfRule type="expression" dxfId="39" priority="6">
      <formula>IF(OR($S$8 = "Assemble Addin", $S$8 = "Bluebeam QL"), TRUE, FALSE)</formula>
    </cfRule>
  </conditionalFormatting>
  <conditionalFormatting sqref="N6:O6">
    <cfRule type="expression" dxfId="38" priority="5">
      <formula>IF($N$6=$O$6, FALSE, TRUE)</formula>
    </cfRule>
  </conditionalFormatting>
  <conditionalFormatting sqref="W14:X21">
    <cfRule type="expression" dxfId="37" priority="3">
      <formula>IF(OR($S$8 = "Assemble Addin", $S$8 = "Bluebeam QL"), TRUE, FALSE)</formula>
    </cfRule>
    <cfRule type="expression" dxfId="36" priority="4">
      <formula>IF(OR($S$8 = "Assemble Addin", $S$8 = "Bluebeam QL"), MOD(ROW(), 2)=0, FALSE)</formula>
    </cfRule>
  </conditionalFormatting>
  <conditionalFormatting sqref="R13">
    <cfRule type="expression" dxfId="35" priority="2">
      <formula>IF($S$8 = "Assemble Addin", TRUE, FALSE)</formula>
    </cfRule>
  </conditionalFormatting>
  <conditionalFormatting sqref="R14:R21">
    <cfRule type="expression" dxfId="34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K46" sqref="K4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9" t="s">
        <v>80</v>
      </c>
      <c r="AB1" s="80"/>
    </row>
    <row r="2" spans="2:3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8" t="str">
        <f>Main!C34</f>
        <v>Sample Sub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8" t="str">
        <f>RIGHT(Main!B34, LEN(Main!B34) - 4)</f>
        <v>Sample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91" t="str">
        <f>_xlfn.CONCAT("This Week's Production (", IF(ISBLANK($S$6),"",$S$6), ")")</f>
        <v>This Week's Production (SF)</v>
      </c>
      <c r="K8" s="91"/>
      <c r="L8" s="91"/>
      <c r="M8" s="9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91" t="str">
        <f>_xlfn.CONCAT("Weekly Average (", IF(ISBLANK($S$6),"",$S$6), ")")</f>
        <v>Weekly Average (SF)</v>
      </c>
      <c r="K9" s="91"/>
      <c r="L9" s="91"/>
      <c r="M9" s="9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91" t="str">
        <f>_xlfn.CONCAT("Average Past 4 Weeks (", IF(ISBLANK($S$6),"",$S$6), ")")</f>
        <v>Average Past 4 Weeks (SF)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156</v>
      </c>
      <c r="V10" s="86"/>
      <c r="W10" s="86"/>
      <c r="X10" s="86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91" t="str">
        <f>_xlfn.CONCAT("On Schedule Average (", IF(ISBLANK($S$6),"",$S$6), ")")</f>
        <v>On Schedule Average (SF)</v>
      </c>
      <c r="K11" s="91"/>
      <c r="L11" s="91"/>
      <c r="M11" s="91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6"/>
      <c r="V11" s="86"/>
      <c r="W11" s="86"/>
      <c r="X11" s="86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81" t="s">
        <v>46</v>
      </c>
      <c r="K13" s="81"/>
      <c r="L13" s="81"/>
      <c r="M13" s="81"/>
      <c r="N13" s="82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9"/>
      <c r="M15" s="89"/>
      <c r="N15" s="89"/>
      <c r="O15" s="9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33" priority="7">
      <formula>ISERROR(AF14)</formula>
    </cfRule>
  </conditionalFormatting>
  <conditionalFormatting sqref="W13:X13">
    <cfRule type="expression" dxfId="32" priority="6">
      <formula>IF(OR($S$8 = "Assemble Addin", $S$8 = "Bluebeam QL"), TRUE, FALSE)</formula>
    </cfRule>
  </conditionalFormatting>
  <conditionalFormatting sqref="N6:O6">
    <cfRule type="expression" dxfId="31" priority="5">
      <formula>IF($N$6=$O$6, FALSE, TRUE)</formula>
    </cfRule>
  </conditionalFormatting>
  <conditionalFormatting sqref="W14:X16">
    <cfRule type="expression" dxfId="30" priority="3">
      <formula>IF(OR($S$8 = "Assemble Addin", $S$8 = "Bluebeam QL"), TRUE, FALSE)</formula>
    </cfRule>
    <cfRule type="expression" dxfId="29" priority="4">
      <formula>IF(OR($S$8 = "Assemble Addin", $S$8 = "Bluebeam QL"), MOD(ROW(), 2)=0, FALSE)</formula>
    </cfRule>
  </conditionalFormatting>
  <conditionalFormatting sqref="R13">
    <cfRule type="expression" dxfId="28" priority="2">
      <formula>IF($S$8 = "Assemble Addin", TRUE, FALSE)</formula>
    </cfRule>
  </conditionalFormatting>
  <conditionalFormatting sqref="R14:R16">
    <cfRule type="expression" dxfId="27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71767-EC14-4007-9786-1A725A613431}">
  <sheetPr codeName="Sheet9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78" customWidth="1"/>
    <col min="2" max="2" width="18.26953125" style="78" customWidth="1"/>
    <col min="3" max="3" width="9.1796875" style="78" customWidth="1"/>
    <col min="4" max="8" width="8.7265625" style="78"/>
    <col min="9" max="9" width="14.54296875" style="78" customWidth="1"/>
    <col min="10" max="10" width="9.1796875" style="78" customWidth="1"/>
    <col min="11" max="11" width="8.7265625" style="78"/>
    <col min="12" max="13" width="9.453125" style="78" customWidth="1"/>
    <col min="14" max="15" width="10.54296875" style="78" customWidth="1"/>
    <col min="16" max="17" width="2.54296875" style="78" customWidth="1"/>
    <col min="18" max="18" width="18.453125" style="17" customWidth="1"/>
    <col min="19" max="19" width="24.7265625" style="78" customWidth="1"/>
    <col min="20" max="20" width="22.08984375" style="78" bestFit="1" customWidth="1"/>
    <col min="21" max="21" width="15.54296875" style="78" bestFit="1" customWidth="1"/>
    <col min="22" max="22" width="14.54296875" style="78" customWidth="1"/>
    <col min="23" max="24" width="17.26953125" style="78" customWidth="1"/>
    <col min="25" max="26" width="2.54296875" style="78" customWidth="1"/>
    <col min="27" max="27" width="14.81640625" style="78" customWidth="1"/>
    <col min="28" max="28" width="16.54296875" style="50" customWidth="1"/>
    <col min="29" max="29" width="16" style="78" customWidth="1"/>
    <col min="30" max="30" width="19.26953125" style="78" customWidth="1"/>
    <col min="31" max="31" width="20.26953125" style="78" customWidth="1"/>
    <col min="32" max="32" width="22.1796875" style="78" customWidth="1"/>
    <col min="33" max="16384" width="8.7265625" style="78"/>
  </cols>
  <sheetData>
    <row r="1" spans="2:39" ht="15" thickBot="1" x14ac:dyDescent="0.4">
      <c r="R1" s="108" t="str">
        <f>HYPERLINK("#Main!A1", "Back to Main")</f>
        <v>Back to Main</v>
      </c>
      <c r="AA1" s="79" t="s">
        <v>80</v>
      </c>
      <c r="AB1" s="80"/>
    </row>
    <row r="2" spans="2:3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0401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f>MIN(Input_0401[Start Date])+(7-WEEKDAY(MIN(Input_0401[Start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MAX(Input_0401[Finish Date])+(7-WEEKDAY(MAX(Input_0401[Finish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8" t="str">
        <f>Main!C14</f>
        <v>some sub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8" t="str">
        <f>RIGHT(Main!B14, LEN(Main!B14) - 4)</f>
        <v>some trade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78" t="str">
        <f>TEXT(AC4-AC3, "hh:mm:ss")</f>
        <v>00:00:39</v>
      </c>
    </row>
    <row r="8" spans="2:39" ht="15" x14ac:dyDescent="0.3">
      <c r="B8" s="30"/>
      <c r="C8" s="77"/>
      <c r="D8" s="77"/>
      <c r="E8" s="77"/>
      <c r="F8" s="77"/>
      <c r="G8" s="77"/>
      <c r="H8" s="77"/>
      <c r="I8" s="77"/>
      <c r="J8" s="91" t="str">
        <f>_xlfn.CONCAT("This Week's Production (", IF(ISBLANK($S$6),"",$S$6), ")")</f>
        <v>This Week's Production (SF)</v>
      </c>
      <c r="K8" s="91"/>
      <c r="L8" s="91"/>
      <c r="M8" s="9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77"/>
      <c r="D9" s="77"/>
      <c r="E9" s="77"/>
      <c r="F9" s="77"/>
      <c r="G9" s="77"/>
      <c r="H9" s="77"/>
      <c r="I9" s="77"/>
      <c r="J9" s="91" t="str">
        <f>_xlfn.CONCAT("Weekly Average (", IF(ISBLANK($S$6),"",$S$6), ")")</f>
        <v>Weekly Average (SF)</v>
      </c>
      <c r="K9" s="91"/>
      <c r="L9" s="91"/>
      <c r="M9" s="9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39" ht="15" x14ac:dyDescent="0.3">
      <c r="B10" s="30"/>
      <c r="C10" s="77"/>
      <c r="D10" s="77"/>
      <c r="E10" s="77"/>
      <c r="F10" s="77"/>
      <c r="G10" s="77"/>
      <c r="H10" s="77"/>
      <c r="I10" s="77"/>
      <c r="J10" s="91" t="str">
        <f>_xlfn.CONCAT("Average Past 4 Weeks (", IF(ISBLANK($S$6),"",$S$6), ")")</f>
        <v>Average Past 4 Weeks (SF)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156</v>
      </c>
      <c r="V10" s="86"/>
      <c r="W10" s="86"/>
      <c r="X10" s="86"/>
      <c r="AB10" s="62"/>
      <c r="AC10" s="61"/>
      <c r="AD10" s="59"/>
    </row>
    <row r="11" spans="2:39" ht="15" x14ac:dyDescent="0.3">
      <c r="B11" s="30"/>
      <c r="C11" s="77"/>
      <c r="D11" s="77"/>
      <c r="E11" s="77"/>
      <c r="F11" s="77"/>
      <c r="G11" s="77"/>
      <c r="H11" s="77"/>
      <c r="I11" s="77"/>
      <c r="J11" s="91" t="str">
        <f>_xlfn.CONCAT("On Schedule Average (", IF(ISBLANK($S$6),"",$S$6), ")")</f>
        <v>On Schedule Average (SF)</v>
      </c>
      <c r="K11" s="91"/>
      <c r="L11" s="91"/>
      <c r="M11" s="91"/>
      <c r="N11" s="32">
        <f ca="1">IF($S$3&lt;MAX(Input_0401[Finish Date])+(7-WEEKDAY(MAX(Input_0401[Finish Date]),2)+_xlfn.SWITCH(Reporting_Day, "Sunday", 7, "Monday", 1, "Tuesday", 2, "Wednesday", 3, "Thursday", 4, "Friday", 5, "Saturday", 6)),AVERAGE(INDIRECT("AC"&amp;MATCH($S$3, Output_0401[Date],0)+13&amp;":AC"&amp;ROW(Output_0401[Weekly Plan])-1+ROWS(Output_0401[Weekly Plan]))), "-")</f>
        <v>301.81818181818176</v>
      </c>
      <c r="O11" s="33">
        <f ca="1">IF($O$5&gt;0.998, "-", (SUM(Input_0401[Total])-INDIRECT("AF"&amp;MATCH($S$3, Output_0401[Date],0)+13))/(ROW(Output_0401[Weekly Plan])-1+ROWS(Output_0401[Weekly Plan])-(MATCH($S$3, Output_0401[Date],0)+13)))</f>
        <v>414.28571428571428</v>
      </c>
      <c r="U11" s="86"/>
      <c r="V11" s="86"/>
      <c r="W11" s="86"/>
      <c r="X11" s="86"/>
      <c r="AC11" s="59"/>
      <c r="AD11" s="59"/>
    </row>
    <row r="12" spans="2:39" ht="15" x14ac:dyDescent="0.3">
      <c r="B12" s="30"/>
      <c r="C12" s="77"/>
      <c r="D12" s="77"/>
      <c r="E12" s="77"/>
      <c r="F12" s="77"/>
      <c r="G12" s="77"/>
      <c r="H12" s="77"/>
      <c r="I12" s="77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77"/>
      <c r="D13" s="77"/>
      <c r="E13" s="77"/>
      <c r="F13" s="77"/>
      <c r="G13" s="77"/>
      <c r="H13" s="77"/>
      <c r="I13" s="77"/>
      <c r="J13" s="81" t="s">
        <v>46</v>
      </c>
      <c r="K13" s="81"/>
      <c r="L13" s="81"/>
      <c r="M13" s="81"/>
      <c r="N13" s="82">
        <f ca="1">IF(O10=0,"",IF($O$5&gt;0.999, "Completed", WORKDAY($S$3, ROUNDUP((SUM(Input_0401[Total])-(INDIRECT("AF"&amp;MATCH($S$3, Output_0401[Date],0)+13)))/($O$10/COUNTIF($U$2:$U$8,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77"/>
      <c r="D14" s="77"/>
      <c r="E14" s="77"/>
      <c r="F14" s="77"/>
      <c r="G14" s="77"/>
      <c r="H14" s="77"/>
      <c r="I14" s="77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78">
        <v>3000</v>
      </c>
      <c r="X14" s="78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IF(Output_0401[[#This Row],[WP_A1]]="", 0, Output_0401[[#This Row],[WP_A1]])+IF(Output_0401[[#This Row],[WP_A2]]="", 0, Output_0401[[#This Row],[WP_A2]])+IF(Output_0401[[#This Row],[WP_A3]]="", 0, Output_0401[[#This Row],[WP_A3]])</f>
        <v>171.42857142857142</v>
      </c>
      <c r="AD14" s="51">
        <f>IF(AND(ISBLANK(Output_0401[[#This Row],[WA_A1]]),ISBLANK(Output_0401[[#This Row],[WA_A2]]),ISBLANK(Output_0401[[#This Row],[WA_A3]])),"", Output_0401[[#This Row],[WA_A1]]+Output_0401[[#This Row],[WA_A2]]+Output_0401[[#This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WeeklyPlanned(Output_0401[[#Headers],[WP_A1]], Output_0401[[#This Row],[Date]])</f>
        <v>171.42857142857142</v>
      </c>
      <c r="AH14" s="51">
        <v>300</v>
      </c>
      <c r="AI14" s="51" t="str">
        <f ca="1">WeeklyPlanned(Output_0401[[#Headers],[WP_A2]], Output_0401[[#This Row],[Date]])</f>
        <v/>
      </c>
      <c r="AJ14" s="51"/>
      <c r="AK14" s="51" t="str">
        <f ca="1">WeeklyPlanned(Output_0401[[#Headers],[WP_A3]], Output_0401[[#This Row],[Date]])</f>
        <v/>
      </c>
      <c r="AL14" s="51"/>
    </row>
    <row r="15" spans="2:39" ht="16" thickBot="1" x14ac:dyDescent="0.4">
      <c r="B15" s="30"/>
      <c r="C15" s="77"/>
      <c r="D15" s="77"/>
      <c r="E15" s="77"/>
      <c r="F15" s="77"/>
      <c r="G15" s="77"/>
      <c r="H15" s="77"/>
      <c r="I15" s="77"/>
      <c r="J15" s="39"/>
      <c r="K15" s="39"/>
      <c r="L15" s="89"/>
      <c r="M15" s="89"/>
      <c r="N15" s="89"/>
      <c r="O15" s="9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78">
        <v>3000</v>
      </c>
      <c r="X15" s="78">
        <v>600</v>
      </c>
      <c r="AA15" s="47">
        <f t="shared" si="0"/>
        <v>43915</v>
      </c>
      <c r="AB15" s="49" t="str">
        <f t="shared" ca="1" si="1"/>
        <v>A1</v>
      </c>
      <c r="AC15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5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WeeklyPlanned(Output_0401[[#Headers],[WP_A1]], Output_0401[[#This Row],[Date]])</f>
        <v>428.57142857142856</v>
      </c>
      <c r="AH15" s="51">
        <v>250</v>
      </c>
      <c r="AI15" s="51" t="str">
        <f ca="1">WeeklyPlanned(Output_0401[[#Headers],[WP_A2]], Output_0401[[#This Row],[Date]])</f>
        <v/>
      </c>
      <c r="AJ15" s="51"/>
      <c r="AK15" s="51" t="str">
        <f ca="1">WeeklyPlanned(Output_0401[[#Headers],[WP_A3]], Output_0401[[#This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78">
        <v>3000</v>
      </c>
      <c r="AA16" s="47">
        <f t="shared" si="0"/>
        <v>43922</v>
      </c>
      <c r="AB16" s="49" t="str">
        <f t="shared" ca="1" si="1"/>
        <v>A1</v>
      </c>
      <c r="AC16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6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WeeklyPlanned(Output_0401[[#Headers],[WP_A1]], Output_0401[[#This Row],[Date]])</f>
        <v>428.57142857142856</v>
      </c>
      <c r="AH16" s="51">
        <v>250</v>
      </c>
      <c r="AI16" s="51" t="str">
        <f ca="1">WeeklyPlanned(Output_0401[[#Headers],[WP_A2]], Output_0401[[#This Row],[Date]])</f>
        <v/>
      </c>
      <c r="AJ16" s="51"/>
      <c r="AK16" s="51" t="str">
        <f ca="1">WeeklyPlanned(Output_0401[[#Headers],[WP_A3]], Output_0401[[#This Row],[Date]])</f>
        <v/>
      </c>
      <c r="AL16" s="51"/>
    </row>
    <row r="17" spans="2:38" ht="15.5" x14ac:dyDescent="0.35">
      <c r="B17" s="30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7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WeeklyPlanned(Output_0401[[#Headers],[WP_A1]], Output_0401[[#This Row],[Date]])</f>
        <v>428.57142857142856</v>
      </c>
      <c r="AH17" s="51">
        <v>250</v>
      </c>
      <c r="AI17" s="51" t="str">
        <f ca="1">WeeklyPlanned(Output_0401[[#Headers],[WP_A2]], Output_0401[[#This Row],[Date]])</f>
        <v/>
      </c>
      <c r="AJ17" s="51"/>
      <c r="AK17" s="51" t="str">
        <f ca="1">WeeklyPlanned(Output_0401[[#Headers],[WP_A3]], Output_0401[[#This Row],[Date]])</f>
        <v/>
      </c>
      <c r="AL17" s="51"/>
    </row>
    <row r="18" spans="2:38" ht="15.5" x14ac:dyDescent="0.35">
      <c r="B18" s="30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8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WeeklyPlanned(Output_0401[[#Headers],[WP_A1]], Output_0401[[#This Row],[Date]])</f>
        <v>428.57142857142856</v>
      </c>
      <c r="AH18" s="51">
        <v>250</v>
      </c>
      <c r="AI18" s="51" t="str">
        <f ca="1">WeeklyPlanned(Output_0401[[#Headers],[WP_A2]], Output_0401[[#This Row],[Date]])</f>
        <v/>
      </c>
      <c r="AJ18" s="51"/>
      <c r="AK18" s="51" t="str">
        <f ca="1">WeeklyPlanned(Output_0401[[#Headers],[WP_A3]], Output_0401[[#This Row],[Date]])</f>
        <v/>
      </c>
      <c r="AL18" s="51"/>
    </row>
    <row r="19" spans="2:38" ht="15.5" x14ac:dyDescent="0.35">
      <c r="B19" s="30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43"/>
      <c r="AA19" s="47">
        <f t="shared" si="0"/>
        <v>43943</v>
      </c>
      <c r="AB19" s="49" t="str">
        <f t="shared" ca="1" si="1"/>
        <v>A1</v>
      </c>
      <c r="AC19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9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WeeklyPlanned(Output_0401[[#Headers],[WP_A1]], Output_0401[[#This Row],[Date]])</f>
        <v>428.57142857142856</v>
      </c>
      <c r="AH19" s="51">
        <v>250</v>
      </c>
      <c r="AI19" s="51" t="str">
        <f ca="1">WeeklyPlanned(Output_0401[[#Headers],[WP_A2]], Output_0401[[#This Row],[Date]])</f>
        <v/>
      </c>
      <c r="AJ19" s="51"/>
      <c r="AK19" s="51" t="str">
        <f ca="1">WeeklyPlanned(Output_0401[[#Headers],[WP_A3]], Output_0401[[#This Row],[Date]])</f>
        <v/>
      </c>
      <c r="AL19" s="51"/>
    </row>
    <row r="20" spans="2:38" ht="15.5" x14ac:dyDescent="0.35">
      <c r="B20" s="30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43"/>
      <c r="AA20" s="47">
        <f t="shared" si="0"/>
        <v>43950</v>
      </c>
      <c r="AB20" s="49" t="str">
        <f t="shared" ca="1" si="1"/>
        <v>A1</v>
      </c>
      <c r="AC20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20" s="51">
        <f>IF(AND(ISBLANK(Output_0401[[#This Row],[WA_A1]]),ISBLANK(Output_0401[[#This Row],[WA_A2]]),ISBLANK(Output_0401[[#This Row],[WA_A3]])),"", Output_0401[[#This Row],[WA_A1]]+Output_0401[[#This Row],[WA_A2]]+Output_0401[[#This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WeeklyPlanned(Output_0401[[#Headers],[WP_A1]], Output_0401[[#This Row],[Date]])</f>
        <v>428.57142857142856</v>
      </c>
      <c r="AH20" s="51">
        <v>250</v>
      </c>
      <c r="AI20" s="51" t="str">
        <f ca="1">WeeklyPlanned(Output_0401[[#Headers],[WP_A2]], Output_0401[[#This Row],[Date]])</f>
        <v/>
      </c>
      <c r="AJ20" s="51">
        <v>125</v>
      </c>
      <c r="AK20" s="51" t="str">
        <f ca="1">WeeklyPlanned(Output_0401[[#Headers],[WP_A3]], Output_0401[[#This Row],[Date]])</f>
        <v/>
      </c>
      <c r="AL20" s="51"/>
    </row>
    <row r="21" spans="2:38" ht="15.5" x14ac:dyDescent="0.35">
      <c r="B21" s="3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43"/>
      <c r="AA21" s="47">
        <f t="shared" si="0"/>
        <v>43957</v>
      </c>
      <c r="AB21" s="49" t="str">
        <f t="shared" ca="1" si="1"/>
        <v>A1</v>
      </c>
      <c r="AC21" s="51">
        <f ca="1">IF(Output_0401[[#This Row],[WP_A1]]="", 0, Output_0401[[#This Row],[WP_A1]])+IF(Output_0401[[#This Row],[WP_A2]]="", 0, Output_0401[[#This Row],[WP_A2]])+IF(Output_0401[[#This Row],[WP_A3]]="", 0, Output_0401[[#This Row],[WP_A3]])</f>
        <v>257.14285714285711</v>
      </c>
      <c r="AD21" s="51">
        <f>IF(AND(ISBLANK(Output_0401[[#This Row],[WA_A1]]),ISBLANK(Output_0401[[#This Row],[WA_A2]]),ISBLANK(Output_0401[[#This Row],[WA_A3]])),"", Output_0401[[#This Row],[WA_A1]]+Output_0401[[#This Row],[WA_A2]]+Output_0401[[#This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WeeklyPlanned(Output_0401[[#Headers],[WP_A1]], Output_0401[[#This Row],[Date]])</f>
        <v>257.14285714285711</v>
      </c>
      <c r="AH21" s="51">
        <v>250</v>
      </c>
      <c r="AI21" s="51" t="str">
        <f ca="1">WeeklyPlanned(Output_0401[[#Headers],[WP_A2]], Output_0401[[#This Row],[Date]])</f>
        <v/>
      </c>
      <c r="AJ21" s="51">
        <v>125</v>
      </c>
      <c r="AK21" s="51" t="str">
        <f ca="1">WeeklyPlanned(Output_0401[[#Headers],[WP_A3]], Output_0401[[#This Row],[Date]])</f>
        <v/>
      </c>
      <c r="AL21" s="51"/>
    </row>
    <row r="22" spans="2:38" ht="15.5" x14ac:dyDescent="0.35">
      <c r="B22" s="30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43"/>
      <c r="AA22" s="47">
        <f t="shared" si="0"/>
        <v>43964</v>
      </c>
      <c r="AB22" s="49">
        <f t="shared" ca="1" si="1"/>
        <v>0</v>
      </c>
      <c r="AC22" s="51">
        <f ca="1">IF(Output_0401[[#This Row],[WP_A1]]="", 0, Output_0401[[#This Row],[WP_A1]])+IF(Output_0401[[#This Row],[WP_A2]]="", 0, Output_0401[[#This Row],[WP_A2]])+IF(Output_0401[[#This Row],[WP_A3]]="", 0, Output_0401[[#This Row],[WP_A3]])</f>
        <v>0</v>
      </c>
      <c r="AD22" s="51">
        <f>IF(AND(ISBLANK(Output_0401[[#This Row],[WA_A1]]),ISBLANK(Output_0401[[#This Row],[WA_A2]]),ISBLANK(Output_0401[[#This Row],[WA_A3]])),"", Output_0401[[#This Row],[WA_A1]]+Output_0401[[#This Row],[WA_A2]]+Output_0401[[#This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WeeklyPlanned(Output_0401[[#Headers],[WP_A1]], Output_0401[[#This Row],[Date]])</f>
        <v/>
      </c>
      <c r="AH22" s="51">
        <v>250</v>
      </c>
      <c r="AI22" s="51" t="str">
        <f ca="1">WeeklyPlanned(Output_0401[[#Headers],[WP_A2]], Output_0401[[#This Row],[Date]])</f>
        <v/>
      </c>
      <c r="AJ22" s="51">
        <v>125</v>
      </c>
      <c r="AK22" s="51" t="str">
        <f ca="1">WeeklyPlanned(Output_0401[[#Headers],[WP_A3]], Output_0401[[#This Row],[Date]])</f>
        <v/>
      </c>
      <c r="AL22" s="51"/>
    </row>
    <row r="23" spans="2:38" ht="15.5" x14ac:dyDescent="0.35">
      <c r="B23" s="30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43"/>
      <c r="AA23" s="47">
        <f t="shared" si="0"/>
        <v>43971</v>
      </c>
      <c r="AB23" s="49" t="str">
        <f t="shared" ca="1" si="1"/>
        <v>A2</v>
      </c>
      <c r="AC23" s="51">
        <f ca="1">IF(Output_0401[[#This Row],[WP_A1]]="", 0, Output_0401[[#This Row],[WP_A1]])+IF(Output_0401[[#This Row],[WP_A2]]="", 0, Output_0401[[#This Row],[WP_A2]])+IF(Output_0401[[#This Row],[WP_A3]]="", 0, Output_0401[[#This Row],[WP_A3]])</f>
        <v>163.63636363636363</v>
      </c>
      <c r="AD23" s="51">
        <f>IF(AND(ISBLANK(Output_0401[[#This Row],[WA_A1]]),ISBLANK(Output_0401[[#This Row],[WA_A2]]),ISBLANK(Output_0401[[#This Row],[WA_A3]])),"", Output_0401[[#This Row],[WA_A1]]+Output_0401[[#This Row],[WA_A2]]+Output_0401[[#This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WeeklyPlanned(Output_0401[[#Headers],[WP_A1]], Output_0401[[#This Row],[Date]])</f>
        <v/>
      </c>
      <c r="AH23" s="51">
        <v>150</v>
      </c>
      <c r="AI23" s="51">
        <f ca="1">WeeklyPlanned(Output_0401[[#Headers],[WP_A2]], Output_0401[[#This Row],[Date]])</f>
        <v>163.63636363636363</v>
      </c>
      <c r="AJ23" s="51">
        <v>125</v>
      </c>
      <c r="AK23" s="51" t="str">
        <f ca="1">WeeklyPlanned(Output_0401[[#Headers],[WP_A3]], Output_0401[[#This Row],[Date]])</f>
        <v/>
      </c>
      <c r="AL23" s="51"/>
    </row>
    <row r="24" spans="2:38" ht="15.5" x14ac:dyDescent="0.35">
      <c r="B24" s="30"/>
      <c r="C24" s="77" t="s">
        <v>47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43"/>
      <c r="AA24" s="47">
        <f t="shared" si="0"/>
        <v>43978</v>
      </c>
      <c r="AB24" s="49" t="str">
        <f t="shared" ca="1" si="1"/>
        <v>A2</v>
      </c>
      <c r="AC24" s="51">
        <f ca="1">IF(Output_0401[[#This Row],[WP_A1]]="", 0, Output_0401[[#This Row],[WP_A1]])+IF(Output_0401[[#This Row],[WP_A2]]="", 0, Output_0401[[#This Row],[WP_A2]])+IF(Output_0401[[#This Row],[WP_A3]]="", 0, Output_0401[[#This Row],[WP_A3]])</f>
        <v>218.18181818181819</v>
      </c>
      <c r="AD24" s="51">
        <f>IF(AND(ISBLANK(Output_0401[[#This Row],[WA_A1]]),ISBLANK(Output_0401[[#This Row],[WA_A2]]),ISBLANK(Output_0401[[#This Row],[WA_A3]])),"", Output_0401[[#This Row],[WA_A1]]+Output_0401[[#This Row],[WA_A2]]+Output_0401[[#This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WeeklyPlanned(Output_0401[[#Headers],[WP_A1]], Output_0401[[#This Row],[Date]])</f>
        <v/>
      </c>
      <c r="AH24" s="51">
        <v>150</v>
      </c>
      <c r="AI24" s="51">
        <f ca="1">WeeklyPlanned(Output_0401[[#Headers],[WP_A2]], Output_0401[[#This Row],[Date]])</f>
        <v>218.18181818181819</v>
      </c>
      <c r="AJ24" s="51">
        <v>50</v>
      </c>
      <c r="AK24" s="51" t="str">
        <f ca="1">WeeklyPlanned(Output_0401[[#Headers],[WP_A3]], Output_0401[[#This Row],[Date]])</f>
        <v/>
      </c>
      <c r="AL24" s="51"/>
    </row>
    <row r="25" spans="2:38" ht="15.5" x14ac:dyDescent="0.35">
      <c r="B25" s="30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43"/>
      <c r="AA25" s="47">
        <f t="shared" si="0"/>
        <v>43985</v>
      </c>
      <c r="AB25" s="49" t="str">
        <f t="shared" ca="1" si="1"/>
        <v>A2</v>
      </c>
      <c r="AC25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5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WeeklyPlanned(Output_0401[[#Headers],[WP_A1]], Output_0401[[#This Row],[Date]])</f>
        <v/>
      </c>
      <c r="AH25" s="51">
        <v>0</v>
      </c>
      <c r="AI25" s="51">
        <f ca="1">WeeklyPlanned(Output_0401[[#Headers],[WP_A2]], Output_0401[[#This Row],[Date]])</f>
        <v>272.72727272727275</v>
      </c>
      <c r="AJ25" s="51"/>
      <c r="AK25" s="51" t="str">
        <f ca="1">WeeklyPlanned(Output_0401[[#Headers],[WP_A3]], Output_0401[[#This Row],[Date]])</f>
        <v/>
      </c>
      <c r="AL25" s="51"/>
    </row>
    <row r="26" spans="2:38" ht="15.5" x14ac:dyDescent="0.35">
      <c r="B26" s="30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6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WeeklyPlanned(Output_0401[[#Headers],[WP_A1]], Output_0401[[#This Row],[Date]])</f>
        <v/>
      </c>
      <c r="AH26" s="51">
        <v>0</v>
      </c>
      <c r="AI26" s="51">
        <f ca="1">WeeklyPlanned(Output_0401[[#Headers],[WP_A2]], Output_0401[[#This Row],[Date]])</f>
        <v>272.72727272727275</v>
      </c>
      <c r="AJ26" s="51"/>
      <c r="AK26" s="51" t="str">
        <f ca="1">WeeklyPlanned(Output_0401[[#Headers],[WP_A3]], Output_0401[[#This Row],[Date]])</f>
        <v/>
      </c>
      <c r="AL26" s="51"/>
    </row>
    <row r="27" spans="2:38" ht="15.5" x14ac:dyDescent="0.35">
      <c r="B27" s="30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43"/>
      <c r="AA27" s="47">
        <f t="shared" si="0"/>
        <v>43999</v>
      </c>
      <c r="AB27" s="49" t="str">
        <f t="shared" ca="1" si="1"/>
        <v>A2</v>
      </c>
      <c r="AC27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7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WeeklyPlanned(Output_0401[[#Headers],[WP_A1]], Output_0401[[#This Row],[Date]])</f>
        <v/>
      </c>
      <c r="AH27" s="51">
        <v>0</v>
      </c>
      <c r="AI27" s="51">
        <f ca="1">WeeklyPlanned(Output_0401[[#Headers],[WP_A2]], Output_0401[[#This Row],[Date]])</f>
        <v>272.72727272727275</v>
      </c>
      <c r="AJ27" s="51"/>
      <c r="AK27" s="51" t="str">
        <f ca="1">WeeklyPlanned(Output_0401[[#Headers],[WP_A3]], Output_0401[[#This Row],[Date]])</f>
        <v/>
      </c>
      <c r="AL27" s="51"/>
    </row>
    <row r="28" spans="2:38" ht="15.5" x14ac:dyDescent="0.35">
      <c r="B28" s="30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43"/>
      <c r="AA28" s="47">
        <f t="shared" si="0"/>
        <v>44006</v>
      </c>
      <c r="AB28" s="49" t="str">
        <f t="shared" ca="1" si="1"/>
        <v>A2</v>
      </c>
      <c r="AC28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8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WeeklyPlanned(Output_0401[[#Headers],[WP_A1]], Output_0401[[#This Row],[Date]])</f>
        <v/>
      </c>
      <c r="AH28" s="51">
        <v>0</v>
      </c>
      <c r="AI28" s="51">
        <f ca="1">WeeklyPlanned(Output_0401[[#Headers],[WP_A2]], Output_0401[[#This Row],[Date]])</f>
        <v>272.72727272727275</v>
      </c>
      <c r="AJ28" s="51"/>
      <c r="AK28" s="51" t="str">
        <f ca="1">WeeklyPlanned(Output_0401[[#Headers],[WP_A3]], Output_0401[[#This Row],[Date]])</f>
        <v/>
      </c>
      <c r="AL28" s="51"/>
    </row>
    <row r="29" spans="2:38" ht="15.5" x14ac:dyDescent="0.35">
      <c r="B29" s="30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43"/>
      <c r="AA29" s="47">
        <f t="shared" si="0"/>
        <v>44013</v>
      </c>
      <c r="AB29" s="49" t="str">
        <f t="shared" ca="1" si="1"/>
        <v>A2</v>
      </c>
      <c r="AC29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9" s="51">
        <f>IF(AND(ISBLANK(Output_0401[[#This Row],[WA_A1]]),ISBLANK(Output_0401[[#This Row],[WA_A2]]),ISBLANK(Output_0401[[#This Row],[WA_A3]])),"", Output_0401[[#This Row],[WA_A1]]+Output_0401[[#This Row],[WA_A2]]+Output_0401[[#This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WeeklyPlanned(Output_0401[[#Headers],[WP_A1]], Output_0401[[#This Row],[Date]])</f>
        <v/>
      </c>
      <c r="AH29" s="51">
        <v>0</v>
      </c>
      <c r="AI29" s="51">
        <f ca="1">WeeklyPlanned(Output_0401[[#Headers],[WP_A2]], Output_0401[[#This Row],[Date]])</f>
        <v>272.72727272727275</v>
      </c>
      <c r="AJ29" s="51">
        <v>50</v>
      </c>
      <c r="AK29" s="51" t="str">
        <f ca="1">WeeklyPlanned(Output_0401[[#Headers],[WP_A3]], Output_0401[[#This Row],[Date]])</f>
        <v/>
      </c>
      <c r="AL29" s="51">
        <v>0</v>
      </c>
    </row>
    <row r="30" spans="2:38" ht="15.5" x14ac:dyDescent="0.35">
      <c r="B30" s="30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43"/>
      <c r="AA30" s="47">
        <f t="shared" si="0"/>
        <v>44020</v>
      </c>
      <c r="AB30" s="49" t="str">
        <f t="shared" ca="1" si="1"/>
        <v>A2</v>
      </c>
      <c r="AC30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30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WeeklyPlanned(Output_0401[[#Headers],[WP_A1]], Output_0401[[#This Row],[Date]])</f>
        <v/>
      </c>
      <c r="AH30" s="51"/>
      <c r="AI30" s="51">
        <f ca="1">WeeklyPlanned(Output_0401[[#Headers],[WP_A2]], Output_0401[[#This Row],[Date]])</f>
        <v>272.72727272727275</v>
      </c>
      <c r="AJ30" s="51"/>
      <c r="AK30" s="51" t="str">
        <f ca="1">WeeklyPlanned(Output_0401[[#Headers],[WP_A3]], Output_0401[[#This Row],[Date]])</f>
        <v/>
      </c>
      <c r="AL30" s="51"/>
    </row>
    <row r="31" spans="2:38" ht="15.5" x14ac:dyDescent="0.35">
      <c r="B31" s="30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43"/>
      <c r="AA31" s="47">
        <f t="shared" si="0"/>
        <v>44027</v>
      </c>
      <c r="AB31" s="49" t="str">
        <f t="shared" ca="1" si="1"/>
        <v>A2</v>
      </c>
      <c r="AC31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31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WeeklyPlanned(Output_0401[[#Headers],[WP_A1]], Output_0401[[#This Row],[Date]])</f>
        <v/>
      </c>
      <c r="AH31" s="51"/>
      <c r="AI31" s="51">
        <f ca="1">WeeklyPlanned(Output_0401[[#Headers],[WP_A2]], Output_0401[[#This Row],[Date]])</f>
        <v>272.72727272727275</v>
      </c>
      <c r="AJ31" s="51"/>
      <c r="AK31" s="51" t="str">
        <f ca="1">WeeklyPlanned(Output_0401[[#Headers],[WP_A3]], Output_0401[[#This Row],[Date]])</f>
        <v/>
      </c>
      <c r="AL31" s="51"/>
    </row>
    <row r="32" spans="2:38" ht="15.5" x14ac:dyDescent="0.35">
      <c r="B32" s="30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43"/>
      <c r="AA32" s="47">
        <f t="shared" si="0"/>
        <v>44034</v>
      </c>
      <c r="AB32" s="49" t="str">
        <f t="shared" ca="1" si="1"/>
        <v>A2, A3</v>
      </c>
      <c r="AC32" s="51">
        <f ca="1">IF(Output_0401[[#This Row],[WP_A1]]="", 0, Output_0401[[#This Row],[WP_A1]])+IF(Output_0401[[#This Row],[WP_A2]]="", 0, Output_0401[[#This Row],[WP_A2]])+IF(Output_0401[[#This Row],[WP_A3]]="", 0, Output_0401[[#This Row],[WP_A3]])</f>
        <v>535.88516746411483</v>
      </c>
      <c r="AD32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WeeklyPlanned(Output_0401[[#Headers],[WP_A1]], Output_0401[[#This Row],[Date]])</f>
        <v/>
      </c>
      <c r="AH32" s="51"/>
      <c r="AI32" s="51">
        <f ca="1">WeeklyPlanned(Output_0401[[#Headers],[WP_A2]], Output_0401[[#This Row],[Date]])</f>
        <v>272.72727272727275</v>
      </c>
      <c r="AJ32" s="51"/>
      <c r="AK32" s="51">
        <f ca="1">WeeklyPlanned(Output_0401[[#Headers],[WP_A3]], Output_0401[[#This Row],[Date]])</f>
        <v>263.15789473684208</v>
      </c>
      <c r="AL32" s="51"/>
    </row>
    <row r="33" spans="2:38" ht="15.5" x14ac:dyDescent="0.35">
      <c r="B33" s="30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43"/>
      <c r="AA33" s="47">
        <f t="shared" si="0"/>
        <v>44041</v>
      </c>
      <c r="AB33" s="49" t="str">
        <f t="shared" ca="1" si="1"/>
        <v>A2, A3</v>
      </c>
      <c r="AC33" s="51">
        <f ca="1">IF(Output_0401[[#This Row],[WP_A1]]="", 0, Output_0401[[#This Row],[WP_A1]])+IF(Output_0401[[#This Row],[WP_A2]]="", 0, Output_0401[[#This Row],[WP_A2]])+IF(Output_0401[[#This Row],[WP_A3]]="", 0, Output_0401[[#This Row],[WP_A3]])</f>
        <v>535.88516746411483</v>
      </c>
      <c r="AD33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WeeklyPlanned(Output_0401[[#Headers],[WP_A1]], Output_0401[[#This Row],[Date]])</f>
        <v/>
      </c>
      <c r="AH33" s="51"/>
      <c r="AI33" s="51">
        <f ca="1">WeeklyPlanned(Output_0401[[#Headers],[WP_A2]], Output_0401[[#This Row],[Date]])</f>
        <v>272.72727272727275</v>
      </c>
      <c r="AJ33" s="51"/>
      <c r="AK33" s="51">
        <f ca="1">WeeklyPlanned(Output_0401[[#Headers],[WP_A3]], Output_0401[[#This Row],[Date]])</f>
        <v>263.15789473684208</v>
      </c>
      <c r="AL33" s="51"/>
    </row>
    <row r="34" spans="2:38" ht="15.5" x14ac:dyDescent="0.35">
      <c r="B34" s="30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43"/>
      <c r="AA34" s="47">
        <f t="shared" si="0"/>
        <v>44048</v>
      </c>
      <c r="AB34" s="49" t="str">
        <f t="shared" ca="1" si="1"/>
        <v>A2, A3</v>
      </c>
      <c r="AC34" s="51">
        <f ca="1">IF(Output_0401[[#This Row],[WP_A1]]="", 0, Output_0401[[#This Row],[WP_A1]])+IF(Output_0401[[#This Row],[WP_A2]]="", 0, Output_0401[[#This Row],[WP_A2]])+IF(Output_0401[[#This Row],[WP_A3]]="", 0, Output_0401[[#This Row],[WP_A3]])</f>
        <v>426.79425837320571</v>
      </c>
      <c r="AD34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WeeklyPlanned(Output_0401[[#Headers],[WP_A1]], Output_0401[[#This Row],[Date]])</f>
        <v/>
      </c>
      <c r="AH34" s="51"/>
      <c r="AI34" s="51">
        <f ca="1">WeeklyPlanned(Output_0401[[#Headers],[WP_A2]], Output_0401[[#This Row],[Date]])</f>
        <v>163.63636363636363</v>
      </c>
      <c r="AJ34" s="51"/>
      <c r="AK34" s="51">
        <f ca="1">WeeklyPlanned(Output_0401[[#Headers],[WP_A3]], Output_0401[[#This Row],[Date]])</f>
        <v>263.15789473684208</v>
      </c>
      <c r="AL34" s="51"/>
    </row>
    <row r="35" spans="2:38" ht="15.5" x14ac:dyDescent="0.35">
      <c r="B35" s="30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43"/>
      <c r="AA35" s="47">
        <f t="shared" si="0"/>
        <v>44055</v>
      </c>
      <c r="AB35" s="49" t="str">
        <f t="shared" ca="1" si="1"/>
        <v>A3</v>
      </c>
      <c r="AC35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5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WeeklyPlanned(Output_0401[[#Headers],[WP_A1]], Output_0401[[#This Row],[Date]])</f>
        <v/>
      </c>
      <c r="AH35" s="51"/>
      <c r="AI35" s="51" t="str">
        <f ca="1">WeeklyPlanned(Output_0401[[#Headers],[WP_A2]], Output_0401[[#This Row],[Date]])</f>
        <v/>
      </c>
      <c r="AJ35" s="51"/>
      <c r="AK35" s="51">
        <f ca="1">WeeklyPlanned(Output_0401[[#Headers],[WP_A3]], Output_0401[[#This Row],[Date]])</f>
        <v>263.15789473684208</v>
      </c>
      <c r="AL35" s="51"/>
    </row>
    <row r="36" spans="2:38" ht="15.5" x14ac:dyDescent="0.35">
      <c r="B36" s="30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43"/>
      <c r="AA36" s="47">
        <f t="shared" si="0"/>
        <v>44062</v>
      </c>
      <c r="AB36" s="49" t="str">
        <f t="shared" ca="1" si="1"/>
        <v>A3</v>
      </c>
      <c r="AC36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6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WeeklyPlanned(Output_0401[[#Headers],[WP_A1]], Output_0401[[#This Row],[Date]])</f>
        <v/>
      </c>
      <c r="AH36" s="51"/>
      <c r="AI36" s="51" t="str">
        <f ca="1">WeeklyPlanned(Output_0401[[#Headers],[WP_A2]], Output_0401[[#This Row],[Date]])</f>
        <v/>
      </c>
      <c r="AJ36" s="51"/>
      <c r="AK36" s="51">
        <f ca="1">WeeklyPlanned(Output_0401[[#Headers],[WP_A3]], Output_0401[[#This Row],[Date]])</f>
        <v>263.15789473684208</v>
      </c>
      <c r="AL36" s="51"/>
    </row>
    <row r="37" spans="2:38" ht="15.5" x14ac:dyDescent="0.35">
      <c r="B37" s="30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43"/>
      <c r="AA37" s="47">
        <f t="shared" si="0"/>
        <v>44069</v>
      </c>
      <c r="AB37" s="49" t="str">
        <f t="shared" ca="1" si="1"/>
        <v>A3</v>
      </c>
      <c r="AC37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7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WeeklyPlanned(Output_0401[[#Headers],[WP_A1]], Output_0401[[#This Row],[Date]])</f>
        <v/>
      </c>
      <c r="AH37" s="51"/>
      <c r="AI37" s="51" t="str">
        <f ca="1">WeeklyPlanned(Output_0401[[#Headers],[WP_A2]], Output_0401[[#This Row],[Date]])</f>
        <v/>
      </c>
      <c r="AJ37" s="51"/>
      <c r="AK37" s="51">
        <f ca="1">WeeklyPlanned(Output_0401[[#Headers],[WP_A3]], Output_0401[[#This Row],[Date]])</f>
        <v>263.15789473684208</v>
      </c>
      <c r="AL37" s="51"/>
    </row>
    <row r="38" spans="2:38" ht="15.5" x14ac:dyDescent="0.35">
      <c r="B38" s="30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43"/>
      <c r="AA38" s="47">
        <f t="shared" si="0"/>
        <v>44076</v>
      </c>
      <c r="AB38" s="49" t="str">
        <f t="shared" ca="1" si="1"/>
        <v>A3</v>
      </c>
      <c r="AC38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8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WeeklyPlanned(Output_0401[[#Headers],[WP_A1]], Output_0401[[#This Row],[Date]])</f>
        <v/>
      </c>
      <c r="AH38" s="51"/>
      <c r="AI38" s="51" t="str">
        <f ca="1">WeeklyPlanned(Output_0401[[#Headers],[WP_A2]], Output_0401[[#This Row],[Date]])</f>
        <v/>
      </c>
      <c r="AJ38" s="51"/>
      <c r="AK38" s="51">
        <f ca="1">WeeklyPlanned(Output_0401[[#Headers],[WP_A3]], Output_0401[[#This Row],[Date]])</f>
        <v>263.15789473684208</v>
      </c>
      <c r="AL38" s="51"/>
    </row>
    <row r="39" spans="2:38" ht="15.5" x14ac:dyDescent="0.35">
      <c r="B39" s="30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43"/>
      <c r="AA39" s="47">
        <f t="shared" si="0"/>
        <v>44083</v>
      </c>
      <c r="AB39" s="49" t="str">
        <f t="shared" ca="1" si="1"/>
        <v>A3</v>
      </c>
      <c r="AC39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9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WeeklyPlanned(Output_0401[[#Headers],[WP_A1]], Output_0401[[#This Row],[Date]])</f>
        <v/>
      </c>
      <c r="AH39" s="51"/>
      <c r="AI39" s="51" t="str">
        <f ca="1">WeeklyPlanned(Output_0401[[#Headers],[WP_A2]], Output_0401[[#This Row],[Date]])</f>
        <v/>
      </c>
      <c r="AJ39" s="51"/>
      <c r="AK39" s="51">
        <f ca="1">WeeklyPlanned(Output_0401[[#Headers],[WP_A3]], Output_0401[[#This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40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WeeklyPlanned(Output_0401[[#Headers],[WP_A1]], Output_0401[[#This Row],[Date]])</f>
        <v/>
      </c>
      <c r="AH40" s="51"/>
      <c r="AI40" s="51" t="str">
        <f ca="1">WeeklyPlanned(Output_0401[[#Headers],[WP_A2]], Output_0401[[#This Row],[Date]])</f>
        <v/>
      </c>
      <c r="AJ40" s="51"/>
      <c r="AK40" s="51">
        <f ca="1">WeeklyPlanned(Output_0401[[#Headers],[WP_A3]], Output_0401[[#This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41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WeeklyPlanned(Output_0401[[#Headers],[WP_A1]], Output_0401[[#This Row],[Date]])</f>
        <v/>
      </c>
      <c r="AH41" s="51"/>
      <c r="AI41" s="51" t="str">
        <f ca="1">WeeklyPlanned(Output_0401[[#Headers],[WP_A2]], Output_0401[[#This Row],[Date]])</f>
        <v/>
      </c>
      <c r="AJ41" s="51"/>
      <c r="AK41" s="51">
        <f ca="1">WeeklyPlanned(Output_0401[[#Headers],[WP_A3]], Output_0401[[#This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42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WeeklyPlanned(Output_0401[[#Headers],[WP_A1]], Output_0401[[#This Row],[Date]])</f>
        <v/>
      </c>
      <c r="AH42" s="51"/>
      <c r="AI42" s="51" t="str">
        <f ca="1">WeeklyPlanned(Output_0401[[#Headers],[WP_A2]], Output_0401[[#This Row],[Date]])</f>
        <v/>
      </c>
      <c r="AJ42" s="51"/>
      <c r="AK42" s="51">
        <f ca="1">WeeklyPlanned(Output_0401[[#Headers],[WP_A3]], Output_0401[[#This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IF(Output_0401[[#This Row],[WP_A1]]="", 0, Output_0401[[#This Row],[WP_A1]])+IF(Output_0401[[#This Row],[WP_A2]]="", 0, Output_0401[[#This Row],[WP_A2]])+IF(Output_0401[[#This Row],[WP_A3]]="", 0, Output_0401[[#This Row],[WP_A3]])</f>
        <v>105.26315789473684</v>
      </c>
      <c r="AD43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WeeklyPlanned(Output_0401[[#Headers],[WP_A1]], Output_0401[[#This Row],[Date]])</f>
        <v/>
      </c>
      <c r="AH43" s="51"/>
      <c r="AI43" s="51" t="str">
        <f ca="1">WeeklyPlanned(Output_0401[[#Headers],[WP_A2]], Output_0401[[#This Row],[Date]])</f>
        <v/>
      </c>
      <c r="AJ43" s="51"/>
      <c r="AK43" s="51">
        <f ca="1">WeeklyPlanned(Output_0401[[#Headers],[WP_A3]], Output_0401[[#This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C6:I6"/>
    <mergeCell ref="J6:M6"/>
    <mergeCell ref="C7:I7"/>
    <mergeCell ref="J7:M7"/>
    <mergeCell ref="J8:M8"/>
    <mergeCell ref="J9:M9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26" priority="7">
      <formula>ISERROR(AF14)</formula>
    </cfRule>
  </conditionalFormatting>
  <conditionalFormatting sqref="W13:X13">
    <cfRule type="expression" dxfId="25" priority="6">
      <formula>IF(OR($S$8 = "Assemble Addin", $S$8 = "Bluebeam QL"), TRUE, FALSE)</formula>
    </cfRule>
  </conditionalFormatting>
  <conditionalFormatting sqref="N6:O6">
    <cfRule type="expression" dxfId="24" priority="5">
      <formula>IF($N$6=$O$6, FALSE, TRUE)</formula>
    </cfRule>
  </conditionalFormatting>
  <conditionalFormatting sqref="W14:X16">
    <cfRule type="expression" dxfId="23" priority="3">
      <formula>IF(OR($S$8 = "Assemble Addin", $S$8 = "Bluebeam QL"), TRUE, FALSE)</formula>
    </cfRule>
    <cfRule type="expression" dxfId="22" priority="4">
      <formula>IF(OR($S$8 = "Assemble Addin", $S$8 = "Bluebeam QL"), MOD(ROW(), 2)=0, FALSE)</formula>
    </cfRule>
  </conditionalFormatting>
  <conditionalFormatting sqref="R13">
    <cfRule type="expression" dxfId="21" priority="2">
      <formula>IF($S$8 = "Assemble Addin", TRUE, FALSE)</formula>
    </cfRule>
  </conditionalFormatting>
  <conditionalFormatting sqref="R14:R16">
    <cfRule type="expression" dxfId="20" priority="1">
      <formula>IF($S$8 = "Assemble Addin", MOD(ROW(), 2)=0, FALSE)</formula>
    </cfRule>
  </conditionalFormatting>
  <dataValidations count="2">
    <dataValidation type="list" showInputMessage="1" showErrorMessage="1" sqref="U2:U8" xr:uid="{6147DA8E-8CDB-4D29-8F33-4DF313323C76}">
      <formula1>"TRUE, FALSE"</formula1>
    </dataValidation>
    <dataValidation type="list" showInputMessage="1" showErrorMessage="1" sqref="S8" xr:uid="{4D841494-7FFE-45AA-B5F4-7C9D196EF5F0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0401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'0401'!Print_Area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2020-07-31T16:14:46Z</cp:lastPrinted>
  <dcterms:created xsi:type="dcterms:W3CDTF">2019-04-09T17:53:55Z</dcterms:created>
  <dcterms:modified xsi:type="dcterms:W3CDTF">2020-07-31T16:18:03Z</dcterms:modified>
</cp:coreProperties>
</file>