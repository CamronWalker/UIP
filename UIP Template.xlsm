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31DBB2E-16BF-49F4-B1D9-EFDE122BEE70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6" i="2" l="1"/>
  <c r="A1" i="9" l="1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O45" i="10"/>
  <c r="AO31" i="10"/>
  <c r="AQ37" i="10"/>
  <c r="AI36" i="10"/>
  <c r="AU22" i="10"/>
  <c r="AI18" i="10"/>
  <c r="AQ36" i="10"/>
  <c r="AG28" i="10"/>
  <c r="AM42" i="10"/>
  <c r="AU20" i="10"/>
  <c r="AU24" i="10"/>
  <c r="AS21" i="10"/>
  <c r="AG33" i="10"/>
  <c r="AI38" i="10"/>
  <c r="AS23" i="10"/>
  <c r="AS19" i="10"/>
  <c r="AK27" i="10"/>
  <c r="AQ38" i="10"/>
  <c r="AQ42" i="10"/>
  <c r="AO15" i="10"/>
  <c r="AK25" i="10"/>
  <c r="AS41" i="10"/>
  <c r="AK15" i="10"/>
  <c r="AI23" i="10"/>
  <c r="AM45" i="10"/>
  <c r="AM16" i="10"/>
  <c r="AM17" i="10"/>
  <c r="AQ18" i="10"/>
  <c r="AS42" i="10"/>
  <c r="AK18" i="10"/>
  <c r="AM18" i="10"/>
  <c r="AS24" i="10"/>
  <c r="AO43" i="10"/>
  <c r="AG43" i="10"/>
  <c r="AG40" i="10"/>
  <c r="AM37" i="10"/>
  <c r="AK32" i="10"/>
  <c r="AM34" i="10"/>
  <c r="AS16" i="10"/>
  <c r="AG23" i="10"/>
  <c r="AO29" i="10"/>
  <c r="AG14" i="10"/>
  <c r="AU19" i="10"/>
  <c r="AO16" i="10"/>
  <c r="AS39" i="10"/>
  <c r="AS35" i="10"/>
  <c r="AK19" i="10"/>
  <c r="AM38" i="10"/>
  <c r="AK33" i="10"/>
  <c r="AQ34" i="10"/>
  <c r="AI24" i="10"/>
  <c r="AI37" i="10"/>
  <c r="AI17" i="10"/>
  <c r="AQ45" i="10"/>
  <c r="AG36" i="10"/>
  <c r="AQ30" i="10"/>
  <c r="AI32" i="10"/>
  <c r="AQ31" i="10"/>
  <c r="AU39" i="10"/>
  <c r="AQ22" i="10"/>
  <c r="AS37" i="10"/>
  <c r="AM29" i="10"/>
  <c r="AU36" i="10"/>
  <c r="AK37" i="10"/>
  <c r="AK20" i="10"/>
  <c r="AG18" i="10"/>
  <c r="AK23" i="10"/>
  <c r="AS14" i="10"/>
  <c r="AO30" i="10"/>
  <c r="AQ26" i="10"/>
  <c r="AI14" i="10"/>
  <c r="AQ25" i="10"/>
  <c r="AS38" i="10"/>
  <c r="AI33" i="10"/>
  <c r="AO34" i="10"/>
  <c r="AG37" i="10"/>
  <c r="AG16" i="10"/>
  <c r="AS45" i="10"/>
  <c r="AI19" i="10"/>
  <c r="AM14" i="10"/>
  <c r="AK21" i="10"/>
  <c r="AM32" i="10"/>
  <c r="AO17" i="10"/>
  <c r="AO36" i="10"/>
  <c r="AU37" i="10"/>
  <c r="AG26" i="10"/>
  <c r="AS31" i="10"/>
  <c r="AI27" i="10"/>
  <c r="AO40" i="10"/>
  <c r="AO38" i="10"/>
  <c r="AG30" i="10"/>
  <c r="AU38" i="10"/>
  <c r="AQ29" i="10"/>
  <c r="AU17" i="10"/>
  <c r="AK16" i="10"/>
  <c r="AM39" i="10"/>
  <c r="AO35" i="10"/>
  <c r="AU31" i="10"/>
  <c r="AK39" i="10"/>
  <c r="AG35" i="10"/>
  <c r="AS34" i="10"/>
  <c r="AS36" i="10"/>
  <c r="AS15" i="10"/>
  <c r="AI22" i="10"/>
  <c r="AG24" i="10"/>
  <c r="AI21" i="10"/>
  <c r="AO14" i="10"/>
  <c r="AS28" i="10"/>
  <c r="AQ24" i="10"/>
  <c r="AU45" i="10"/>
  <c r="AO37" i="10"/>
  <c r="AU27" i="10"/>
  <c r="AK35" i="10"/>
  <c r="AQ41" i="10"/>
  <c r="AK36" i="10"/>
  <c r="AM20" i="10"/>
  <c r="AS25" i="10"/>
  <c r="AO23" i="10"/>
  <c r="AU29" i="10"/>
  <c r="AK34" i="10"/>
  <c r="AG19" i="10"/>
  <c r="AI29" i="10"/>
  <c r="AM22" i="10"/>
  <c r="AG41" i="10"/>
  <c r="AO44" i="10"/>
  <c r="AK24" i="10"/>
  <c r="AU23" i="10"/>
  <c r="AK41" i="10"/>
  <c r="AU15" i="10"/>
  <c r="AG45" i="10"/>
  <c r="AO27" i="10"/>
  <c r="AM36" i="10"/>
  <c r="AS29" i="10"/>
  <c r="AQ32" i="10"/>
  <c r="AO21" i="10"/>
  <c r="AQ39" i="10"/>
  <c r="AG29" i="10"/>
  <c r="AM25" i="10"/>
  <c r="AG22" i="10"/>
  <c r="AK31" i="10"/>
  <c r="AQ21" i="10"/>
  <c r="AM15" i="10"/>
  <c r="AK17" i="10"/>
  <c r="AG27" i="10"/>
  <c r="AG32" i="10"/>
  <c r="AO28" i="10"/>
  <c r="AO25" i="10"/>
  <c r="AU16" i="10"/>
  <c r="AO24" i="10"/>
  <c r="AU41" i="10"/>
  <c r="AQ43" i="10"/>
  <c r="AQ14" i="10"/>
  <c r="AI44" i="10"/>
  <c r="AM23" i="10"/>
  <c r="AO33" i="10"/>
  <c r="AU26" i="10"/>
  <c r="AG31" i="10"/>
  <c r="AU18" i="10"/>
  <c r="AM26" i="10"/>
  <c r="AG20" i="10"/>
  <c r="AM33" i="10"/>
  <c r="AQ40" i="10"/>
  <c r="AS30" i="10"/>
  <c r="AI43" i="10"/>
  <c r="AI20" i="10"/>
  <c r="AI42" i="10"/>
  <c r="AS40" i="10"/>
  <c r="AM30" i="10"/>
  <c r="AM43" i="10"/>
  <c r="AK26" i="10"/>
  <c r="AQ27" i="10"/>
  <c r="AO22" i="10"/>
  <c r="AG42" i="10"/>
  <c r="AQ16" i="10"/>
  <c r="AK28" i="10"/>
  <c r="AM24" i="10"/>
  <c r="AU32" i="10"/>
  <c r="AM40" i="10"/>
  <c r="AO19" i="10"/>
  <c r="AQ17" i="10"/>
  <c r="AS22" i="10"/>
  <c r="AI39" i="10"/>
  <c r="AK40" i="10"/>
  <c r="AU35" i="10"/>
  <c r="AM44" i="10"/>
  <c r="AK44" i="10"/>
  <c r="AM31" i="10"/>
  <c r="AS32" i="10"/>
  <c r="AI40" i="10"/>
  <c r="AO41" i="10"/>
  <c r="AU40" i="10"/>
  <c r="AQ19" i="10"/>
  <c r="AG25" i="10"/>
  <c r="AQ15" i="10"/>
  <c r="AM35" i="10"/>
  <c r="AO26" i="10"/>
  <c r="AO32" i="10"/>
  <c r="AG34" i="10"/>
  <c r="AU14" i="10"/>
  <c r="AQ33" i="10"/>
  <c r="AK22" i="10"/>
  <c r="AK38" i="10"/>
  <c r="AI34" i="10"/>
  <c r="AS44" i="10"/>
  <c r="AM21" i="10"/>
  <c r="AU21" i="10"/>
  <c r="AG17" i="10"/>
  <c r="AK14" i="10"/>
  <c r="AS20" i="10"/>
  <c r="AI15" i="10"/>
  <c r="AU44" i="10"/>
  <c r="AO20" i="10"/>
  <c r="AG39" i="10"/>
  <c r="AQ23" i="10"/>
  <c r="AU33" i="10"/>
  <c r="AI31" i="10"/>
  <c r="AM27" i="10"/>
  <c r="AG21" i="10"/>
  <c r="AG38" i="10"/>
  <c r="AI25" i="10"/>
  <c r="AK43" i="10"/>
  <c r="AQ20" i="10"/>
  <c r="AS43" i="10"/>
  <c r="AU28" i="10"/>
  <c r="AM19" i="10"/>
  <c r="AU25" i="10"/>
  <c r="AI28" i="10"/>
  <c r="AU42" i="10"/>
  <c r="AQ28" i="10"/>
  <c r="AI41" i="10"/>
  <c r="AQ44" i="10"/>
  <c r="AS18" i="10"/>
  <c r="AI45" i="10"/>
  <c r="AK30" i="10"/>
  <c r="AI26" i="10"/>
  <c r="AO39" i="10"/>
  <c r="AI30" i="10"/>
  <c r="AU30" i="10"/>
  <c r="AK42" i="10"/>
  <c r="AM28" i="10"/>
  <c r="AU43" i="10"/>
  <c r="AS33" i="10"/>
  <c r="AK29" i="10"/>
  <c r="AM41" i="10"/>
  <c r="AO18" i="10"/>
  <c r="AO42" i="10"/>
  <c r="AG44" i="10"/>
  <c r="AS26" i="10"/>
  <c r="AS27" i="10"/>
  <c r="AI35" i="10"/>
  <c r="AU34" i="10"/>
  <c r="AQ35" i="10"/>
  <c r="AS17" i="10"/>
  <c r="AI16" i="10"/>
  <c r="AK45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7" i="10"/>
  <c r="AB24" i="10"/>
  <c r="AB28" i="10"/>
  <c r="AB42" i="10"/>
  <c r="AB36" i="10"/>
  <c r="O9" i="10"/>
  <c r="AB15" i="10"/>
  <c r="N12" i="10"/>
  <c r="N6" i="10"/>
  <c r="AB39" i="10"/>
  <c r="AB18" i="10"/>
  <c r="AB27" i="10"/>
  <c r="O6" i="10"/>
  <c r="N8" i="10"/>
  <c r="AB35" i="10"/>
  <c r="O8" i="10"/>
  <c r="AB14" i="10"/>
  <c r="AB33" i="10"/>
  <c r="N10" i="10"/>
  <c r="AB30" i="10"/>
  <c r="AB31" i="10"/>
  <c r="AB23" i="10"/>
  <c r="AB20" i="10"/>
  <c r="AB17" i="10"/>
  <c r="AB38" i="10"/>
  <c r="AB40" i="10"/>
  <c r="AB19" i="10"/>
  <c r="O7" i="10"/>
  <c r="AB43" i="10"/>
  <c r="AB32" i="10"/>
  <c r="AB41" i="10"/>
  <c r="AB25" i="10"/>
  <c r="AB29" i="10"/>
  <c r="AB44" i="10"/>
  <c r="N9" i="10"/>
  <c r="AB22" i="10"/>
  <c r="AB16" i="10"/>
  <c r="AB26" i="10"/>
  <c r="AB45" i="10"/>
  <c r="AB21" i="10"/>
  <c r="AB34" i="10"/>
  <c r="N11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Q14" i="4"/>
  <c r="AU14" i="4"/>
  <c r="AO14" i="4"/>
  <c r="AM14" i="4"/>
  <c r="AK14" i="4"/>
  <c r="AG14" i="4"/>
  <c r="AI14" i="4"/>
  <c r="AC14" i="4" l="1"/>
  <c r="AE14" i="4" s="1"/>
  <c r="AA15" i="4"/>
  <c r="S4" i="3"/>
  <c r="AQ15" i="4"/>
  <c r="AG15" i="4"/>
  <c r="AB14" i="4"/>
  <c r="N12" i="4"/>
  <c r="AM15" i="4"/>
  <c r="AO15" i="4"/>
  <c r="AI15" i="4"/>
  <c r="AS15" i="4"/>
  <c r="AK15" i="4"/>
  <c r="AU15" i="4"/>
  <c r="N6" i="4"/>
  <c r="AC15" i="4" l="1"/>
  <c r="AA16" i="4"/>
  <c r="S5" i="3"/>
  <c r="AM16" i="4"/>
  <c r="AU16" i="4"/>
  <c r="AO16" i="4"/>
  <c r="AQ16" i="4"/>
  <c r="AI16" i="4"/>
  <c r="AB15" i="4"/>
  <c r="AS16" i="4"/>
  <c r="AK16" i="4"/>
  <c r="AG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O17" i="4"/>
  <c r="AG17" i="4"/>
  <c r="AU17" i="4"/>
  <c r="AQ17" i="4"/>
  <c r="AK17" i="4"/>
  <c r="AM17" i="4"/>
  <c r="AG14" i="3"/>
  <c r="AS17" i="4"/>
  <c r="AI14" i="3"/>
  <c r="AI17" i="4"/>
  <c r="AK14" i="3"/>
  <c r="AC17" i="4" l="1"/>
  <c r="AC14" i="3"/>
  <c r="AA18" i="4"/>
  <c r="AA15" i="3"/>
  <c r="S7" i="3"/>
  <c r="L14" i="3" s="1"/>
  <c r="S3" i="3"/>
  <c r="S2" i="3"/>
  <c r="AK18" i="4"/>
  <c r="AQ18" i="4"/>
  <c r="AO18" i="4"/>
  <c r="AG18" i="4"/>
  <c r="AI18" i="4"/>
  <c r="AM18" i="4"/>
  <c r="AK15" i="3"/>
  <c r="AB14" i="3"/>
  <c r="AU18" i="4"/>
  <c r="AG15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K16" i="3"/>
  <c r="N6" i="3"/>
  <c r="AG19" i="4"/>
  <c r="AG16" i="3"/>
  <c r="AI19" i="4"/>
  <c r="AI16" i="3"/>
  <c r="AB15" i="3"/>
  <c r="AU19" i="4"/>
  <c r="AK19" i="4"/>
  <c r="AS19" i="4"/>
  <c r="AB18" i="4"/>
  <c r="AO19" i="4"/>
  <c r="AM19" i="4"/>
  <c r="AQ19" i="4"/>
  <c r="AC19" i="4" l="1"/>
  <c r="AE19" i="4" s="1"/>
  <c r="AE18" i="4"/>
  <c r="AC16" i="3"/>
  <c r="AA17" i="3"/>
  <c r="AA20" i="4"/>
  <c r="AU20" i="4"/>
  <c r="AB19" i="4"/>
  <c r="AM20" i="4"/>
  <c r="AG17" i="3"/>
  <c r="AG20" i="4"/>
  <c r="AI17" i="3"/>
  <c r="AQ20" i="4"/>
  <c r="AS20" i="4"/>
  <c r="AK20" i="4"/>
  <c r="AO20" i="4"/>
  <c r="AK17" i="3"/>
  <c r="AB16" i="3"/>
  <c r="AI20" i="4"/>
  <c r="AC20" i="4" l="1"/>
  <c r="AC17" i="3"/>
  <c r="AE16" i="3"/>
  <c r="AA18" i="3"/>
  <c r="AA21" i="4"/>
  <c r="B8" i="2"/>
  <c r="B7" i="2"/>
  <c r="B6" i="2"/>
  <c r="AU21" i="4"/>
  <c r="AI21" i="4"/>
  <c r="AI18" i="3"/>
  <c r="AM21" i="4"/>
  <c r="AG18" i="3"/>
  <c r="AQ21" i="4"/>
  <c r="AO21" i="4"/>
  <c r="AK18" i="3"/>
  <c r="AB17" i="3"/>
  <c r="AG21" i="4"/>
  <c r="AK21" i="4"/>
  <c r="AB20" i="4"/>
  <c r="AS21" i="4"/>
  <c r="AC21" i="4" l="1"/>
  <c r="AE21" i="4" s="1"/>
  <c r="AE20" i="4"/>
  <c r="AA22" i="4"/>
  <c r="AC18" i="3"/>
  <c r="AA19" i="3"/>
  <c r="AE17" i="3"/>
  <c r="B2" i="2"/>
  <c r="B4" i="2"/>
  <c r="AG22" i="4"/>
  <c r="AB21" i="4"/>
  <c r="AB18" i="3"/>
  <c r="AI22" i="4"/>
  <c r="AU22" i="4"/>
  <c r="AK22" i="4"/>
  <c r="AO22" i="4"/>
  <c r="AM22" i="4"/>
  <c r="AG19" i="3"/>
  <c r="AK19" i="3"/>
  <c r="AS22" i="4"/>
  <c r="AQ22" i="4"/>
  <c r="AI19" i="3"/>
  <c r="AC22" i="4" l="1"/>
  <c r="AE22" i="4" s="1"/>
  <c r="AA23" i="4"/>
  <c r="AC19" i="3"/>
  <c r="AE18" i="3"/>
  <c r="AA20" i="3"/>
  <c r="C6" i="1"/>
  <c r="AI20" i="3"/>
  <c r="AB19" i="3"/>
  <c r="AI23" i="4"/>
  <c r="AS23" i="4"/>
  <c r="AK23" i="4"/>
  <c r="AG23" i="4"/>
  <c r="AB22" i="4"/>
  <c r="AU23" i="4"/>
  <c r="AM23" i="4"/>
  <c r="AG20" i="3"/>
  <c r="AO23" i="4"/>
  <c r="AK20" i="3"/>
  <c r="AQ23" i="4"/>
  <c r="AC23" i="4" l="1"/>
  <c r="AE23" i="4" s="1"/>
  <c r="AA24" i="4"/>
  <c r="AC20" i="3"/>
  <c r="AE20" i="3" s="1"/>
  <c r="AA21" i="3"/>
  <c r="AE19" i="3"/>
  <c r="AB20" i="3"/>
  <c r="AO24" i="4"/>
  <c r="AS24" i="4"/>
  <c r="AB23" i="4"/>
  <c r="AI21" i="3"/>
  <c r="AI24" i="4"/>
  <c r="AM24" i="4"/>
  <c r="AK24" i="4"/>
  <c r="AQ24" i="4"/>
  <c r="AK21" i="3"/>
  <c r="AG21" i="3"/>
  <c r="AG24" i="4"/>
  <c r="AU24" i="4"/>
  <c r="AC24" i="4" l="1"/>
  <c r="AA25" i="4"/>
  <c r="AC21" i="3"/>
  <c r="AA22" i="3"/>
  <c r="AS25" i="4"/>
  <c r="AK22" i="3"/>
  <c r="AB24" i="4"/>
  <c r="AK25" i="4"/>
  <c r="AU25" i="4"/>
  <c r="AB21" i="3"/>
  <c r="AI25" i="4"/>
  <c r="AG25" i="4"/>
  <c r="AG22" i="3"/>
  <c r="AM25" i="4"/>
  <c r="AI22" i="3"/>
  <c r="AQ25" i="4"/>
  <c r="AO25" i="4"/>
  <c r="AC25" i="4" l="1"/>
  <c r="AE24" i="4"/>
  <c r="AA26" i="4"/>
  <c r="AC22" i="3"/>
  <c r="AE22" i="3" s="1"/>
  <c r="AA23" i="3"/>
  <c r="AE21" i="3"/>
  <c r="AS26" i="4"/>
  <c r="AK23" i="3"/>
  <c r="AI23" i="3"/>
  <c r="AG26" i="4"/>
  <c r="AU26" i="4"/>
  <c r="AM26" i="4"/>
  <c r="AB22" i="3"/>
  <c r="AQ26" i="4"/>
  <c r="AI26" i="4"/>
  <c r="AB25" i="4"/>
  <c r="AK26" i="4"/>
  <c r="AO26" i="4"/>
  <c r="AG23" i="3"/>
  <c r="AC26" i="4" l="1"/>
  <c r="AE25" i="4"/>
  <c r="AA27" i="4"/>
  <c r="AC23" i="3"/>
  <c r="AA24" i="3"/>
  <c r="AG27" i="4"/>
  <c r="AI24" i="3"/>
  <c r="AM27" i="4"/>
  <c r="AB23" i="3"/>
  <c r="AO27" i="4"/>
  <c r="AQ27" i="4"/>
  <c r="AU27" i="4"/>
  <c r="AG24" i="3"/>
  <c r="AK24" i="3"/>
  <c r="AK27" i="4"/>
  <c r="AI27" i="4"/>
  <c r="AS27" i="4"/>
  <c r="AB26" i="4"/>
  <c r="AC27" i="4" l="1"/>
  <c r="AE26" i="4"/>
  <c r="AA28" i="4"/>
  <c r="AC24" i="3"/>
  <c r="AE23" i="3"/>
  <c r="AA25" i="3"/>
  <c r="AI25" i="3"/>
  <c r="AQ28" i="4"/>
  <c r="AB27" i="4"/>
  <c r="AK25" i="3"/>
  <c r="AO28" i="4"/>
  <c r="AG25" i="3"/>
  <c r="AS28" i="4"/>
  <c r="AG28" i="4"/>
  <c r="AI28" i="4"/>
  <c r="AM28" i="4"/>
  <c r="AK28" i="4"/>
  <c r="AB24" i="3"/>
  <c r="AU28" i="4"/>
  <c r="AC28" i="4" l="1"/>
  <c r="AA29" i="4"/>
  <c r="AE27" i="4"/>
  <c r="AC25" i="3"/>
  <c r="AA26" i="3"/>
  <c r="AE24" i="3"/>
  <c r="AG26" i="3"/>
  <c r="AB28" i="4"/>
  <c r="AI26" i="3"/>
  <c r="AS29" i="4"/>
  <c r="AU29" i="4"/>
  <c r="AO29" i="4"/>
  <c r="AK29" i="4"/>
  <c r="AI29" i="4"/>
  <c r="AK26" i="3"/>
  <c r="AM29" i="4"/>
  <c r="AB25" i="3"/>
  <c r="AQ29" i="4"/>
  <c r="AG29" i="4"/>
  <c r="AC29" i="4" l="1"/>
  <c r="AE28" i="4"/>
  <c r="AA30" i="4"/>
  <c r="AC26" i="3"/>
  <c r="AA27" i="3"/>
  <c r="AE25" i="3"/>
  <c r="AS30" i="4"/>
  <c r="AQ30" i="4"/>
  <c r="AO30" i="4"/>
  <c r="AI27" i="3"/>
  <c r="AM30" i="4"/>
  <c r="AU30" i="4"/>
  <c r="AK30" i="4"/>
  <c r="AI30" i="4"/>
  <c r="AB26" i="3"/>
  <c r="AB29" i="4"/>
  <c r="AG27" i="3"/>
  <c r="AK27" i="3"/>
  <c r="AG30" i="4"/>
  <c r="AC30" i="4" l="1"/>
  <c r="AA31" i="4"/>
  <c r="AE29" i="4"/>
  <c r="AC27" i="3"/>
  <c r="AA28" i="3"/>
  <c r="AE26" i="3"/>
  <c r="AK28" i="3"/>
  <c r="AI31" i="4"/>
  <c r="AB30" i="4"/>
  <c r="AG28" i="3"/>
  <c r="AM31" i="4"/>
  <c r="AU31" i="4"/>
  <c r="AS31" i="4"/>
  <c r="AB27" i="3"/>
  <c r="AI28" i="3"/>
  <c r="AQ31" i="4"/>
  <c r="AK31" i="4"/>
  <c r="AO31" i="4"/>
  <c r="AG31" i="4"/>
  <c r="AC31" i="4" l="1"/>
  <c r="AA32" i="4"/>
  <c r="AE30" i="4"/>
  <c r="AC28" i="3"/>
  <c r="AA29" i="3"/>
  <c r="AE27" i="3"/>
  <c r="AG29" i="3"/>
  <c r="AI29" i="3"/>
  <c r="AK32" i="4"/>
  <c r="AK29" i="3"/>
  <c r="AU32" i="4"/>
  <c r="AB31" i="4"/>
  <c r="AQ32" i="4"/>
  <c r="AO32" i="4"/>
  <c r="AM32" i="4"/>
  <c r="AS32" i="4"/>
  <c r="AI32" i="4"/>
  <c r="AB28" i="3"/>
  <c r="AG32" i="4"/>
  <c r="AC32" i="4" l="1"/>
  <c r="AE31" i="4"/>
  <c r="AA33" i="4"/>
  <c r="AC29" i="3"/>
  <c r="AA30" i="3"/>
  <c r="AE28" i="3"/>
  <c r="AB29" i="3"/>
  <c r="AK30" i="3"/>
  <c r="AS33" i="4"/>
  <c r="AB32" i="4"/>
  <c r="AM33" i="4"/>
  <c r="AO33" i="4"/>
  <c r="AI30" i="3"/>
  <c r="AQ33" i="4"/>
  <c r="AG30" i="3"/>
  <c r="AU33" i="4"/>
  <c r="AK33" i="4"/>
  <c r="AI33" i="4"/>
  <c r="AG33" i="4"/>
  <c r="AC33" i="4" l="1"/>
  <c r="AE32" i="4"/>
  <c r="AA34" i="4"/>
  <c r="AC30" i="3"/>
  <c r="AA31" i="3"/>
  <c r="AE29" i="3"/>
  <c r="AM34" i="4"/>
  <c r="AG34" i="4"/>
  <c r="AK31" i="3"/>
  <c r="AG31" i="3"/>
  <c r="AQ34" i="4"/>
  <c r="AB30" i="3"/>
  <c r="AS34" i="4"/>
  <c r="AK34" i="4"/>
  <c r="AI34" i="4"/>
  <c r="AU34" i="4"/>
  <c r="AO34" i="4"/>
  <c r="AB33" i="4"/>
  <c r="AI31" i="3"/>
  <c r="AC34" i="4" l="1"/>
  <c r="AE33" i="4"/>
  <c r="AA35" i="4"/>
  <c r="AC31" i="3"/>
  <c r="AA32" i="3"/>
  <c r="AE30" i="3"/>
  <c r="AI32" i="3"/>
  <c r="AS35" i="4"/>
  <c r="AO35" i="4"/>
  <c r="AG35" i="4"/>
  <c r="AM35" i="4"/>
  <c r="AQ35" i="4"/>
  <c r="AU35" i="4"/>
  <c r="AG32" i="3"/>
  <c r="AB34" i="4"/>
  <c r="AK32" i="3"/>
  <c r="AB31" i="3"/>
  <c r="AK35" i="4"/>
  <c r="AI35" i="4"/>
  <c r="AC35" i="4" l="1"/>
  <c r="AA36" i="4"/>
  <c r="AE34" i="4"/>
  <c r="AC32" i="3"/>
  <c r="AA33" i="3"/>
  <c r="AE31" i="3"/>
  <c r="N7" i="4"/>
  <c r="AU36" i="4"/>
  <c r="AB32" i="3"/>
  <c r="AG33" i="3"/>
  <c r="AI33" i="3"/>
  <c r="AM36" i="4"/>
  <c r="AG36" i="4"/>
  <c r="N10" i="4"/>
  <c r="O9" i="4"/>
  <c r="AK33" i="3"/>
  <c r="AS36" i="4"/>
  <c r="N8" i="4"/>
  <c r="AI36" i="4"/>
  <c r="O8" i="4"/>
  <c r="O10" i="4"/>
  <c r="AB35" i="4"/>
  <c r="AO36" i="4"/>
  <c r="AK36" i="4"/>
  <c r="AQ36" i="4"/>
  <c r="O7" i="4"/>
  <c r="AC36" i="4" l="1"/>
  <c r="N5" i="4"/>
  <c r="AE35" i="4"/>
  <c r="AC33" i="3"/>
  <c r="AA34" i="3"/>
  <c r="AE32" i="3"/>
  <c r="N9" i="4"/>
  <c r="AI34" i="3"/>
  <c r="AK34" i="3"/>
  <c r="AB33" i="3"/>
  <c r="AG34" i="3"/>
  <c r="O6" i="4"/>
  <c r="AB36" i="4"/>
  <c r="O5" i="4" l="1"/>
  <c r="AE36" i="4"/>
  <c r="AC34" i="3"/>
  <c r="AA35" i="3"/>
  <c r="AE33" i="3"/>
  <c r="AG35" i="3"/>
  <c r="AB34" i="3"/>
  <c r="AK35" i="3"/>
  <c r="AI35" i="3"/>
  <c r="AC35" i="3" l="1"/>
  <c r="AA36" i="3"/>
  <c r="AE34" i="3"/>
  <c r="AB35" i="3"/>
  <c r="AI36" i="3"/>
  <c r="AK36" i="3"/>
  <c r="AG36" i="3"/>
  <c r="AC36" i="3" l="1"/>
  <c r="AA37" i="3"/>
  <c r="AE35" i="3"/>
  <c r="AG37" i="3"/>
  <c r="AK37" i="3"/>
  <c r="AB36" i="3"/>
  <c r="AI37" i="3"/>
  <c r="AC37" i="3" l="1"/>
  <c r="AA38" i="3"/>
  <c r="AE36" i="3"/>
  <c r="AK38" i="3"/>
  <c r="AI38" i="3"/>
  <c r="AB37" i="3"/>
  <c r="AG38" i="3"/>
  <c r="AC38" i="3" l="1"/>
  <c r="AA39" i="3"/>
  <c r="AE37" i="3"/>
  <c r="AI39" i="3"/>
  <c r="AK39" i="3"/>
  <c r="AB38" i="3"/>
  <c r="AG39" i="3"/>
  <c r="AC39" i="3" l="1"/>
  <c r="AA40" i="3"/>
  <c r="AE38" i="3"/>
  <c r="AI40" i="3"/>
  <c r="AK40" i="3"/>
  <c r="AB39" i="3"/>
  <c r="AG40" i="3"/>
  <c r="AC40" i="3" l="1"/>
  <c r="AA41" i="3"/>
  <c r="AE39" i="3"/>
  <c r="AG41" i="3"/>
  <c r="AI41" i="3"/>
  <c r="AB40" i="3"/>
  <c r="AK41" i="3"/>
  <c r="AC41" i="3" l="1"/>
  <c r="AA42" i="3"/>
  <c r="AE40" i="3"/>
  <c r="AG42" i="3"/>
  <c r="AK42" i="3"/>
  <c r="AB41" i="3"/>
  <c r="AI42" i="3"/>
  <c r="AC42" i="3" l="1"/>
  <c r="AA43" i="3"/>
  <c r="AE41" i="3"/>
  <c r="AI43" i="3"/>
  <c r="O7" i="3"/>
  <c r="AK43" i="3"/>
  <c r="N8" i="3"/>
  <c r="O8" i="3"/>
  <c r="N10" i="3"/>
  <c r="AB42" i="3"/>
  <c r="N7" i="3"/>
  <c r="O9" i="3"/>
  <c r="AG43" i="3"/>
  <c r="O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<sst xmlns="http://schemas.openxmlformats.org/spreadsheetml/2006/main" count="539" uniqueCount="162">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</sst>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50"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312C1A7-1DC5-40BF-9E66-0AC84AEE9D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22D0D6-610C-4B3E-9595-4286DD7F4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1A3E49-0B1D-4B8A-B51F-8008558F5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12F53B-D5D6-4C77-AB13-CAE9501D28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DC42D0-31A0-4CD8-B255-C77903FB8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66C927A-C944-4B0B-A5B4-B47C463426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E1943E-2B07-4C96-BF3C-8421F50B5C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63651D-AC86-49BD-907F-40F35AFBD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47EF3F-645C-4B58-B59D-BAB668B344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A3699A-860C-4FD5-AEDE-CE412DFBF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7E71F6-E095-4810-8390-2204E3CC4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251447-1B03-423C-870A-CB702F7808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736CB0-E641-41E4-A7E3-D9499D7162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8637E2-9244-41C4-9121-BCF524F352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ED6B8A5-426E-467E-B6BC-B0A2C79A2B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B4908C-5DA5-4B40-AA03-C9EA08F58D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06FCED-04E5-4D38-8CF5-0379B6F95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7B72C0-4170-4913-AF36-2F379F5BC4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97B061-4EC0-4A0E-B6EF-2BB2502682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C2EEFE-0D31-4A48-A010-F5700B9DD4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C721A5-9D7B-44FF-8F0F-222D7E760D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B293CDD-D8D1-486D-9087-17D96C31BE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987D56-7BC6-4D68-BF4B-DDC93948A6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42C38C3-1567-442B-A948-A6A5A83E62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4E1CF6-9416-4C21-ADA3-348AE2F0B3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8A989A-0C67-4E59-B361-0CFF77CE01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6B6C39-8B02-4E86-AD10-375443D24D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61AB4E-CF15-4D77-B105-4BA1205681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1FB1A2-1AE7-4662-8073-A49B33062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DB6023-2C60-48D0-817F-A52B337EC7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D512B7D-1E26-4124-895E-6E6F5E6130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355E9B-3AC1-4D9C-BC61-5FAB533B7A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6576EA-D327-4C20-8A62-96C8EF3B3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40D744-6146-4B20-A5B6-9D487D1A34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6EF37E-1D73-46F0-9E99-5A2C42680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52BAE7-BD7E-4DD3-A4C5-0FE1D4C1FE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D6619D-7726-427B-9F62-7D1D6149A6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7F3029C-EF2E-411A-A478-7564D256C9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65064F-EA6C-415D-A096-BAE386660B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FC6D056-778A-4AA4-A1BF-D4D16F26CD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AD09B1-DB44-4904-ABE6-1A542936BA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A82857-2268-4E29-A027-29828172A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8D4A232-5765-4D5F-9C46-91EFE962E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0FE00F-C208-4C9E-9FE2-8E44D5C3D4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019E4E-234B-4F5A-9F25-0B01FE9AE4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533AE5-90C7-4785-AA6A-675F6C0EE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FDD22AF-D39C-47E2-9E83-EE8EECF917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75BC2D-EF26-481A-8CE4-587B5BB0E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E2768C-9180-4781-A9EA-7474152662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E3E108-B543-4D07-9F01-D8C0CD52ED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7C782A-3B55-4B95-9568-9F67A0980E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84135E-B33D-48EE-9BFC-04D09A2207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47C3E0-74B4-4BC7-9618-8257F9737E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A05A746-1ACE-45E8-B6E2-8AE142DFCC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92F208-1F73-447A-AFDB-5D04375088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8A7D30-CDCA-4C48-9EBD-2E56C915A1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BAF429-8BDF-4087-B12B-51A8D54EB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99E2D8-2371-4FDA-8499-14906446E1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44E4AD0-24DC-492B-B45F-3579218771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C523D4-5AA3-47D8-9AE8-9579C7060A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BF1C43-FCD4-428A-92AA-48C138EF1A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5896C91-367E-400B-B815-B67523713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82D18F-8BE5-4DCE-AF1B-B6765307BC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768B8B6-F5BD-4CA6-AFA9-2C26C5B47B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42CA2A5-28C5-40E3-B713-FED45D866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A937FD-AB1F-4915-9462-67DBDC4BF0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165E7B-B027-4ADE-98A3-42BB2C66BD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CD0ACB-AB4A-4BD6-B51A-AB281ECDE4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A38FD28-E8B2-4A9C-A33A-F17862335E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12E8A7-E563-4E7E-826E-E478CD8EA9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C89087-CC75-4B02-B4B7-458AE63831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978707-7866-4715-AB29-9027264D6A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291E72-9129-4B8D-AB71-7D1ECC4DE9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C01838-484E-40D9-9398-6EA7683D28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10A72E-5BDA-4692-A043-B3338BBFBC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6A1787-5738-4492-BD52-0178369D20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604EDC-B976-4A4E-A702-30C54652A4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3FAF31-F77B-4874-82DD-755DEF95B8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B79DB4-0B55-4B1F-B69B-DBE2F8FDF0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3C6748-A594-45A6-93C8-515B0261B5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D8EE8E-14A3-4750-96B0-859A179F6D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7F795AD-FCB2-4DCC-8BF7-A931020725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BCA4B9-0BF1-4903-A019-D6CA8CABC7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564520-9235-47C2-887D-54C32D9D2E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824AA7-8BD3-4156-879C-7D7C72389D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28911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42" dataDxfId="141">
  <autoFilter ref="R13:X16" xr:uid="{FF2C9E8B-1A62-479C-AF68-79B236C0B7BB}"/>
  <tableColumns count="7">
    <tableColumn id="1" xr3:uid="{727C6146-39EA-4E15-8783-53CAA87FAF36}" name="Zone ID" dataDxfId="140"/>
    <tableColumn id="2" xr3:uid="{2CA65110-6DD7-46D8-BFC2-5EB0C0E57567}" name="Description" dataDxfId="139"/>
    <tableColumn id="3" xr3:uid="{12D64F80-6A69-494F-BF8F-E326D34A185A}" name="Short Description" dataDxfId="138"/>
    <tableColumn id="4" xr3:uid="{71F3F5B2-8F6B-4985-B1FC-5A9D60095474}" name="Start Date" dataDxfId="137"/>
    <tableColumn id="5" xr3:uid="{57258378-8FED-4727-89AC-D938CB414B7B}" name="Finish Date" dataDxfId="13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35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34">
      <calculatedColumnFormula>IF(AA13 = "Date", $S$4, AA13+7)</calculatedColumnFormula>
    </tableColumn>
    <tableColumn id="6" xr3:uid="{5740AC03-CF53-4345-8667-6AC0CA6843D0}" name="Primary Areas" dataDxfId="133">
      <calculatedColumnFormula>PrimaryAreas(3)</calculatedColumnFormula>
    </tableColumn>
    <tableColumn id="2" xr3:uid="{AF232D3D-EC3F-4232-BA5D-1427173C2D6A}" name="Weekly Plan" dataDxfId="132">
      <calculatedColumnFormula xml:space="preserve"> IF(#REF!="", 0,#REF!)+ IF(#REF!="", 0,#REF!)+ IF(#REF!="", 0,#REF!)</calculatedColumnFormula>
    </tableColumn>
    <tableColumn id="3" xr3:uid="{B28103F6-7596-4848-9F0D-3E4A9E5CBEFE}" name="Weekly Actual" dataDxfId="131">
      <calculatedColumnFormula>IF(AND(ISBLANK(#REF!),ISBLANK(#REF!),ISBLANK(#REF!)),"",#REF! +#REF!+#REF!)</calculatedColumnFormula>
    </tableColumn>
    <tableColumn id="4" xr3:uid="{EF1C6009-71E6-491B-B64F-04049D2D9103}" name="Accumulated Plan" dataDxfId="130">
      <calculatedColumnFormula>SUM($AC$14:AC14)</calculatedColumnFormula>
    </tableColumn>
    <tableColumn id="5" xr3:uid="{442DAB73-1233-4C61-8DE9-3B44CE2C5D69}" name="Accumulated Actual" dataDxfId="129">
      <calculatedColumnFormula>IF(AD14="",NA(),SUM($AD$14:AD14))</calculatedColumnFormula>
    </tableColumn>
    <tableColumn id="43" xr3:uid="{CE31DBAF-57B0-4D4D-852A-B07516A73A41}" name="WP_A1" dataDxfId="128">
      <calculatedColumnFormula>WeeklyPlanned(Output_Template[[#Headers],[WP_A1]], Output_Template[[#This Row],[Date]])</calculatedColumnFormula>
    </tableColumn>
    <tableColumn id="44" xr3:uid="{A0857F89-2BC6-42D6-B02F-90D9272451CA}" name="WA_A1" dataDxfId="127"/>
    <tableColumn id="45" xr3:uid="{2A74D439-B21B-40DD-BB55-7D2C2B18629E}" name="WP_A2" dataDxfId="126">
      <calculatedColumnFormula>WeeklyPlanned(Output_Template[[#Headers],[WP_A2]], Output_Template[[#This Row],[Date]])</calculatedColumnFormula>
    </tableColumn>
    <tableColumn id="46" xr3:uid="{670DB326-434A-466C-9E3C-6A8FE180F21F}" name="WA_A2" dataDxfId="125"/>
    <tableColumn id="47" xr3:uid="{B6798EC6-DE2D-49BB-961E-220FED1F6F10}" name="WP_A3" dataDxfId="124">
      <calculatedColumnFormula>WeeklyPlanned(Output_Template[[#Headers],[WP_A3]], Output_Template[[#This Row],[Date]])</calculatedColumnFormula>
    </tableColumn>
    <tableColumn id="48" xr3:uid="{B2CB6DA2-6E53-4BAC-881B-229E451DFCE0}" name="WA_A3" dataDxfId="12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22">
  <autoFilter ref="H2:H5" xr:uid="{1041DC80-58D6-4308-9DE1-A4EC8AAD3C20}"/>
  <tableColumns count="1">
    <tableColumn id="1" xr3:uid="{0E6D3E77-7CB7-40A1-BCA6-DDC8164AAEB9}" name="Holidays" dataDxfId="12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13" dataDxfId="112">
  <autoFilter ref="R13:X21" xr:uid="{FF2C9E8B-1A62-479C-AF68-79B236C0B7BB}"/>
  <tableColumns count="7">
    <tableColumn id="1" xr3:uid="{5AA37268-DD16-498C-9169-AE2EA9DA526A}" name="Zone ID" dataDxfId="111"/>
    <tableColumn id="2" xr3:uid="{0E3A0621-3CBD-40FC-B7C1-86ED2397BCEE}" name="Description" dataDxfId="110"/>
    <tableColumn id="3" xr3:uid="{5A73CD5C-5126-40F4-B5B3-C7A438ED4F4F}" name="Short Description" dataDxfId="109"/>
    <tableColumn id="4" xr3:uid="{CDB025F5-BA1E-4D3D-9F16-1E7E8B24997A}" name="Start Date" dataDxfId="108"/>
    <tableColumn id="5" xr3:uid="{A32C4534-D094-4392-BDFF-D9E6184B332E}" name="Finish Date" dataDxfId="107"/>
    <tableColumn id="6" xr3:uid="{4EBF5FA0-D78E-4850-9053-2FD3D4DF8DDF}" name="Total" dataDxfId="106" dataCellStyle="Linked Cell"/>
    <tableColumn id="7" xr3:uid="{2024E4D3-6ED3-428B-AA0E-731077A47B05}" name="Completed Total" dataDxfId="105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104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103">
      <calculatedColumnFormula>IF(AA13 = "Date", $S$4, AA13+7)</calculatedColumnFormula>
    </tableColumn>
    <tableColumn id="6" xr3:uid="{001A0E6C-64CB-4894-8C22-5853E33F6BB2}" name="Primary Areas" dataDxfId="102">
      <calculatedColumnFormula>PrimaryAreas(8)</calculatedColumnFormula>
    </tableColumn>
    <tableColumn id="2" xr3:uid="{1360E334-97F5-432E-BB23-793619A14458}" name="Weekly Plan" dataDxfId="101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100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9">
      <calculatedColumnFormula>SUM($AC$14:AC14)</calculatedColumnFormula>
    </tableColumn>
    <tableColumn id="5" xr3:uid="{1924FD4A-42CB-49CF-B4A5-079079B5D0F3}" name="Accumulated Actual" dataDxfId="98">
      <calculatedColumnFormula>IF(AD14="",NA(),SUM($AD$14:AD14))</calculatedColumnFormula>
    </tableColumn>
    <tableColumn id="23" xr3:uid="{9D909FAC-40FF-4109-8EAE-74DFABFF8319}" name="WP_ABC" dataDxfId="97">
      <calculatedColumnFormula>WeeklyPlanned(Output_0000[[#Headers],[WP_ABC]], Output_0000[[#This Row],[Date]])</calculatedColumnFormula>
    </tableColumn>
    <tableColumn id="24" xr3:uid="{92ADE5B7-CAEC-41A0-B928-8F7F4344FE26}" name="WA_ABC" dataDxfId="96"/>
    <tableColumn id="25" xr3:uid="{F7FD9E19-6CFF-44A1-AF87-237747B65D1E}" name="WP_ACS" dataDxfId="95">
      <calculatedColumnFormula>WeeklyPlanned(Output_0000[[#Headers],[WP_ACS]], Output_0000[[#This Row],[Date]])</calculatedColumnFormula>
    </tableColumn>
    <tableColumn id="26" xr3:uid="{1FD6096E-155A-48FA-BF57-ABEB209A76A8}" name="WA_ACS" dataDxfId="94"/>
    <tableColumn id="27" xr3:uid="{C32CB5E4-987A-4E05-BFD2-AD1BA55323A7}" name="WP_AL1" dataDxfId="93">
      <calculatedColumnFormula>WeeklyPlanned(Output_0000[[#Headers],[WP_AL1]], Output_0000[[#This Row],[Date]])</calculatedColumnFormula>
    </tableColumn>
    <tableColumn id="28" xr3:uid="{741EC55D-ACF8-45FE-B760-246C2984AB76}" name="WA_AL1" dataDxfId="92"/>
    <tableColumn id="29" xr3:uid="{02D5C536-D7AB-4845-AF46-BA557A0711BE}" name="WP_HBase" dataDxfId="91">
      <calculatedColumnFormula>WeeklyPlanned(Output_0000[[#Headers],[WP_HBase]], Output_0000[[#This Row],[Date]])</calculatedColumnFormula>
    </tableColumn>
    <tableColumn id="30" xr3:uid="{6CFFBF9B-4C23-4C48-B9B4-2C3A9A72CE8C}" name="WA_HBase" dataDxfId="90"/>
    <tableColumn id="31" xr3:uid="{27A2EB7B-E3EA-47B1-A3F2-FFBF58F06F0D}" name="WP_HWST" dataDxfId="89">
      <calculatedColumnFormula>WeeklyPlanned(Output_0000[[#Headers],[WP_HWST]], Output_0000[[#This Row],[Date]])</calculatedColumnFormula>
    </tableColumn>
    <tableColumn id="32" xr3:uid="{1F1D10B3-084B-4075-8E04-CBCE81737E69}" name="WA_HWST" dataDxfId="88"/>
    <tableColumn id="33" xr3:uid="{127722D0-80A4-4F75-9175-6D2C54EBC191}" name="WP_HWSR" dataDxfId="87">
      <calculatedColumnFormula>WeeklyPlanned(Output_0000[[#Headers],[WP_HWSR]], Output_0000[[#This Row],[Date]])</calculatedColumnFormula>
    </tableColumn>
    <tableColumn id="34" xr3:uid="{ED1A96FC-35C0-4018-81E1-B3B51101AB44}" name="WA_HWSR" dataDxfId="86"/>
    <tableColumn id="35" xr3:uid="{584725E1-3456-4D62-8919-994293AB89D3}" name="WP_HL2" dataDxfId="85">
      <calculatedColumnFormula>WeeklyPlanned(Output_0000[[#Headers],[WP_HL2]], Output_0000[[#This Row],[Date]])</calculatedColumnFormula>
    </tableColumn>
    <tableColumn id="36" xr3:uid="{0D58AE03-CEC6-4352-9275-206C438024A6}" name="WA_HL2" dataDxfId="84"/>
    <tableColumn id="37" xr3:uid="{76718DA7-C2F0-424A-9855-A1F7A4401A40}" name="WP_HBCeil" dataDxfId="83">
      <calculatedColumnFormula>WeeklyPlanned(Output_0000[[#Headers],[WP_HBCeil]], Output_0000[[#This Row],[Date]])</calculatedColumnFormula>
    </tableColumn>
    <tableColumn id="38" xr3:uid="{DF9E8E0F-9F93-4E51-85D2-94DDAA517F51}" name="WA_HBCeil" dataDxfId="8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4" dataDxfId="73">
  <autoFilter ref="R13:X21" xr:uid="{FF2C9E8B-1A62-479C-AF68-79B236C0B7BB}"/>
  <tableColumns count="7">
    <tableColumn id="1" xr3:uid="{9FED2BA1-A1A7-4513-A20F-F09DB113155D}" name="Zone ID" dataDxfId="72"/>
    <tableColumn id="2" xr3:uid="{8B67A205-5329-400B-84DC-CB06A032CF16}" name="Description" dataDxfId="71"/>
    <tableColumn id="3" xr3:uid="{2253D560-C30C-43DE-ABAB-BFAFD145DF40}" name="Short Description" dataDxfId="70"/>
    <tableColumn id="4" xr3:uid="{09E57ADB-1BEB-4CFB-B160-A9C7ADA56DE0}" name="Start Date" dataDxfId="69"/>
    <tableColumn id="5" xr3:uid="{B704EAFC-B4AE-45F3-A5AC-5189060C6D42}" name="Finish Date" dataDxfId="68"/>
    <tableColumn id="6" xr3:uid="{FAFABCDE-D7F7-45A9-83E7-80ADC6F01B0B}" name="Total" dataDxfId="67" dataCellStyle="Normal"/>
    <tableColumn id="7" xr3:uid="{F8D69A8D-7550-4939-9D63-599172BCFFFD}" name="Completed Total" dataDxfId="66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5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4">
      <calculatedColumnFormula>IF(AA13 = "Date", $S$4, AA13+7)</calculatedColumnFormula>
    </tableColumn>
    <tableColumn id="6" xr3:uid="{DE271CBB-C0FC-482D-929A-C21AEFAC32E4}" name="Primary Areas" dataDxfId="63">
      <calculatedColumnFormula>PrimaryAreas(8)</calculatedColumnFormula>
    </tableColumn>
    <tableColumn id="2" xr3:uid="{71EE47CC-75E0-49E1-B527-E1364059B0A6}" name="Weekly Plan" dataDxfId="62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61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60">
      <calculatedColumnFormula>SUM($AC$14:AC14)</calculatedColumnFormula>
    </tableColumn>
    <tableColumn id="5" xr3:uid="{CB7FAB5B-BEAB-4D4A-BD18-57DE0B5DE266}" name="Accumulated Actual" dataDxfId="59">
      <calculatedColumnFormula>IF(AD14="",NA(),SUM($AD$14:AD14))</calculatedColumnFormula>
    </tableColumn>
    <tableColumn id="7" xr3:uid="{2A1CBA5C-29D6-4EB1-8BAA-AF2C064B4A02}" name="WP_ABC" dataDxfId="58">
      <calculatedColumnFormula>WeeklyPlanned(Output_0501[[#Headers],[WP_ABC]], Output_0501[[#This Row],[Date]])</calculatedColumnFormula>
    </tableColumn>
    <tableColumn id="8" xr3:uid="{04DC9374-2B37-4BF5-AA39-F11FC0149281}" name="WA_ABC" dataDxfId="57"/>
    <tableColumn id="9" xr3:uid="{4F88CC2C-A480-4C5B-BA01-24B210AB447A}" name="WP_ACS" dataDxfId="56">
      <calculatedColumnFormula>WeeklyPlanned(Output_0501[[#Headers],[WP_ACS]], Output_0501[[#This Row],[Date]])</calculatedColumnFormula>
    </tableColumn>
    <tableColumn id="10" xr3:uid="{48C24C77-4D2B-435F-BBC2-FAD4AD540AB6}" name="WA_ACS" dataDxfId="55"/>
    <tableColumn id="11" xr3:uid="{75D5C587-305D-4077-9FAA-C79F65923E57}" name="WP_AL1" dataDxfId="54">
      <calculatedColumnFormula>WeeklyPlanned(Output_0501[[#Headers],[WP_AL1]], Output_0501[[#This Row],[Date]])</calculatedColumnFormula>
    </tableColumn>
    <tableColumn id="12" xr3:uid="{8077796C-E6FC-4EE3-89F7-798709387F7F}" name="WA_AL1" dataDxfId="53"/>
    <tableColumn id="13" xr3:uid="{792F3323-B0E8-4776-9689-FD45E57B619D}" name="WP_HBase" dataDxfId="52">
      <calculatedColumnFormula>WeeklyPlanned(Output_0501[[#Headers],[WP_HBase]], Output_0501[[#This Row],[Date]])</calculatedColumnFormula>
    </tableColumn>
    <tableColumn id="14" xr3:uid="{9E7E74B1-B432-4576-8F57-2DCED559C004}" name="WA_HBase" dataDxfId="51"/>
    <tableColumn id="15" xr3:uid="{6C8A9406-B3E7-4378-8961-19DE99A823B8}" name="WP_HWST" dataDxfId="50">
      <calculatedColumnFormula>WeeklyPlanned(Output_0501[[#Headers],[WP_HWST]], Output_0501[[#This Row],[Date]])</calculatedColumnFormula>
    </tableColumn>
    <tableColumn id="16" xr3:uid="{85632008-1A06-41BF-96BF-DF4F2942C8E3}" name="WA_HWST" dataDxfId="49"/>
    <tableColumn id="17" xr3:uid="{4ED0746A-56E1-4B9A-8D82-621AD6A805EE}" name="WP_HWSR" dataDxfId="48">
      <calculatedColumnFormula>WeeklyPlanned(Output_0501[[#Headers],[WP_HWSR]], Output_0501[[#This Row],[Date]])</calculatedColumnFormula>
    </tableColumn>
    <tableColumn id="18" xr3:uid="{616A2447-10D3-4C5E-BE98-C8594A351722}" name="WA_HWSR" dataDxfId="47"/>
    <tableColumn id="19" xr3:uid="{13711C20-54F0-41FE-93CC-92DB5745C53C}" name="WP_HL2" dataDxfId="46">
      <calculatedColumnFormula>WeeklyPlanned(Output_0501[[#Headers],[WP_HL2]], Output_0501[[#This Row],[Date]])</calculatedColumnFormula>
    </tableColumn>
    <tableColumn id="20" xr3:uid="{AE155A80-4969-4902-8DAF-8DC808584420}" name="WA_HL2" dataDxfId="45"/>
    <tableColumn id="21" xr3:uid="{186F9C43-2DF5-47B7-A779-6A42D4C3454E}" name="WP_HBCeil" dataDxfId="44">
      <calculatedColumnFormula>WeeklyPlanned(Output_0501[[#Headers],[WP_HBCeil]], Output_0501[[#This Row],[Date]])</calculatedColumnFormula>
    </tableColumn>
    <tableColumn id="22" xr3:uid="{7F8ADB3E-C083-4C51-8B5A-9EACC6ABF4A0}" name="WA_HBCeil" dataDxfId="43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157</v>
      </c>
      <c r="V10" s="85"/>
      <c r="W10" s="85"/>
      <c r="X10" s="85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49" priority="10">
      <formula>ISERROR(AF14)</formula>
    </cfRule>
  </conditionalFormatting>
  <conditionalFormatting sqref="W13:X13">
    <cfRule type="expression" dxfId="148" priority="8">
      <formula>IF(OR($S$8 = "Assemble Addin", $S$8 = "Bluebeam QL"), TRUE, FALSE)</formula>
    </cfRule>
  </conditionalFormatting>
  <conditionalFormatting sqref="N6:O6">
    <cfRule type="expression" dxfId="147" priority="7">
      <formula>IF($N$6=$O$6, FALSE, TRUE)</formula>
    </cfRule>
  </conditionalFormatting>
  <conditionalFormatting sqref="W14:X16">
    <cfRule type="expression" dxfId="146" priority="5">
      <formula>IF(OR($S$8 = "Assemble Addin", $S$8 = "Bluebeam QL"), TRUE, FALSE)</formula>
    </cfRule>
    <cfRule type="expression" dxfId="145" priority="6">
      <formula>IF(OR($S$8 = "Assemble Addin", $S$8 = "Bluebeam QL"), MOD(ROW(), 2)=0, FALSE)</formula>
    </cfRule>
  </conditionalFormatting>
  <conditionalFormatting sqref="R13">
    <cfRule type="expression" dxfId="144" priority="2">
      <formula>IF($S$8 = "Assemble Addin", TRUE, FALSE)</formula>
    </cfRule>
  </conditionalFormatting>
  <conditionalFormatting sqref="R14:R16">
    <cfRule type="expression" dxfId="143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23" sqref="J23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J16" sqref="J16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77" t="s">
        <v>16</v>
      </c>
      <c r="H6" s="72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77" t="s">
        <v>31</v>
      </c>
      <c r="H7" s="73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77" t="s">
        <v>32</v>
      </c>
      <c r="H8" s="74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75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75"/>
      <c r="H16" s="37" t="s">
        <v>150</v>
      </c>
      <c r="I16" s="76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75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75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75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75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75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75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75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75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71" t="s">
        <v>136</v>
      </c>
    </row>
    <row r="33" spans="2:10" x14ac:dyDescent="0.3">
      <c r="B33" s="9" t="s">
        <v>154</v>
      </c>
      <c r="C33" s="71" t="s">
        <v>133</v>
      </c>
      <c r="G33" s="75"/>
      <c r="H33" s="37" t="s">
        <v>134</v>
      </c>
      <c r="J33" s="71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42" priority="55">
      <formula>IF(ISBLANK($D12), FALSE, IF(RedGreen_Formatting = "Enabled", $D12 &lt;= $E12 + Percent_Error, FALSE))</formula>
    </cfRule>
    <cfRule type="expression" dxfId="41" priority="56">
      <formula>IF(ISBLANK($D12), FALSE, IF(RedGreen_Formatting = "Enabled", $D12 &gt; $E12 + Percent_Error, FALSE))</formula>
    </cfRule>
  </conditionalFormatting>
  <conditionalFormatting sqref="E22">
    <cfRule type="expression" dxfId="40" priority="53">
      <formula>IF(ISBLANK($D22), FALSE, IF(RedGreen_Formatting = "Enabled", $D22 &lt;= $E22 + Percent_Error, FALSE))</formula>
    </cfRule>
    <cfRule type="expression" dxfId="39" priority="54">
      <formula>IF(ISBLANK($D22), FALSE, IF(RedGreen_Formatting = "Enabled", $D22 &gt; $E22 + Percent_Error, FALSE))</formula>
    </cfRule>
  </conditionalFormatting>
  <conditionalFormatting sqref="E24">
    <cfRule type="expression" dxfId="38" priority="51">
      <formula>IF(ISBLANK($D24), FALSE, IF(RedGreen_Formatting = "Enabled", $D24 &lt;= $E24 + Percent_Error, FALSE))</formula>
    </cfRule>
    <cfRule type="expression" dxfId="37" priority="52">
      <formula>IF(ISBLANK($D24), FALSE, IF(RedGreen_Formatting = "Enabled", $D24 &gt; $E24 + Percent_Error, FALSE))</formula>
    </cfRule>
  </conditionalFormatting>
  <conditionalFormatting sqref="E26">
    <cfRule type="expression" dxfId="36" priority="49">
      <formula>IF(ISBLANK($D26), FALSE, IF(RedGreen_Formatting = "Enabled", $D26 &lt;= $E26 + Percent_Error, FALSE))</formula>
    </cfRule>
    <cfRule type="expression" dxfId="35" priority="50">
      <formula>IF(ISBLANK($D26), FALSE, IF(RedGreen_Formatting = "Enabled", $D26 &gt; $E26 + Percent_Error, FALSE))</formula>
    </cfRule>
  </conditionalFormatting>
  <conditionalFormatting sqref="E28">
    <cfRule type="expression" dxfId="34" priority="47">
      <formula>IF(ISBLANK($D28), FALSE, IF(RedGreen_Formatting = "Enabled", $D28 &lt;= $E28 + Percent_Error, FALSE))</formula>
    </cfRule>
    <cfRule type="expression" dxfId="33" priority="48">
      <formula>IF(ISBLANK($D28), FALSE, IF(RedGreen_Formatting = "Enabled", $D28 &gt; $E28 + Percent_Error, FALSE))</formula>
    </cfRule>
  </conditionalFormatting>
  <conditionalFormatting sqref="E30">
    <cfRule type="expression" dxfId="32" priority="45">
      <formula>IF(ISBLANK($D30), FALSE, IF(RedGreen_Formatting = "Enabled", $D30 &lt;= $E30 + Percent_Error, FALSE))</formula>
    </cfRule>
    <cfRule type="expression" dxfId="31" priority="46">
      <formula>IF(ISBLANK($D30), FALSE, IF(RedGreen_Formatting = "Enabled", $D30 &gt; $E30 + Percent_Error, FALSE))</formula>
    </cfRule>
  </conditionalFormatting>
  <conditionalFormatting sqref="E32">
    <cfRule type="expression" dxfId="30" priority="43">
      <formula>IF(ISBLANK($D32), FALSE, IF(RedGreen_Formatting = "Enabled", $D32 &lt;= $E32 + Percent_Error, FALSE))</formula>
    </cfRule>
    <cfRule type="expression" dxfId="29" priority="44">
      <formula>IF(ISBLANK($D32), FALSE, IF(RedGreen_Formatting = "Enabled", $D32 &gt; $E32 + Percent_Error, FALSE))</formula>
    </cfRule>
  </conditionalFormatting>
  <conditionalFormatting sqref="E34">
    <cfRule type="expression" dxfId="28" priority="25">
      <formula>IF(ISBLANK($D34), FALSE, IF(RedGreen_Formatting = "Enabled", $D34 &lt;= $E34 + Percent_Error, FALSE))</formula>
    </cfRule>
    <cfRule type="expression" dxfId="27" priority="26">
      <formula>IF(ISBLANK($D34), FALSE, IF(RedGreen_Formatting = "Enabled", $D34 &gt; $E34 + Percent_Error, FALSE))</formula>
    </cfRule>
  </conditionalFormatting>
  <conditionalFormatting sqref="E33">
    <cfRule type="expression" dxfId="26" priority="5">
      <formula>IF(ISBLANK($D33), FALSE, IF(RedGreen_Formatting = "Enabled", $D33 &lt;= $E33 + Percent_Error, FALSE))</formula>
    </cfRule>
    <cfRule type="expression" dxfId="25" priority="6">
      <formula>IF(ISBLANK($D33), FALSE, IF(RedGreen_Formatting = "Enabled", $D33 &gt; $E33 + Percent_Error, FALSE))</formula>
    </cfRule>
  </conditionalFormatting>
  <conditionalFormatting sqref="E16">
    <cfRule type="expression" dxfId="24" priority="3">
      <formula>IF(ISBLANK($D16), FALSE, IF(RedGreen_Formatting = "Enabled", $D16 &lt;= $E16 + Percent_Error, FALSE))</formula>
    </cfRule>
    <cfRule type="expression" dxfId="23" priority="4">
      <formula>IF(ISBLANK($D16), FALSE, IF(RedGreen_Formatting = "Enabled", $D16 &gt; $E16 + Percent_Error, FALSE))</formula>
    </cfRule>
  </conditionalFormatting>
  <conditionalFormatting sqref="I16">
    <cfRule type="cellIs" dxfId="22" priority="2" operator="equal">
      <formula>"Ready"</formula>
    </cfRule>
    <cfRule type="cellIs" dxfId="21" priority="1" operator="equal">
      <formula>"Not 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8" t="s">
        <v>80</v>
      </c>
      <c r="AB1" s="79"/>
    </row>
    <row r="2" spans="2:49" ht="14" customHeight="1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e">
        <f>Main!#REF!</f>
        <v>#REF!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97" t="e">
        <f>RIGHT(Main!#REF!, LEN(Main!#REF!) - 4)</f>
        <v>#REF!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90" t="str">
        <f>_xlfn.CONCAT("This Week's Production (", IF(ISBLANK($S$6),"",$S$6), ")")</f>
        <v>This Week's Production (Count)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90" t="str">
        <f>_xlfn.CONCAT("Average Past 4 Weeks (", IF(ISBLANK($S$6),"",$S$6), ")")</f>
        <v>Average Past 4 Weeks (Count)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90" t="str">
        <f>_xlfn.CONCAT("On Schedule Average (", IF(ISBLANK($S$6),"",$S$6), ")")</f>
        <v>On Schedule Average (Count)</v>
      </c>
      <c r="K11" s="90"/>
      <c r="L11" s="90"/>
      <c r="M11" s="90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0" t="s">
        <v>46</v>
      </c>
      <c r="K13" s="80"/>
      <c r="L13" s="80"/>
      <c r="M13" s="80"/>
      <c r="N13" s="81"/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120" priority="7">
      <formula>ISERROR(AF14)</formula>
    </cfRule>
  </conditionalFormatting>
  <conditionalFormatting sqref="W13:X13">
    <cfRule type="expression" dxfId="119" priority="6">
      <formula>IF(OR($S$8 = "Assemble Addin", $S$8 = "Bluebeam QL"), TRUE, FALSE)</formula>
    </cfRule>
  </conditionalFormatting>
  <conditionalFormatting sqref="N6:O6">
    <cfRule type="expression" dxfId="118" priority="5">
      <formula>IF($N$6=$O$6, FALSE, TRUE)</formula>
    </cfRule>
  </conditionalFormatting>
  <conditionalFormatting sqref="W14:X21">
    <cfRule type="expression" dxfId="117" priority="3">
      <formula>IF(OR($S$8 = "Assemble Addin", $S$8 = "Bluebeam QL"), TRUE, FALSE)</formula>
    </cfRule>
    <cfRule type="expression" dxfId="116" priority="4">
      <formula>IF(OR($S$8 = "Assemble Addin", $S$8 = "Bluebeam QL"), MOD(ROW(), 2)=0, FALSE)</formula>
    </cfRule>
  </conditionalFormatting>
  <conditionalFormatting sqref="R13">
    <cfRule type="expression" dxfId="115" priority="2">
      <formula>IF($S$8 = "Assemble Addin", TRUE, FALSE)</formula>
    </cfRule>
  </conditionalFormatting>
  <conditionalFormatting sqref="R14:R21">
    <cfRule type="expression" dxfId="114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AC7" sqref="AC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97" t="str">
        <f>Main!C16</f>
        <v>Glassey Steel Works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81" priority="7">
      <formula>ISERROR(AF14)</formula>
    </cfRule>
  </conditionalFormatting>
  <conditionalFormatting sqref="W13:X13">
    <cfRule type="expression" dxfId="80" priority="6">
      <formula>IF(OR($S$8 = "Assemble Addin", $S$8 = "Bluebeam QL"), TRUE, FALSE)</formula>
    </cfRule>
  </conditionalFormatting>
  <conditionalFormatting sqref="N6:O6">
    <cfRule type="expression" dxfId="79" priority="5">
      <formula>IF($N$6=$O$6, FALSE, TRUE)</formula>
    </cfRule>
  </conditionalFormatting>
  <conditionalFormatting sqref="W14:X21">
    <cfRule type="expression" dxfId="78" priority="3">
      <formula>IF(OR($S$8 = "Assemble Addin", $S$8 = "Bluebeam QL"), TRUE, FALSE)</formula>
    </cfRule>
    <cfRule type="expression" dxfId="77" priority="4">
      <formula>IF(OR($S$8 = "Assemble Addin", $S$8 = "Bluebeam QL"), MOD(ROW(), 2)=0, FALSE)</formula>
    </cfRule>
  </conditionalFormatting>
  <conditionalFormatting sqref="R13">
    <cfRule type="expression" dxfId="76" priority="2">
      <formula>IF($S$8 = "Assemble Addin", TRUE, FALSE)</formula>
    </cfRule>
  </conditionalFormatting>
  <conditionalFormatting sqref="R14:R21">
    <cfRule type="expression" dxfId="75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2020-07-15T17:46:30Z</dcterms:modified>
</cp:coreProperties>
</file>