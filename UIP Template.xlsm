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178DD673-0DB0-43D3-8D52-72338FA1722C}" xr6:coauthVersionLast="44" xr6:coauthVersionMax="44" xr10:uidLastSave="{00000000-0000-0000-0000-000000000000}"/>
  <bookViews>
    <workbookView xWindow="-28920" yWindow="14190" windowWidth="29040" windowHeight="1764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4" l="1"/>
  <c r="A1" i="9" l="1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<sst xmlns="http://schemas.openxmlformats.org/spreadsheetml/2006/main" count="534" uniqueCount="159">
  <si>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</si>
  <si>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</si>
  <si>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</si>
  <si>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</si>
  <si>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</si>
  <si>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</si>
  <si>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</si>
  <si>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</si>
  <si>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</si>
  <si>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</si>
  <si>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</si>
  <si>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</si>
  <si>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</si>
  <si>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</si>
  <si>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</si>
  <si>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</si>
  <si>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</si>
  <si>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</si>
  <si>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</si>
  <si>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</si>
  <si>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</si>
  <si>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</si>
  <si>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</si>
  <si>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</si>
  <si>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</si>
  <si>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</si>
  <si>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</si>
  <si>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</si>
  <si>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</si>
  <si>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</si>
  <si>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</si>
  <si>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</si>
  <si>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</si>
  <si>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</si>
  <si>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</si>
  <si>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</si>
  <si>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</si>
  <si>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</si>
  <si>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</si>
  <si>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</si>
  <si>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</si>
  <si>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</si>
  <si>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</si>
  <si>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</si>
  <si>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</si>
  <si>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</si>
  <si>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</si>
  <si>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</si>
  <si>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</si>
  <si>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</si>
  <si>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</si>
  <si>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</si>
  <si>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</si>
  <si>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</si>
  <si>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</si>
  <si>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</si>
  <si>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</si>
  <si>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</si>
  <si>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</si>
  <si>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</si>
  <si>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</si>
  <si>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</si>
  <si>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</si>
  <si>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</si>
  <si>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</si>
  <si>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</si>
  <si>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</si>
  <si>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</si>
  <si>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</si>
  <si>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</si>
  <si>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</si>
  <si>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</si>
  <si>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</si>
  <si>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</si>
  <si>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</si>
  <si>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</si>
  <si>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</si>
  <si>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</si>
  <si>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</si>
  <si>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</si>
  <si>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</si>
  <si>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</si>
  <si>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</si>
  <si>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</si>
  <si>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</si>
  <si>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</si>
  <si>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</si>
  <si>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</si>
  <si>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</si>
  <si>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</si>
  <si>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</si>
  <si>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</si>
  <si>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</si>
  <si>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</si>
  <si>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</si>
  <si>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</si>
  <si>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</si>
  <si>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</si>
  <si>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</si>
  <si>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</si>
  <si>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</si>
  <si>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</si>
  <si>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</si>
  <si>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</si>
  <si>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</si>
  <si>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</si>
  <si>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</si>
  <si>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</si>
  <si>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</si>
  <si>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</si>
  <si>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</si>
  <si>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</si>
  <si>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</si>
  <si>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</si>
  <si>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</si>
  <si>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</si>
  <si>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</si>
  <si>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</si>
  <si>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</si>
  <si>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</si>
  <si>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</si>
  <si>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</si>
  <si>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</si>
  <si>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</si>
  <si>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</si>
  <si>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</si>
  <si>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</si>
  <si>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</si>
  <si>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</si>
  <si>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</si>
  <si>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</si>
  <si>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</si>
  <si>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</si>
  <si>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</si>
  <si>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</si>
  <si>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</si>
  <si>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</si>
  <si>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</si>
  <si>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</si>
  <si>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</si>
  <si>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</si>
  <si>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</si>
  <si>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</si>
  <si>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</si>
  <si>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</si>
  <si>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</si>
  <si>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</si>
  <si>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</si>
  <si>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</si>
  <si>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</si>
  <si>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</si>
  <si>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</si>
  <si>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</si>
  <si>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</si>
  <si>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</si>
  <si>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</si>
  <si>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</si>
  <si>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</si>
  <si>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Last Reported: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</si>
</sst>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8F8A085-F875-4B45-A3DE-26EC56202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024772-D717-4F6E-BC7D-F363B8CD6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76F64F-5448-492A-AC9E-59099B07D3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81C871-4175-4923-8FFB-1AC2E5D05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5DF119-3979-4100-AB3A-AAB27FC1BC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7ED6C4-D5DD-46C7-862A-6541095F3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0D42E9-A14D-4EAD-9688-27912E663C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D43C02-1E75-45D2-83B7-2FAA627EE2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61A840-05AF-407D-912B-BDFFE001C2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2D6A1E-8F20-4A27-AB17-1EB1776D1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92941D-DA7E-478E-9F65-42A1BB97C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8DC4DC-99F1-4BDD-8F77-46B3DF9916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B14809-093C-493C-ADEF-CC338CC57B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BC8A57-19CB-4C07-B9FC-0091F612D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3D8234-66D5-4FF8-A855-FF64F3C235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DFFDC9-298D-4C9E-9735-A8C1EA54EC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A8F3EA-F857-4E9F-A539-1E11BFC953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F2FC97-79ED-4C2F-BCA8-6BE57A64A9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1D352A-4B45-4807-A016-BA12C16F99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BE17F0-4547-4CC4-8C76-778A88CE87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E985D5-D79D-4E49-B9DB-D263E7B575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319F23-5327-4B07-B1E2-575F2ACC05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4F33FF-BFC7-4CAB-AD3C-6013512A0A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B1288F-77CB-474E-9108-EC50C6B38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15A596-9AF9-42C2-93EC-3C8C9268E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654CA4-18B5-463B-B7BE-43E577742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CCAA3C-0B50-44DC-8B62-7B7D473B8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DC8F37-A01D-4E3C-9E37-D3F17CA104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2C8FD4-FF3F-4325-86DA-F90B615A3D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9FEAB5-E282-4807-9769-738BE389A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3150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C78DCAE-49E4-4F8E-AD17-A2B92F2C1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3A55FD-BCF2-41C1-981B-A5FB183ADE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1E9D2C-31B8-493D-BE9C-24F10F308B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88BFF1-804F-464F-A0A5-2F04D840B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45F9F0-F3B7-439B-B6C3-094C190B04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A4663C-12EC-46CC-98AE-E084F8F900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51A8A2-5A56-47D2-A231-DBE70B770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033BB6-91A5-416A-A64B-722FA64CB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B0BDCD-66B2-4E9D-B455-2C13ED45BF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5DDA39-C50D-450F-A41F-A7205EF4B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FD9592-7A4F-46EE-8C66-4190892E08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F1C92C-CBEF-405C-93D9-6F73D5143C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4CE786-FBD2-40DC-9D4F-40AED90EF2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026839-B651-4E2F-A448-05C7099C29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F1EAB1-F876-48C4-94BB-8ED1DB3DAA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4A21CA-F7FC-4B36-B714-954E1232FE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DB383A-9531-4FD6-9744-3F154D7704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D33144-1727-48BF-A0A9-5FBEA14210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0806B2-4BC8-48DC-9871-98AA0E3821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AB99FD-A9E2-404A-B0A4-DB61913FA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473D4F-6A5E-43FA-9D23-FE14F81174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634360-BFBD-476E-83AC-329903900A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BBB061-6411-4074-990D-8A0F0AEE12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A28ECF4-81E7-42D4-B8AD-5F15E8689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97375A-2E55-4FA8-B381-10D147FCD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D2EBAB-425C-466D-B973-2DE72BF0E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B8A013-0147-44D9-AFCA-8D3DD5AFB6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CEAA77-D391-47DC-A0AE-8D1E9B075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2DB5D5-281A-46EE-9A58-9A8275A97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30E03A-F4F8-41D6-B566-F60239E196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5C585E-034E-4880-9666-78DAE1E731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2F973E-8CB3-4BD9-BE1C-18AC2BF7BC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F085D9-9BBA-489C-9649-849F59F3CB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A8B5E1-AA76-4B26-857D-DC824AFAB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8C5D2C-837F-4835-B5ED-6C8536C5A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6263A2-E832-4B4B-AFF1-D99820DFB1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AD0DED-8CD4-4592-8922-AAB67D2DF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94D825-AD1D-4594-847A-99E22064A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2D2736-CEB5-41CC-A3B5-D6F014DC5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2121B3-59CA-46A9-881F-CF9E3073A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E4CAE2-682E-462D-ABF3-6DB6806C0C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96C106-2A36-45E3-A8A2-19ABDDAAE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232CBC-F8E4-4E09-A05C-14E10ABD5F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4B4A52-DF7C-4DA3-80EF-3308B644E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5B9A4A-C05D-4B97-B32F-6EEA643A2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1E69C0-BC23-46AF-91AD-ADDBB1F51E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2A21B2-79C7-4F91-88D6-352CD55711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E4928C-411E-46FB-96BA-5D64D61413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135328-2E2F-4F8C-B4EE-3B7BE606C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A72E69-C707-4D63-84B9-BE0EE28AB5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597272-4FCA-4A68-9F71-70F1F2A3E8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5237CF-6B36-42D4-9B09-86B6EE326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DEE0E3-9F91-46D1-95C9-50AB895825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043BF8-A68B-4664-A83E-36AEC89D6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DF653E-1201-4570-88C8-3EECF9B9A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22561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26" dataDxfId="125">
  <autoFilter ref="R13:X16" xr:uid="{FF2C9E8B-1A62-479C-AF68-79B236C0B7BB}"/>
  <tableColumns count="7">
    <tableColumn id="1" xr3:uid="{727C6146-39EA-4E15-8783-53CAA87FAF36}" name="Zone ID" dataDxfId="124"/>
    <tableColumn id="2" xr3:uid="{2CA65110-6DD7-46D8-BFC2-5EB0C0E57567}" name="Description" dataDxfId="123"/>
    <tableColumn id="3" xr3:uid="{12D64F80-6A69-494F-BF8F-E326D34A185A}" name="Short Description" dataDxfId="122"/>
    <tableColumn id="4" xr3:uid="{71F3F5B2-8F6B-4985-B1FC-5A9D60095474}" name="Start Date" dataDxfId="121"/>
    <tableColumn id="5" xr3:uid="{57258378-8FED-4727-89AC-D938CB414B7B}" name="Finish Date" dataDxfId="12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8">
      <calculatedColumnFormula>IF(AA13 = "Date", $S$4, AA13+7)</calculatedColumnFormula>
    </tableColumn>
    <tableColumn id="6" xr3:uid="{5740AC03-CF53-4345-8667-6AC0CA6843D0}" name="Primary Areas" dataDxfId="117">
      <calculatedColumnFormula>PrimaryAreas(3)</calculatedColumnFormula>
    </tableColumn>
    <tableColumn id="2" xr3:uid="{AF232D3D-EC3F-4232-BA5D-1427173C2D6A}" name="Weekly Plan" dataDxfId="116">
      <calculatedColumnFormula xml:space="preserve"> IF(#REF!="", 0,#REF!)+ IF(#REF!="", 0,#REF!)+ IF(#REF!="", 0,#REF!)</calculatedColumnFormula>
    </tableColumn>
    <tableColumn id="3" xr3:uid="{B28103F6-7596-4848-9F0D-3E4A9E5CBEFE}" name="Weekly Actual" dataDxfId="115">
      <calculatedColumnFormula>IF(AND(ISBLANK(#REF!),ISBLANK(#REF!),ISBLANK(#REF!)),"",#REF! +#REF!+#REF!)</calculatedColumnFormula>
    </tableColumn>
    <tableColumn id="4" xr3:uid="{EF1C6009-71E6-491B-B64F-04049D2D9103}" name="Accumulated Plan" dataDxfId="114">
      <calculatedColumnFormula>SUM($AC$14:AC14)</calculatedColumnFormula>
    </tableColumn>
    <tableColumn id="5" xr3:uid="{442DAB73-1233-4C61-8DE9-3B44CE2C5D69}" name="Accumulated Actual" dataDxfId="113">
      <calculatedColumnFormula>IF(AD14="",NA(),SUM($AD$14:AD14))</calculatedColumnFormula>
    </tableColumn>
    <tableColumn id="43" xr3:uid="{CE31DBAF-57B0-4D4D-852A-B07516A73A41}" name="WP_A1" dataDxfId="112">
      <calculatedColumnFormula>WeeklyPlanned(Output_Template[[#Headers],[WP_A1]], Output_Template[[#This Row],[Date]])</calculatedColumnFormula>
    </tableColumn>
    <tableColumn id="44" xr3:uid="{A0857F89-2BC6-42D6-B02F-90D9272451CA}" name="WA_A1" dataDxfId="111"/>
    <tableColumn id="45" xr3:uid="{2A74D439-B21B-40DD-BB55-7D2C2B18629E}" name="WP_A2" dataDxfId="110">
      <calculatedColumnFormula>WeeklyPlanned(Output_Template[[#Headers],[WP_A2]], Output_Template[[#This Row],[Date]])</calculatedColumnFormula>
    </tableColumn>
    <tableColumn id="46" xr3:uid="{670DB326-434A-466C-9E3C-6A8FE180F21F}" name="WA_A2" dataDxfId="109"/>
    <tableColumn id="47" xr3:uid="{B6798EC6-DE2D-49BB-961E-220FED1F6F10}" name="WP_A3" dataDxfId="108">
      <calculatedColumnFormula>WeeklyPlanned(Output_Template[[#Headers],[WP_A3]], Output_Template[[#This Row],[Date]])</calculatedColumnFormula>
    </tableColumn>
    <tableColumn id="48" xr3:uid="{B2CB6DA2-6E53-4BAC-881B-229E451DFCE0}" name="WA_A3" dataDxfId="10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6">
  <autoFilter ref="H2:H5" xr:uid="{1041DC80-58D6-4308-9DE1-A4EC8AAD3C20}"/>
  <tableColumns count="1">
    <tableColumn id="1" xr3:uid="{0E6D3E77-7CB7-40A1-BCA6-DDC8164AAEB9}" name="Holidays" dataDxfId="10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04" dataDxfId="103">
  <autoFilter ref="R13:X21" xr:uid="{FF2C9E8B-1A62-479C-AF68-79B236C0B7BB}"/>
  <tableColumns count="7">
    <tableColumn id="1" xr3:uid="{5AA37268-DD16-498C-9169-AE2EA9DA526A}" name="Zone ID" dataDxfId="102"/>
    <tableColumn id="2" xr3:uid="{0E3A0621-3CBD-40FC-B7C1-86ED2397BCEE}" name="Description" dataDxfId="101"/>
    <tableColumn id="3" xr3:uid="{5A73CD5C-5126-40F4-B5B3-C7A438ED4F4F}" name="Short Description" dataDxfId="100"/>
    <tableColumn id="4" xr3:uid="{CDB025F5-BA1E-4D3D-9F16-1E7E8B24997A}" name="Start Date" dataDxfId="99"/>
    <tableColumn id="5" xr3:uid="{A32C4534-D094-4392-BDFF-D9E6184B332E}" name="Finish Date" dataDxfId="98"/>
    <tableColumn id="6" xr3:uid="{4EBF5FA0-D78E-4850-9053-2FD3D4DF8DDF}" name="Total" dataDxfId="97" dataCellStyle="Linked Cell"/>
    <tableColumn id="7" xr3:uid="{2024E4D3-6ED3-428B-AA0E-731077A47B05}" name="Completed Total" dataDxfId="96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95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94">
      <calculatedColumnFormula>IF(AA13 = "Date", $S$4, AA13+7)</calculatedColumnFormula>
    </tableColumn>
    <tableColumn id="6" xr3:uid="{001A0E6C-64CB-4894-8C22-5853E33F6BB2}" name="Primary Areas" dataDxfId="93">
      <calculatedColumnFormula>PrimaryAreas(8)</calculatedColumnFormula>
    </tableColumn>
    <tableColumn id="2" xr3:uid="{1360E334-97F5-432E-BB23-793619A14458}" name="Weekly Plan" dataDxfId="92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91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0">
      <calculatedColumnFormula>SUM($AC$14:AC14)</calculatedColumnFormula>
    </tableColumn>
    <tableColumn id="5" xr3:uid="{1924FD4A-42CB-49CF-B4A5-079079B5D0F3}" name="Accumulated Actual" dataDxfId="89">
      <calculatedColumnFormula>IF(AD14="",NA(),SUM($AD$14:AD14))</calculatedColumnFormula>
    </tableColumn>
    <tableColumn id="23" xr3:uid="{9D909FAC-40FF-4109-8EAE-74DFABFF8319}" name="WP_ABC" dataDxfId="88">
      <calculatedColumnFormula>WeeklyPlanned(Output_0000[[#Headers],[WP_ABC]], Output_0000[[#This Row],[Date]])</calculatedColumnFormula>
    </tableColumn>
    <tableColumn id="24" xr3:uid="{92ADE5B7-CAEC-41A0-B928-8F7F4344FE26}" name="WA_ABC" dataDxfId="87"/>
    <tableColumn id="25" xr3:uid="{F7FD9E19-6CFF-44A1-AF87-237747B65D1E}" name="WP_ACS" dataDxfId="86">
      <calculatedColumnFormula>WeeklyPlanned(Output_0000[[#Headers],[WP_ACS]], Output_0000[[#This Row],[Date]])</calculatedColumnFormula>
    </tableColumn>
    <tableColumn id="26" xr3:uid="{1FD6096E-155A-48FA-BF57-ABEB209A76A8}" name="WA_ACS" dataDxfId="85"/>
    <tableColumn id="27" xr3:uid="{C32CB5E4-987A-4E05-BFD2-AD1BA55323A7}" name="WP_AL1" dataDxfId="84">
      <calculatedColumnFormula>WeeklyPlanned(Output_0000[[#Headers],[WP_AL1]], Output_0000[[#This Row],[Date]])</calculatedColumnFormula>
    </tableColumn>
    <tableColumn id="28" xr3:uid="{741EC55D-ACF8-45FE-B760-246C2984AB76}" name="WA_AL1" dataDxfId="83"/>
    <tableColumn id="29" xr3:uid="{02D5C536-D7AB-4845-AF46-BA557A0711BE}" name="WP_HBase" dataDxfId="82">
      <calculatedColumnFormula>WeeklyPlanned(Output_0000[[#Headers],[WP_HBase]], Output_0000[[#This Row],[Date]])</calculatedColumnFormula>
    </tableColumn>
    <tableColumn id="30" xr3:uid="{6CFFBF9B-4C23-4C48-B9B4-2C3A9A72CE8C}" name="WA_HBase" dataDxfId="81"/>
    <tableColumn id="31" xr3:uid="{27A2EB7B-E3EA-47B1-A3F2-FFBF58F06F0D}" name="WP_HWST" dataDxfId="80">
      <calculatedColumnFormula>WeeklyPlanned(Output_0000[[#Headers],[WP_HWST]], Output_0000[[#This Row],[Date]])</calculatedColumnFormula>
    </tableColumn>
    <tableColumn id="32" xr3:uid="{1F1D10B3-084B-4075-8E04-CBCE81737E69}" name="WA_HWST" dataDxfId="79"/>
    <tableColumn id="33" xr3:uid="{127722D0-80A4-4F75-9175-6D2C54EBC191}" name="WP_HWSR" dataDxfId="78">
      <calculatedColumnFormula>WeeklyPlanned(Output_0000[[#Headers],[WP_HWSR]], Output_0000[[#This Row],[Date]])</calculatedColumnFormula>
    </tableColumn>
    <tableColumn id="34" xr3:uid="{ED1A96FC-35C0-4018-81E1-B3B51101AB44}" name="WA_HWSR" dataDxfId="77"/>
    <tableColumn id="35" xr3:uid="{584725E1-3456-4D62-8919-994293AB89D3}" name="WP_HL2" dataDxfId="76">
      <calculatedColumnFormula>WeeklyPlanned(Output_0000[[#Headers],[WP_HL2]], Output_0000[[#This Row],[Date]])</calculatedColumnFormula>
    </tableColumn>
    <tableColumn id="36" xr3:uid="{0D58AE03-CEC6-4352-9275-206C438024A6}" name="WA_HL2" dataDxfId="75"/>
    <tableColumn id="37" xr3:uid="{76718DA7-C2F0-424A-9855-A1F7A4401A40}" name="WP_HBCeil" dataDxfId="74">
      <calculatedColumnFormula>WeeklyPlanned(Output_0000[[#Headers],[WP_HBCeil]], Output_0000[[#This Row],[Date]])</calculatedColumnFormula>
    </tableColumn>
    <tableColumn id="38" xr3:uid="{DF9E8E0F-9F93-4E51-85D2-94DDAA517F51}" name="WA_HBCeil" dataDxfId="7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2" dataDxfId="71">
  <autoFilter ref="R13:X21" xr:uid="{FF2C9E8B-1A62-479C-AF68-79B236C0B7BB}"/>
  <tableColumns count="7">
    <tableColumn id="1" xr3:uid="{9FED2BA1-A1A7-4513-A20F-F09DB113155D}" name="Zone ID" dataDxfId="70"/>
    <tableColumn id="2" xr3:uid="{8B67A205-5329-400B-84DC-CB06A032CF16}" name="Description" dataDxfId="69"/>
    <tableColumn id="3" xr3:uid="{2253D560-C30C-43DE-ABAB-BFAFD145DF40}" name="Short Description" dataDxfId="68"/>
    <tableColumn id="4" xr3:uid="{09E57ADB-1BEB-4CFB-B160-A9C7ADA56DE0}" name="Start Date" dataDxfId="67"/>
    <tableColumn id="5" xr3:uid="{B704EAFC-B4AE-45F3-A5AC-5189060C6D42}" name="Finish Date" dataDxfId="66"/>
    <tableColumn id="6" xr3:uid="{FAFABCDE-D7F7-45A9-83E7-80ADC6F01B0B}" name="Total" dataDxfId="65" dataCellStyle="Normal"/>
    <tableColumn id="7" xr3:uid="{F8D69A8D-7550-4939-9D63-599172BCFFFD}" name="Completed Total" dataDxfId="64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3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2">
      <calculatedColumnFormula>IF(AA13 = "Date", $S$4, AA13+7)</calculatedColumnFormula>
    </tableColumn>
    <tableColumn id="6" xr3:uid="{DE271CBB-C0FC-482D-929A-C21AEFAC32E4}" name="Primary Areas" dataDxfId="61">
      <calculatedColumnFormula>PrimaryAreas(8)</calculatedColumnFormula>
    </tableColumn>
    <tableColumn id="2" xr3:uid="{71EE47CC-75E0-49E1-B527-E1364059B0A6}" name="Weekly Plan" dataDxfId="60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59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58">
      <calculatedColumnFormula>SUM($AC$14:AC14)</calculatedColumnFormula>
    </tableColumn>
    <tableColumn id="5" xr3:uid="{CB7FAB5B-BEAB-4D4A-BD18-57DE0B5DE266}" name="Accumulated Actual" dataDxfId="57">
      <calculatedColumnFormula>IF(AD14="",NA(),SUM($AD$14:AD14))</calculatedColumnFormula>
    </tableColumn>
    <tableColumn id="7" xr3:uid="{2A1CBA5C-29D6-4EB1-8BAA-AF2C064B4A02}" name="WP_ABC" dataDxfId="56">
      <calculatedColumnFormula>WeeklyPlanned(Output_0501[[#Headers],[WP_ABC]], Output_0501[[#This Row],[Date]])</calculatedColumnFormula>
    </tableColumn>
    <tableColumn id="8" xr3:uid="{04DC9374-2B37-4BF5-AA39-F11FC0149281}" name="WA_ABC" dataDxfId="55"/>
    <tableColumn id="9" xr3:uid="{4F88CC2C-A480-4C5B-BA01-24B210AB447A}" name="WP_ACS" dataDxfId="54">
      <calculatedColumnFormula>WeeklyPlanned(Output_0501[[#Headers],[WP_ACS]], Output_0501[[#This Row],[Date]])</calculatedColumnFormula>
    </tableColumn>
    <tableColumn id="10" xr3:uid="{48C24C77-4D2B-435F-BBC2-FAD4AD540AB6}" name="WA_ACS" dataDxfId="53"/>
    <tableColumn id="11" xr3:uid="{75D5C587-305D-4077-9FAA-C79F65923E57}" name="WP_AL1" dataDxfId="52">
      <calculatedColumnFormula>WeeklyPlanned(Output_0501[[#Headers],[WP_AL1]], Output_0501[[#This Row],[Date]])</calculatedColumnFormula>
    </tableColumn>
    <tableColumn id="12" xr3:uid="{8077796C-E6FC-4EE3-89F7-798709387F7F}" name="WA_AL1" dataDxfId="51"/>
    <tableColumn id="13" xr3:uid="{792F3323-B0E8-4776-9689-FD45E57B619D}" name="WP_HBase" dataDxfId="50">
      <calculatedColumnFormula>WeeklyPlanned(Output_0501[[#Headers],[WP_HBase]], Output_0501[[#This Row],[Date]])</calculatedColumnFormula>
    </tableColumn>
    <tableColumn id="14" xr3:uid="{9E7E74B1-B432-4576-8F57-2DCED559C004}" name="WA_HBase" dataDxfId="49"/>
    <tableColumn id="15" xr3:uid="{6C8A9406-B3E7-4378-8961-19DE99A823B8}" name="WP_HWST" dataDxfId="48">
      <calculatedColumnFormula>WeeklyPlanned(Output_0501[[#Headers],[WP_HWST]], Output_0501[[#This Row],[Date]])</calculatedColumnFormula>
    </tableColumn>
    <tableColumn id="16" xr3:uid="{85632008-1A06-41BF-96BF-DF4F2942C8E3}" name="WA_HWST" dataDxfId="47"/>
    <tableColumn id="17" xr3:uid="{4ED0746A-56E1-4B9A-8D82-621AD6A805EE}" name="WP_HWSR" dataDxfId="46">
      <calculatedColumnFormula>WeeklyPlanned(Output_0501[[#Headers],[WP_HWSR]], Output_0501[[#This Row],[Date]])</calculatedColumnFormula>
    </tableColumn>
    <tableColumn id="18" xr3:uid="{616A2447-10D3-4C5E-BE98-C8594A351722}" name="WA_HWSR" dataDxfId="45"/>
    <tableColumn id="19" xr3:uid="{13711C20-54F0-41FE-93CC-92DB5745C53C}" name="WP_HL2" dataDxfId="44">
      <calculatedColumnFormula>WeeklyPlanned(Output_0501[[#Headers],[WP_HL2]], Output_0501[[#This Row],[Date]])</calculatedColumnFormula>
    </tableColumn>
    <tableColumn id="20" xr3:uid="{AE155A80-4969-4902-8DAF-8DC808584420}" name="WA_HL2" dataDxfId="43"/>
    <tableColumn id="21" xr3:uid="{186F9C43-2DF5-47B7-A779-6A42D4C3454E}" name="WP_HBCeil" dataDxfId="42">
      <calculatedColumnFormula>WeeklyPlanned(Output_0501[[#Headers],[WP_HBCeil]], Output_0501[[#This Row],[Date]])</calculatedColumnFormula>
    </tableColumn>
    <tableColumn id="22" xr3:uid="{7F8ADB3E-C083-4C51-8B5A-9EACC6ABF4A0}" name="WA_HBCeil" dataDxfId="4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S23" sqref="S2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80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0.64999999999999991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0.35000000000000014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3150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>
        <f ca="1">VLOOKUP($S$3, INDIRECT("Output_"&amp;$S$2), 4, FALSE)</f>
        <v>0</v>
      </c>
      <c r="R8" s="24" t="s">
        <v>50</v>
      </c>
      <c r="S8" s="26" t="s">
        <v>156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262.5</v>
      </c>
      <c r="R9" s="24" t="s">
        <v>158</v>
      </c>
      <c r="S9" s="27">
        <v>44013</v>
      </c>
      <c r="T9" s="24" t="s">
        <v>114</v>
      </c>
      <c r="U9" s="92" t="s">
        <v>116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0</v>
      </c>
      <c r="T10" s="24" t="s">
        <v>115</v>
      </c>
      <c r="U10" s="93" t="s">
        <v>157</v>
      </c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417.85714285714283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#DIV/0!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81</v>
      </c>
      <c r="AH13" s="64" t="s">
        <v>83</v>
      </c>
      <c r="AI13" s="64" t="s">
        <v>82</v>
      </c>
      <c r="AJ13" s="64" t="s">
        <v>84</v>
      </c>
      <c r="AK13" s="64" t="s">
        <v>85</v>
      </c>
      <c r="AL13" s="64" t="s">
        <v>86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9" s="58">
        <f ca="1">SUM($AC$14:AC29)</f>
        <v>4745.454545454545</v>
      </c>
      <c r="AF29" s="58">
        <f>IF(AD29="",NA(),SUM($AD$14:AD29))</f>
        <v>3150</v>
      </c>
      <c r="AG29" s="58" t="str">
        <f ca="1">WeeklyPlanned(Output_Template[[#Headers],[WP_A1]], Output_Template[[#This Row],[Date]])</f>
        <v/>
      </c>
      <c r="AH29" s="58">
        <v>0</v>
      </c>
      <c r="AI29" s="58">
        <f ca="1">WeeklyPlanned(Output_Template[[#Headers],[WP_A2]], Output_Template[[#This Row],[Date]])</f>
        <v>272.72727272727275</v>
      </c>
      <c r="AJ29" s="58">
        <v>0</v>
      </c>
      <c r="AK29" s="58" t="str">
        <f ca="1">WeeklyPlanned(Output_Template[[#Headers],[WP_A3]], Output_Template[[#This Row],[Date]])</f>
        <v/>
      </c>
      <c r="AL29" s="58">
        <v>0</v>
      </c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40" priority="10">
      <formula>ISERROR(AF14)</formula>
    </cfRule>
  </conditionalFormatting>
  <conditionalFormatting sqref="W13:X13">
    <cfRule type="expression" dxfId="39" priority="8">
      <formula>IF(OR($S$8 = "Assemble Addin", $S$8 = "Bluebeam QL"), TRUE, FALSE)</formula>
    </cfRule>
  </conditionalFormatting>
  <conditionalFormatting sqref="N6:O6">
    <cfRule type="expression" dxfId="38" priority="7">
      <formula>IF($N$6=$O$6, FALSE, TRUE)</formula>
    </cfRule>
  </conditionalFormatting>
  <conditionalFormatting sqref="W14:X16">
    <cfRule type="expression" dxfId="37" priority="5">
      <formula>IF(OR($S$8 = "Assemble Addin", $S$8 = "Bluebeam QL"), TRUE, FALSE)</formula>
    </cfRule>
    <cfRule type="expression" dxfId="36" priority="6">
      <formula>IF(OR($S$8 = "Assemble Addin", $S$8 = "Bluebeam QL"), MOD(ROW(), 2)=0, FALSE)</formula>
    </cfRule>
  </conditionalFormatting>
  <conditionalFormatting sqref="R13">
    <cfRule type="expression" dxfId="35" priority="2">
      <formula>IF($S$8 = "Assemble Addin", TRUE, FALSE)</formula>
    </cfRule>
  </conditionalFormatting>
  <conditionalFormatting sqref="R14:R16">
    <cfRule type="expression" dxfId="34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116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H16" sqref="H16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t="s">
        <v>136</v>
      </c>
    </row>
    <row r="12" spans="2:11" hidden="1" x14ac:dyDescent="0.35">
      <c r="B12" s="13"/>
      <c r="G12" s="1"/>
      <c r="H12" s="17"/>
    </row>
    <row r="13" spans="2:11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t="s">
        <v>136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t="s">
        <v>136</v>
      </c>
    </row>
    <row r="16" spans="2:11" x14ac:dyDescent="0.35">
      <c r="B16" s="9" t="s">
        <v>151</v>
      </c>
      <c r="C16" s="77" t="s">
        <v>149</v>
      </c>
      <c r="D16" s="10">
        <f ca="1">'0501'!N5</f>
        <v>0</v>
      </c>
      <c r="E16" s="10">
        <f ca="1">'0501'!O5</f>
        <v>0.10714285714285712</v>
      </c>
      <c r="G16" s="22"/>
      <c r="H16" s="17" t="s">
        <v>150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t="s">
        <v>136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t="s">
        <v>136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99" t="s">
        <v>127</v>
      </c>
      <c r="C22" s="99"/>
      <c r="D22" s="99"/>
      <c r="E22" s="99"/>
      <c r="F22" s="23"/>
      <c r="G22" s="23"/>
      <c r="H22" s="23"/>
      <c r="I22" s="23"/>
      <c r="J22" s="23"/>
      <c r="K22" t="s">
        <v>136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99" t="s">
        <v>128</v>
      </c>
      <c r="C24" s="99"/>
      <c r="D24" s="99"/>
      <c r="E24" s="99"/>
      <c r="F24" s="23"/>
      <c r="G24" s="23"/>
      <c r="H24" s="23"/>
      <c r="I24" s="23"/>
      <c r="J24" s="23"/>
      <c r="K24" t="s">
        <v>136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99" t="s">
        <v>129</v>
      </c>
      <c r="C26" s="99"/>
      <c r="D26" s="99"/>
      <c r="E26" s="99"/>
      <c r="F26" s="23"/>
      <c r="G26" s="23"/>
      <c r="H26" s="23"/>
      <c r="I26" s="23"/>
      <c r="J26" s="23"/>
      <c r="K26" t="s">
        <v>136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99" t="s">
        <v>130</v>
      </c>
      <c r="C28" s="99"/>
      <c r="D28" s="99"/>
      <c r="E28" s="99"/>
      <c r="F28" s="23"/>
      <c r="G28" s="23"/>
      <c r="H28" s="23"/>
      <c r="I28" s="23"/>
      <c r="J28" s="23"/>
      <c r="K28" t="s">
        <v>136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99" t="s">
        <v>131</v>
      </c>
      <c r="C30" s="99"/>
      <c r="D30" s="99"/>
      <c r="E30" s="99"/>
      <c r="F30" s="23"/>
      <c r="G30" s="23"/>
      <c r="H30" s="23"/>
      <c r="I30" s="23"/>
      <c r="J30" s="23"/>
      <c r="K30" t="s">
        <v>136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99" t="s">
        <v>132</v>
      </c>
      <c r="C32" s="99"/>
      <c r="D32" s="99"/>
      <c r="E32" s="99"/>
      <c r="F32" s="23"/>
      <c r="G32" s="23"/>
      <c r="H32" s="23"/>
      <c r="I32" s="23"/>
      <c r="J32" s="23"/>
      <c r="K32" t="s">
        <v>136</v>
      </c>
    </row>
    <row r="33" spans="2:8" x14ac:dyDescent="0.35">
      <c r="B33" s="9" t="s">
        <v>154</v>
      </c>
      <c r="C33" s="75" t="s">
        <v>133</v>
      </c>
      <c r="G33" s="22"/>
      <c r="H33" s="17" t="s">
        <v>134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33" priority="53">
      <formula>IF(ISBLANK($D12), FALSE, IF(RedGreen_Formatting = "Enabled", $D12 &lt;= $E12 + Percent_Error, FALSE))</formula>
    </cfRule>
    <cfRule type="expression" dxfId="32" priority="54">
      <formula>IF(ISBLANK($D12), FALSE, IF(RedGreen_Formatting = "Enabled", $D12 &gt; $E12 + Percent_Error, FALSE))</formula>
    </cfRule>
  </conditionalFormatting>
  <conditionalFormatting sqref="E22">
    <cfRule type="expression" dxfId="31" priority="51">
      <formula>IF(ISBLANK($D22), FALSE, IF(RedGreen_Formatting = "Enabled", $D22 &lt;= $E22 + Percent_Error, FALSE))</formula>
    </cfRule>
    <cfRule type="expression" dxfId="30" priority="52">
      <formula>IF(ISBLANK($D22), FALSE, IF(RedGreen_Formatting = "Enabled", $D22 &gt; $E22 + Percent_Error, FALSE))</formula>
    </cfRule>
  </conditionalFormatting>
  <conditionalFormatting sqref="E24">
    <cfRule type="expression" dxfId="29" priority="49">
      <formula>IF(ISBLANK($D24), FALSE, IF(RedGreen_Formatting = "Enabled", $D24 &lt;= $E24 + Percent_Error, FALSE))</formula>
    </cfRule>
    <cfRule type="expression" dxfId="28" priority="50">
      <formula>IF(ISBLANK($D24), FALSE, IF(RedGreen_Formatting = "Enabled", $D24 &gt; $E24 + Percent_Error, FALSE))</formula>
    </cfRule>
  </conditionalFormatting>
  <conditionalFormatting sqref="E26">
    <cfRule type="expression" dxfId="27" priority="47">
      <formula>IF(ISBLANK($D26), FALSE, IF(RedGreen_Formatting = "Enabled", $D26 &lt;= $E26 + Percent_Error, FALSE))</formula>
    </cfRule>
    <cfRule type="expression" dxfId="26" priority="48">
      <formula>IF(ISBLANK($D26), FALSE, IF(RedGreen_Formatting = "Enabled", $D26 &gt; $E26 + Percent_Error, FALSE))</formula>
    </cfRule>
  </conditionalFormatting>
  <conditionalFormatting sqref="E28">
    <cfRule type="expression" dxfId="25" priority="45">
      <formula>IF(ISBLANK($D28), FALSE, IF(RedGreen_Formatting = "Enabled", $D28 &lt;= $E28 + Percent_Error, FALSE))</formula>
    </cfRule>
    <cfRule type="expression" dxfId="24" priority="46">
      <formula>IF(ISBLANK($D28), FALSE, IF(RedGreen_Formatting = "Enabled", $D28 &gt; $E28 + Percent_Error, FALSE))</formula>
    </cfRule>
  </conditionalFormatting>
  <conditionalFormatting sqref="E30">
    <cfRule type="expression" dxfId="23" priority="43">
      <formula>IF(ISBLANK($D30), FALSE, IF(RedGreen_Formatting = "Enabled", $D30 &lt;= $E30 + Percent_Error, FALSE))</formula>
    </cfRule>
    <cfRule type="expression" dxfId="22" priority="44">
      <formula>IF(ISBLANK($D30), FALSE, IF(RedGreen_Formatting = "Enabled", $D30 &gt; $E30 + Percent_Error, FALSE))</formula>
    </cfRule>
  </conditionalFormatting>
  <conditionalFormatting sqref="E32">
    <cfRule type="expression" dxfId="21" priority="41">
      <formula>IF(ISBLANK($D32), FALSE, IF(RedGreen_Formatting = "Enabled", $D32 &lt;= $E32 + Percent_Error, FALSE))</formula>
    </cfRule>
    <cfRule type="expression" dxfId="20" priority="42">
      <formula>IF(ISBLANK($D32), FALSE, IF(RedGreen_Formatting = "Enabled", $D32 &gt; $E32 + Percent_Error, FALSE))</formula>
    </cfRule>
  </conditionalFormatting>
  <conditionalFormatting sqref="E34">
    <cfRule type="expression" dxfId="19" priority="23">
      <formula>IF(ISBLANK($D34), FALSE, IF(RedGreen_Formatting = "Enabled", $D34 &lt;= $E34 + Percent_Error, FALSE))</formula>
    </cfRule>
    <cfRule type="expression" dxfId="18" priority="24">
      <formula>IF(ISBLANK($D34), FALSE, IF(RedGreen_Formatting = "Enabled", $D34 &gt; $E34 + Percent_Error, FALSE))</formula>
    </cfRule>
  </conditionalFormatting>
  <conditionalFormatting sqref="E33">
    <cfRule type="expression" dxfId="17" priority="3">
      <formula>IF(ISBLANK($D33), FALSE, IF(RedGreen_Formatting = "Enabled", $D33 &lt;= $E33 + Percent_Error, FALSE))</formula>
    </cfRule>
    <cfRule type="expression" dxfId="16" priority="4">
      <formula>IF(ISBLANK($D33), FALSE, IF(RedGreen_Formatting = "Enabled", $D33 &gt; $E33 + Percent_Error, FALSE))</formula>
    </cfRule>
  </conditionalFormatting>
  <conditionalFormatting sqref="E16">
    <cfRule type="expression" dxfId="15" priority="1">
      <formula>IF(ISBLANK($D16), FALSE, IF(RedGreen_Formatting = "Enabled", $D16 &lt;= $E16 + Percent_Error, FALSE))</formula>
    </cfRule>
    <cfRule type="expression" dxfId="14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80</v>
      </c>
      <c r="AB1" s="87"/>
    </row>
    <row r="2" spans="2:49" ht="14" customHeight="1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ht="14" customHeight="1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88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87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114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115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91</v>
      </c>
      <c r="AH13" s="64" t="s">
        <v>92</v>
      </c>
      <c r="AI13" s="64" t="s">
        <v>100</v>
      </c>
      <c r="AJ13" s="64" t="s">
        <v>101</v>
      </c>
      <c r="AK13" s="64" t="s">
        <v>102</v>
      </c>
      <c r="AL13" s="64" t="s">
        <v>103</v>
      </c>
      <c r="AM13" s="64" t="s">
        <v>104</v>
      </c>
      <c r="AN13" s="64" t="s">
        <v>105</v>
      </c>
      <c r="AO13" s="64" t="s">
        <v>106</v>
      </c>
      <c r="AP13" s="64" t="s">
        <v>107</v>
      </c>
      <c r="AQ13" s="64" t="s">
        <v>108</v>
      </c>
      <c r="AR13" s="64" t="s">
        <v>109</v>
      </c>
      <c r="AS13" s="64" t="s">
        <v>110</v>
      </c>
      <c r="AT13" s="64" t="s">
        <v>111</v>
      </c>
      <c r="AU13" s="64" t="s">
        <v>112</v>
      </c>
      <c r="AV13" s="64" t="s">
        <v>113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137</v>
      </c>
      <c r="T14" s="44" t="s">
        <v>90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138</v>
      </c>
      <c r="T15" s="44" t="s">
        <v>93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139</v>
      </c>
      <c r="T16" s="44" t="s">
        <v>94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140</v>
      </c>
      <c r="T17" s="66" t="s">
        <v>95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144</v>
      </c>
      <c r="T18" s="66" t="s">
        <v>96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143</v>
      </c>
      <c r="T19" s="66" t="s">
        <v>97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142</v>
      </c>
      <c r="T20" s="66" t="s">
        <v>98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141</v>
      </c>
      <c r="T21" s="66" t="s">
        <v>99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S9" sqref="S9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80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88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87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114</v>
      </c>
      <c r="U9" s="92" t="s">
        <v>116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115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91</v>
      </c>
      <c r="AH13" s="64" t="s">
        <v>92</v>
      </c>
      <c r="AI13" s="64" t="s">
        <v>100</v>
      </c>
      <c r="AJ13" s="64" t="s">
        <v>101</v>
      </c>
      <c r="AK13" s="64" t="s">
        <v>102</v>
      </c>
      <c r="AL13" s="64" t="s">
        <v>103</v>
      </c>
      <c r="AM13" s="64" t="s">
        <v>104</v>
      </c>
      <c r="AN13" s="64" t="s">
        <v>105</v>
      </c>
      <c r="AO13" s="64" t="s">
        <v>106</v>
      </c>
      <c r="AP13" s="64" t="s">
        <v>107</v>
      </c>
      <c r="AQ13" s="64" t="s">
        <v>108</v>
      </c>
      <c r="AR13" s="64" t="s">
        <v>109</v>
      </c>
      <c r="AS13" s="64" t="s">
        <v>110</v>
      </c>
      <c r="AT13" s="64" t="s">
        <v>111</v>
      </c>
      <c r="AU13" s="64" t="s">
        <v>112</v>
      </c>
      <c r="AV13" s="64" t="s">
        <v>113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137</v>
      </c>
      <c r="T14" s="44" t="s">
        <v>90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138</v>
      </c>
      <c r="T15" s="44" t="s">
        <v>93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139</v>
      </c>
      <c r="T16" s="44" t="s">
        <v>94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140</v>
      </c>
      <c r="T17" s="66" t="s">
        <v>95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144</v>
      </c>
      <c r="T18" s="66" t="s">
        <v>96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143</v>
      </c>
      <c r="T19" s="66" t="s">
        <v>97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142</v>
      </c>
      <c r="T20" s="66" t="s">
        <v>98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141</v>
      </c>
      <c r="T21" s="66" t="s">
        <v>99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2020-07-14T21:35:40Z</cp:lastPrinted>
  <dcterms:created xsi:type="dcterms:W3CDTF">2019-04-09T17:53:55Z</dcterms:created>
  <dcterms:modified xsi:type="dcterms:W3CDTF">2020-07-14T23:50:32Z</dcterms:modified>
</cp:coreProperties>
</file>