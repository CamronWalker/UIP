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E3DA8E8-9238-4ED7-BD45-FA30960863B4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15" i="3" l="1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S5" i="3"/>
  <c r="S4" i="3"/>
  <c r="AF14" i="3" l="1"/>
  <c r="AA14" i="3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J11" i="3"/>
  <c r="J10" i="3"/>
  <c r="J9" i="3"/>
  <c r="J8" i="3"/>
  <c r="J7" i="3"/>
  <c r="J6" i="3"/>
  <c r="AE14" i="3" l="1"/>
  <c r="N6" i="3" l="1"/>
  <c r="S7" i="3" l="1"/>
  <c r="L14" i="3" s="1"/>
  <c r="S3" i="3"/>
  <c r="B2" i="3" s="1"/>
  <c r="S2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C7" i="3" l="1"/>
  <c r="C6" i="3"/>
  <c r="C5" i="3"/>
  <c r="C4" i="3"/>
  <c r="N12" i="3"/>
  <c r="O11" i="3"/>
  <c r="O8" i="3"/>
  <c r="N8" i="3"/>
  <c r="O7" i="3"/>
  <c r="N7" i="3"/>
  <c r="N5" i="3" s="1"/>
  <c r="O6" i="3"/>
  <c r="O10" i="3"/>
  <c r="O9" i="3"/>
  <c r="N11" i="3"/>
  <c r="N10" i="3"/>
  <c r="N9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<sst xmlns="http://schemas.openxmlformats.org/spreadsheetml/2006/main" count="102" uniqueCount="100">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</sst>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63DAD0F-63FF-4770-B79E-93BE9520F2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87CA05-D773-4D6F-AAD7-7596E8412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134222-7CB4-4F08-BFCF-2F7B7DD58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1FCB37-2C84-431C-ADA4-F65E48BB0D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F07CFE-5D7A-4544-966A-223B5E6D2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860D35-B467-41A0-A4C2-5F5DACB30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A4253E-38A3-4EA0-9624-9A2E9EA44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9176D7-10FD-4A9B-AD96-D2C8CFBF95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A797A9-3BD4-4643-9C85-D85094660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4B25FD-0EA1-4813-A0BE-71031EF6FC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8A719B-AF4D-45DD-BEEB-141B80914A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FA1B7B-6A6F-4561-BBB9-7E99E32BE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D90E02-0C4D-43B3-B931-0249DD6611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336C33-4175-4877-8F31-D9D4D55EAD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35E91C-835D-462F-91AD-1771C4B7CC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CFD250-DAF1-44D1-8716-B9B04AD19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5DCD31-5337-416D-B052-2D33938DAC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596C6A-A20E-4843-A571-D10BE2F151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1F8268-3678-48D6-8DF6-1E3D003F3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CBE506-0E44-4325-8D6D-077BC06A4B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4F82E5-F543-483F-8F50-D6B197801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E673D9-ADA3-49A2-AF36-7514C75954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F425B0-7C43-4A6C-81B0-0416666223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A23D34-80D5-47EA-B44A-4AABF8516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0B87DA6-8C34-4AD6-B84A-10D68409F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830E833-C21A-4B11-BD0C-1F6067F44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4C6ADB-7D51-4728-8636-547EFF749E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007A58-5B83-448B-9E8F-51003E47E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08531A-F730-4B95-9046-C0265248F7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60B8F4-A7FA-496A-AA4A-02C22F5396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150</c:v>
                </c:pt>
                <c:pt idx="21">
                  <c:v>150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</c:v>
                  </c:pt>
                  <c:pt idx="19">
                    <c:v>A2</c:v>
                  </c:pt>
                  <c:pt idx="20">
                    <c:v>A2, A3</c:v>
                  </c:pt>
                  <c:pt idx="21">
                    <c:v>A2, 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55</c:v>
                </c:pt>
                <c:pt idx="28">
                  <c:v>55</c:v>
                </c:pt>
                <c:pt idx="29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75</c:v>
                </c:pt>
                <c:pt idx="1">
                  <c:v>150</c:v>
                </c:pt>
                <c:pt idx="2">
                  <c:v>225</c:v>
                </c:pt>
                <c:pt idx="3">
                  <c:v>300</c:v>
                </c:pt>
                <c:pt idx="4">
                  <c:v>375</c:v>
                </c:pt>
                <c:pt idx="5">
                  <c:v>450</c:v>
                </c:pt>
                <c:pt idx="6">
                  <c:v>525</c:v>
                </c:pt>
                <c:pt idx="7">
                  <c:v>600</c:v>
                </c:pt>
                <c:pt idx="8">
                  <c:v>675</c:v>
                </c:pt>
                <c:pt idx="9">
                  <c:v>825</c:v>
                </c:pt>
                <c:pt idx="10">
                  <c:v>975</c:v>
                </c:pt>
                <c:pt idx="11">
                  <c:v>1125</c:v>
                </c:pt>
                <c:pt idx="12">
                  <c:v>1200</c:v>
                </c:pt>
                <c:pt idx="13">
                  <c:v>1275</c:v>
                </c:pt>
                <c:pt idx="14">
                  <c:v>1350</c:v>
                </c:pt>
                <c:pt idx="15">
                  <c:v>1425</c:v>
                </c:pt>
                <c:pt idx="16">
                  <c:v>1500</c:v>
                </c:pt>
                <c:pt idx="17">
                  <c:v>1575</c:v>
                </c:pt>
                <c:pt idx="18">
                  <c:v>1650</c:v>
                </c:pt>
                <c:pt idx="19">
                  <c:v>1725</c:v>
                </c:pt>
                <c:pt idx="20">
                  <c:v>1875</c:v>
                </c:pt>
                <c:pt idx="21">
                  <c:v>2025</c:v>
                </c:pt>
                <c:pt idx="22">
                  <c:v>2100</c:v>
                </c:pt>
                <c:pt idx="23">
                  <c:v>2175</c:v>
                </c:pt>
                <c:pt idx="24">
                  <c:v>2250</c:v>
                </c:pt>
                <c:pt idx="25">
                  <c:v>2325</c:v>
                </c:pt>
                <c:pt idx="26">
                  <c:v>2400</c:v>
                </c:pt>
                <c:pt idx="27">
                  <c:v>2475</c:v>
                </c:pt>
                <c:pt idx="28">
                  <c:v>2550</c:v>
                </c:pt>
                <c:pt idx="29">
                  <c:v>2625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1925</c:v>
                </c:pt>
                <c:pt idx="28">
                  <c:v>1980</c:v>
                </c:pt>
                <c:pt idx="29">
                  <c:v>2035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733426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5" dataDxfId="24">
  <autoFilter ref="R13:X16" xr:uid="{FF2C9E8B-1A62-479C-AF68-79B236C0B7BB}"/>
  <tableColumns count="7">
    <tableColumn id="1" xr3:uid="{727C6146-39EA-4E15-8783-53CAA87FAF36}" name="Zone ID" dataDxfId="23"/>
    <tableColumn id="2" xr3:uid="{2CA65110-6DD7-46D8-BFC2-5EB0C0E57567}" name="Description" dataDxfId="22"/>
    <tableColumn id="3" xr3:uid="{12D64F80-6A69-494F-BF8F-E326D34A185A}" name="Short Description" dataDxfId="21"/>
    <tableColumn id="4" xr3:uid="{71F3F5B2-8F6B-4985-B1FC-5A9D60095474}" name="Start Date" dataDxfId="20"/>
    <tableColumn id="5" xr3:uid="{57258378-8FED-4727-89AC-D938CB414B7B}" name="Finish Date" dataDxfId="19"/>
    <tableColumn id="6" xr3:uid="{ED4D3C9E-A6C7-420C-BE38-7AA6F80835A2}" name="Total" dataDxfId="18"/>
    <tableColumn id="7" xr3:uid="{AC25D65C-9FB4-4F8A-9A72-57F6F2EC5CEF}" name="Completed Tot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/>
  <tableColumns count="12">
    <tableColumn id="1" xr3:uid="{13F9A169-BFE8-4436-A535-BADFC0E7BD6C}" name="Date" dataDxfId="11">
      <calculatedColumnFormula>IF(AA13 = "Date", $S$4, AA13+7)</calculatedColumnFormula>
    </tableColumn>
    <tableColumn id="6" xr3:uid="{5740AC03-CF53-4345-8667-6AC0CA6843D0}" name="Primary Areas" dataDxfId="10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9">
      <calculatedColumnFormula>IF(AND(ISBLANK(#REF!),ISBLANK(#REF!),ISBLANK(#REF!)), "", #REF!+#REF!+#REF!)</calculatedColumnFormula>
    </tableColumn>
    <tableColumn id="4" xr3:uid="{EF1C6009-71E6-491B-B64F-04049D2D9103}" name="Accumulated Plan" dataDxfId="15">
      <calculatedColumnFormula>SUM($AC$14:AC14)</calculatedColumnFormula>
    </tableColumn>
    <tableColumn id="5" xr3:uid="{442DAB73-1233-4C61-8DE9-3B44CE2C5D69}" name="Accumulated Actual" dataDxfId="12">
      <calculatedColumnFormula>IF(AD14="",NA(),SUM($AD$14:AD14))</calculatedColumnFormula>
    </tableColumn>
    <tableColumn id="73" xr3:uid="{19DEAF04-CF4F-47B3-9F12-A3511B46CD86}" name="WP_A1" dataDxfId="8"/>
    <tableColumn id="74" xr3:uid="{40AF4BA6-7EF3-458A-A686-B17DC1058FDC}" name="WA_A1" dataDxfId="7"/>
    <tableColumn id="75" xr3:uid="{D6846A3D-51F0-435C-AB01-61ADF80CA836}" name="WP_A2" dataDxfId="6"/>
    <tableColumn id="76" xr3:uid="{D93EF851-63E2-4A34-8872-23E6A1DC739D}" name="WA_A2" dataDxfId="5"/>
    <tableColumn id="77" xr3:uid="{583E983D-2328-495F-AA39-29E65C484A57}" name="WP_A3" dataDxfId="4"/>
    <tableColumn id="78" xr3:uid="{9B5C21C0-6C9C-460B-A46F-58C73220D30A}" name="WA_A3" dataDxfId="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4">
  <autoFilter ref="H2:H5" xr:uid="{1041DC80-58D6-4308-9DE1-A4EC8AAD3C20}"/>
  <tableColumns count="1">
    <tableColumn id="1" xr3:uid="{0E6D3E77-7CB7-40A1-BCA6-DDC8164AAEB9}" name="Holidays" dataDxfId="1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U10" zoomScaleNormal="100" workbookViewId="0">
      <selection activeCell="S24" sqref="S24"/>
    </sheetView>
  </sheetViews>
  <sheetFormatPr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79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5" t="str">
        <f>_xlfn.CONCAT("PROGRESS REPORT ", TEXT(S3,"mm/dd/yyyy"))</f>
        <v>PROGRESS REPORT 05/20/2020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7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3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70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1" t="str">
        <f>Project_Name</f>
        <v>Westland Super Cool Project</v>
      </c>
      <c r="D4" s="71"/>
      <c r="E4" s="71"/>
      <c r="F4" s="71"/>
      <c r="G4" s="71"/>
      <c r="H4" s="71"/>
      <c r="I4" s="71"/>
      <c r="J4" s="72" t="s">
        <v>50</v>
      </c>
      <c r="K4" s="72"/>
      <c r="L4" s="72"/>
      <c r="M4" s="72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1" t="str">
        <f>Project_Number</f>
        <v>S000</v>
      </c>
      <c r="D5" s="71"/>
      <c r="E5" s="71"/>
      <c r="F5" s="71"/>
      <c r="G5" s="71"/>
      <c r="H5" s="71"/>
      <c r="I5" s="71"/>
      <c r="J5" s="64" t="s">
        <v>54</v>
      </c>
      <c r="K5" s="64"/>
      <c r="L5" s="64"/>
      <c r="M5" s="64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1" t="str">
        <f>Main!C12</f>
        <v>XYZ Corp</v>
      </c>
      <c r="D6" s="71"/>
      <c r="E6" s="71"/>
      <c r="F6" s="71"/>
      <c r="G6" s="71"/>
      <c r="H6" s="71"/>
      <c r="I6" s="71"/>
      <c r="J6" s="64" t="str">
        <f>_xlfn.CONCAT("Overall Totals (", IF(ISBLANK($S$6),"",$S$6), ")")</f>
        <v>Overall Totals (SF)</v>
      </c>
      <c r="K6" s="64"/>
      <c r="L6" s="64"/>
      <c r="M6" s="64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1" t="str">
        <f>RIGHT(Main!B13, LEN(Main!B13) - 4)</f>
        <v>Foundation Walls</v>
      </c>
      <c r="D7" s="71"/>
      <c r="E7" s="71"/>
      <c r="F7" s="71"/>
      <c r="G7" s="71"/>
      <c r="H7" s="71"/>
      <c r="I7" s="71"/>
      <c r="J7" s="64" t="str">
        <f>_xlfn.CONCAT("Overall Completed Totals (", IF(ISBLANK($S$6),"",$S$6), ")")</f>
        <v>Overall Completed Totals (SF)</v>
      </c>
      <c r="K7" s="64"/>
      <c r="L7" s="64"/>
      <c r="M7" s="64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4" t="str">
        <f>_xlfn.CONCAT("This Week's Production (", IF(ISBLANK($S$6),"",$S$6), ")")</f>
        <v>This Week's Production (SF)</v>
      </c>
      <c r="K8" s="64"/>
      <c r="L8" s="64"/>
      <c r="M8" s="64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4" t="str">
        <f>_xlfn.CONCAT("Weekly Average (", IF(ISBLANK($S$6),"",$S$6), ")")</f>
        <v>Weekly Average (SF)</v>
      </c>
      <c r="K9" s="64"/>
      <c r="L9" s="64"/>
      <c r="M9" s="64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4" t="str">
        <f>_xlfn.CONCAT("Average Past 4 Weeks (", IF(ISBLANK($S$6),"",$S$6), ")")</f>
        <v>Average Past 4 Weeks (SF)</v>
      </c>
      <c r="K10" s="64"/>
      <c r="L10" s="64"/>
      <c r="M10" s="64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4" t="str">
        <f>_xlfn.CONCAT("On Schedule Average (", IF(ISBLANK($S$6),"",$S$6), ")")</f>
        <v>On Schedule Average (SF)</v>
      </c>
      <c r="K11" s="64"/>
      <c r="L11" s="64"/>
      <c r="M11" s="64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6" t="s">
        <v>57</v>
      </c>
      <c r="K12" s="56"/>
      <c r="L12" s="56"/>
      <c r="M12" s="56"/>
      <c r="N12" s="57" t="str">
        <f>$T$2</f>
        <v>Works Monday:</v>
      </c>
      <c r="O12" s="58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6" t="s">
        <v>58</v>
      </c>
      <c r="K13" s="56"/>
      <c r="L13" s="56"/>
      <c r="M13" s="56"/>
      <c r="N13" s="57" t="e">
        <f ca="1">$R$3+ROUNDUP(($R$7-$R$5)/($O$10/IF($T$4="NO", 5,6)),0)+(TRUNC(ROUNDUP(($R$7-$R$5)/($O$10/IF($T$4="NO", 5,6)),0)/7)*IF($T$4="NO",2,1))</f>
        <v>#VALUE!</v>
      </c>
      <c r="O13" s="59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78" t="s">
        <v>85</v>
      </c>
      <c r="AC13" t="s">
        <v>81</v>
      </c>
      <c r="AD13" t="s">
        <v>82</v>
      </c>
      <c r="AE13" t="s">
        <v>83</v>
      </c>
      <c r="AF13" t="s">
        <v>84</v>
      </c>
      <c r="AG13" s="77" t="s">
        <v>89</v>
      </c>
      <c r="AH13" s="77" t="s">
        <v>91</v>
      </c>
      <c r="AI13" s="77" t="s">
        <v>90</v>
      </c>
      <c r="AJ13" s="77" t="s">
        <v>92</v>
      </c>
      <c r="AK13" s="77" t="s">
        <v>93</v>
      </c>
      <c r="AL13" s="77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0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0"/>
      <c r="N14" s="60"/>
      <c r="O14" s="61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</v>
      </c>
      <c r="AA14" s="54">
        <f>IF(AA13 = "Date", $S$4, AA13+7)</f>
        <v>43907</v>
      </c>
      <c r="AB14" s="78" t="str">
        <f ca="1">PrimaryAreas(3)</f>
        <v>A1</v>
      </c>
      <c r="AC14">
        <f>Output_Template[[#This Row],[WP_A1]]+Output_Template[[#This Row],[WP_A2]]+Output_Template[[#This Row],[WP_A3]]</f>
        <v>75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>
        <f>SUM($AC$14:AC14)</f>
        <v>75</v>
      </c>
      <c r="AF14">
        <f>IF(AD14="",NA(),SUM($AD$14:AD14))</f>
        <v>55</v>
      </c>
      <c r="AG14" s="19">
        <v>75</v>
      </c>
      <c r="AH14" s="19">
        <v>55</v>
      </c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2"/>
      <c r="M15" s="62"/>
      <c r="N15" s="62"/>
      <c r="O15" s="63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</v>
      </c>
      <c r="AA15" s="54">
        <f t="shared" ref="AA15:AA25" si="0">IF(AA14 = "Date", $S$4, AA14+7)</f>
        <v>43914</v>
      </c>
      <c r="AB15" s="78" t="str">
        <f ca="1">PrimaryAreas(3)</f>
        <v>A1</v>
      </c>
      <c r="AC15">
        <f>Output_Template[[#This Row],[WP_A1]]+Output_Template[[#This Row],[WP_A2]]+Output_Template[[#This Row],[WP_A3]]</f>
        <v>75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>
        <f>SUM($AC$14:AC15)</f>
        <v>150</v>
      </c>
      <c r="AF15">
        <f>IF(AD15="",NA(),SUM($AD$14:AD15))</f>
        <v>110</v>
      </c>
      <c r="AG15" s="19">
        <v>75</v>
      </c>
      <c r="AH15" s="19">
        <v>55</v>
      </c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</v>
      </c>
      <c r="AA16" s="54">
        <f t="shared" si="0"/>
        <v>43921</v>
      </c>
      <c r="AB16" s="78" t="str">
        <f ca="1">PrimaryAreas(3)</f>
        <v>A1</v>
      </c>
      <c r="AC16">
        <f>Output_Template[[#This Row],[WP_A1]]+Output_Template[[#This Row],[WP_A2]]+Output_Template[[#This Row],[WP_A3]]</f>
        <v>75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>
        <f>SUM($AC$14:AC16)</f>
        <v>225</v>
      </c>
      <c r="AF16">
        <f>IF(AD16="",NA(),SUM($AD$14:AD16))</f>
        <v>165</v>
      </c>
      <c r="AG16" s="19">
        <v>75</v>
      </c>
      <c r="AH16" s="19">
        <v>55</v>
      </c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78" t="str">
        <f ca="1">PrimaryAreas(3)</f>
        <v>A1</v>
      </c>
      <c r="AC17">
        <f>Output_Template[[#This Row],[WP_A1]]+Output_Template[[#This Row],[WP_A2]]+Output_Template[[#This Row],[WP_A3]]</f>
        <v>75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>
        <f>SUM($AC$14:AC17)</f>
        <v>300</v>
      </c>
      <c r="AF17">
        <f>IF(AD17="",NA(),SUM($AD$14:AD17))</f>
        <v>220</v>
      </c>
      <c r="AG17" s="19">
        <v>75</v>
      </c>
      <c r="AH17" s="19">
        <v>55</v>
      </c>
      <c r="AI17" s="19"/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78" t="str">
        <f ca="1">PrimaryAreas(3)</f>
        <v>A1</v>
      </c>
      <c r="AC18">
        <f>Output_Template[[#This Row],[WP_A1]]+Output_Template[[#This Row],[WP_A2]]+Output_Template[[#This Row],[WP_A3]]</f>
        <v>75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>
        <f>SUM($AC$14:AC18)</f>
        <v>375</v>
      </c>
      <c r="AF18">
        <f>IF(AD18="",NA(),SUM($AD$14:AD18))</f>
        <v>275</v>
      </c>
      <c r="AG18" s="19">
        <v>75</v>
      </c>
      <c r="AH18" s="19">
        <v>55</v>
      </c>
      <c r="AI18" s="19"/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78" t="str">
        <f ca="1">PrimaryAreas(3)</f>
        <v>A1</v>
      </c>
      <c r="AC19">
        <f>Output_Template[[#This Row],[WP_A1]]+Output_Template[[#This Row],[WP_A2]]+Output_Template[[#This Row],[WP_A3]]</f>
        <v>75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>
        <f>SUM($AC$14:AC19)</f>
        <v>450</v>
      </c>
      <c r="AF19">
        <f>IF(AD19="",NA(),SUM($AD$14:AD19))</f>
        <v>330</v>
      </c>
      <c r="AG19" s="19">
        <v>75</v>
      </c>
      <c r="AH19" s="19">
        <v>55</v>
      </c>
      <c r="AI19" s="19"/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78" t="str">
        <f ca="1">PrimaryAreas(3)</f>
        <v>A1</v>
      </c>
      <c r="AC20">
        <f>Output_Template[[#This Row],[WP_A1]]+Output_Template[[#This Row],[WP_A2]]+Output_Template[[#This Row],[WP_A3]]</f>
        <v>75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>
        <f>SUM($AC$14:AC20)</f>
        <v>525</v>
      </c>
      <c r="AF20">
        <f>IF(AD20="",NA(),SUM($AD$14:AD20))</f>
        <v>385</v>
      </c>
      <c r="AG20" s="19">
        <v>75</v>
      </c>
      <c r="AH20" s="19">
        <v>55</v>
      </c>
      <c r="AI20" s="19"/>
      <c r="AJ20" s="19"/>
      <c r="AK20" s="19"/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78" t="str">
        <f ca="1">PrimaryAreas(3)</f>
        <v>A1</v>
      </c>
      <c r="AC21">
        <f>Output_Template[[#This Row],[WP_A1]]+Output_Template[[#This Row],[WP_A2]]+Output_Template[[#This Row],[WP_A3]]</f>
        <v>75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>
        <f>SUM($AC$14:AC21)</f>
        <v>600</v>
      </c>
      <c r="AF21">
        <f>IF(AD21="",NA(),SUM($AD$14:AD21))</f>
        <v>440</v>
      </c>
      <c r="AG21" s="19">
        <v>75</v>
      </c>
      <c r="AH21" s="19">
        <v>55</v>
      </c>
      <c r="AI21" s="19"/>
      <c r="AJ21" s="19"/>
      <c r="AK21" s="19"/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78" t="str">
        <f ca="1">PrimaryAreas(3)</f>
        <v>A1</v>
      </c>
      <c r="AC22">
        <f>Output_Template[[#This Row],[WP_A1]]+Output_Template[[#This Row],[WP_A2]]+Output_Template[[#This Row],[WP_A3]]</f>
        <v>75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>
        <f>SUM($AC$14:AC22)</f>
        <v>675</v>
      </c>
      <c r="AF22">
        <f>IF(AD22="",NA(),SUM($AD$14:AD22))</f>
        <v>495</v>
      </c>
      <c r="AG22" s="19">
        <v>75</v>
      </c>
      <c r="AH22" s="19">
        <v>55</v>
      </c>
      <c r="AI22" s="19"/>
      <c r="AJ22" s="19"/>
      <c r="AK22" s="19"/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78" t="str">
        <f ca="1">PrimaryAreas(3)</f>
        <v>A1, A2</v>
      </c>
      <c r="AC23">
        <f>Output_Template[[#This Row],[WP_A1]]+Output_Template[[#This Row],[WP_A2]]+Output_Template[[#This Row],[WP_A3]]</f>
        <v>150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>
        <f>SUM($AC$14:AC23)</f>
        <v>825</v>
      </c>
      <c r="AF23">
        <f>IF(AD23="",NA(),SUM($AD$14:AD23))</f>
        <v>605</v>
      </c>
      <c r="AG23" s="19">
        <v>75</v>
      </c>
      <c r="AH23" s="19">
        <v>55</v>
      </c>
      <c r="AI23" s="19">
        <v>75</v>
      </c>
      <c r="AJ23" s="19">
        <v>55</v>
      </c>
      <c r="AK23" s="19"/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78" t="str">
        <f ca="1">PrimaryAreas(3)</f>
        <v>A1, A2</v>
      </c>
      <c r="AC24">
        <f>Output_Template[[#This Row],[WP_A1]]+Output_Template[[#This Row],[WP_A2]]+Output_Template[[#This Row],[WP_A3]]</f>
        <v>150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>
        <f>SUM($AC$14:AC24)</f>
        <v>975</v>
      </c>
      <c r="AF24">
        <f>IF(AD24="",NA(),SUM($AD$14:AD24))</f>
        <v>715</v>
      </c>
      <c r="AG24" s="19">
        <v>75</v>
      </c>
      <c r="AH24" s="19">
        <v>55</v>
      </c>
      <c r="AI24" s="19">
        <v>75</v>
      </c>
      <c r="AJ24" s="19">
        <v>55</v>
      </c>
      <c r="AK24" s="19"/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43984</v>
      </c>
      <c r="AB25" s="78" t="str">
        <f ca="1">PrimaryAreas(3)</f>
        <v>A1, A2</v>
      </c>
      <c r="AC25">
        <f>Output_Template[[#This Row],[WP_A1]]+Output_Template[[#This Row],[WP_A2]]+Output_Template[[#This Row],[WP_A3]]</f>
        <v>150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>
        <f>SUM($AC$14:AC25)</f>
        <v>1125</v>
      </c>
      <c r="AF25">
        <f>IF(AD25="",NA(),SUM($AD$14:AD25))</f>
        <v>825</v>
      </c>
      <c r="AG25" s="19">
        <v>75</v>
      </c>
      <c r="AH25" s="19">
        <v>55</v>
      </c>
      <c r="AI25" s="19">
        <v>75</v>
      </c>
      <c r="AJ25" s="19">
        <v>55</v>
      </c>
      <c r="AK25" s="19"/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>IF(AA25 = "Date", $S$4, AA25+7)</f>
        <v>43991</v>
      </c>
      <c r="AB26" s="78" t="str">
        <f ca="1">PrimaryAreas(3)</f>
        <v>A2</v>
      </c>
      <c r="AC26">
        <f>Output_Template[[#This Row],[WP_A1]]+Output_Template[[#This Row],[WP_A2]]+Output_Template[[#This Row],[WP_A3]]</f>
        <v>75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>
        <f>SUM($AC$14:AC26)</f>
        <v>1200</v>
      </c>
      <c r="AF26">
        <f>IF(AD26="",NA(),SUM($AD$14:AD26))</f>
        <v>935</v>
      </c>
      <c r="AG26" s="19"/>
      <c r="AH26" s="19">
        <v>55</v>
      </c>
      <c r="AI26" s="19">
        <v>75</v>
      </c>
      <c r="AJ26" s="19">
        <v>55</v>
      </c>
      <c r="AK26" s="19"/>
      <c r="AL26" s="1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78" t="str">
        <f ca="1">PrimaryAreas(3)</f>
        <v>A2</v>
      </c>
      <c r="AC27">
        <f>Output_Template[[#This Row],[WP_A1]]+Output_Template[[#This Row],[WP_A2]]+Output_Template[[#This Row],[WP_A3]]</f>
        <v>75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>
        <f>SUM($AC$14:AC27)</f>
        <v>1275</v>
      </c>
      <c r="AF27">
        <f>IF(AD27="",NA(),SUM($AD$14:AD27))</f>
        <v>1045</v>
      </c>
      <c r="AG27" s="19"/>
      <c r="AH27" s="19">
        <v>55</v>
      </c>
      <c r="AI27" s="19">
        <v>75</v>
      </c>
      <c r="AJ27" s="19">
        <v>55</v>
      </c>
      <c r="AK27" s="19"/>
      <c r="AL27" s="1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78" t="str">
        <f ca="1">PrimaryAreas(3)</f>
        <v>A2</v>
      </c>
      <c r="AC28">
        <f>Output_Template[[#This Row],[WP_A1]]+Output_Template[[#This Row],[WP_A2]]+Output_Template[[#This Row],[WP_A3]]</f>
        <v>75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>
        <f>SUM($AC$14:AC28)</f>
        <v>1350</v>
      </c>
      <c r="AF28">
        <f>IF(AD28="",NA(),SUM($AD$14:AD28))</f>
        <v>1100</v>
      </c>
      <c r="AG28" s="19"/>
      <c r="AH28" s="19"/>
      <c r="AI28" s="19">
        <v>75</v>
      </c>
      <c r="AJ28" s="19">
        <v>55</v>
      </c>
      <c r="AK28" s="19"/>
      <c r="AL28" s="1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78" t="str">
        <f ca="1">PrimaryAreas(3)</f>
        <v>A2</v>
      </c>
      <c r="AC29">
        <f>Output_Template[[#This Row],[WP_A1]]+Output_Template[[#This Row],[WP_A2]]+Output_Template[[#This Row],[WP_A3]]</f>
        <v>75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>
        <f>SUM($AC$14:AC29)</f>
        <v>1425</v>
      </c>
      <c r="AF29">
        <f>IF(AD29="",NA(),SUM($AD$14:AD29))</f>
        <v>1155</v>
      </c>
      <c r="AG29" s="19"/>
      <c r="AH29" s="19"/>
      <c r="AI29" s="19">
        <v>75</v>
      </c>
      <c r="AJ29" s="19">
        <v>55</v>
      </c>
      <c r="AK29" s="19"/>
      <c r="AL29" s="1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78" t="str">
        <f ca="1">PrimaryAreas(3)</f>
        <v>A2</v>
      </c>
      <c r="AC30">
        <f>Output_Template[[#This Row],[WP_A1]]+Output_Template[[#This Row],[WP_A2]]+Output_Template[[#This Row],[WP_A3]]</f>
        <v>75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>
        <f>SUM($AC$14:AC30)</f>
        <v>1500</v>
      </c>
      <c r="AF30">
        <f>IF(AD30="",NA(),SUM($AD$14:AD30))</f>
        <v>1210</v>
      </c>
      <c r="AG30" s="19"/>
      <c r="AH30" s="19"/>
      <c r="AI30" s="19">
        <v>75</v>
      </c>
      <c r="AJ30" s="19">
        <v>55</v>
      </c>
      <c r="AK30" s="19"/>
      <c r="AL30" s="1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78" t="str">
        <f ca="1">PrimaryAreas(3)</f>
        <v>A2</v>
      </c>
      <c r="AC31">
        <f>Output_Template[[#This Row],[WP_A1]]+Output_Template[[#This Row],[WP_A2]]+Output_Template[[#This Row],[WP_A3]]</f>
        <v>75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>
        <f>SUM($AC$14:AC31)</f>
        <v>1575</v>
      </c>
      <c r="AF31">
        <f>IF(AD31="",NA(),SUM($AD$14:AD31))</f>
        <v>1265</v>
      </c>
      <c r="AG31" s="19"/>
      <c r="AH31" s="19"/>
      <c r="AI31" s="19">
        <v>75</v>
      </c>
      <c r="AJ31" s="19">
        <v>55</v>
      </c>
      <c r="AK31" s="19"/>
      <c r="AL31" s="1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78" t="str">
        <f ca="1">PrimaryAreas(3)</f>
        <v>A2</v>
      </c>
      <c r="AC32">
        <f>Output_Template[[#This Row],[WP_A1]]+Output_Template[[#This Row],[WP_A2]]+Output_Template[[#This Row],[WP_A3]]</f>
        <v>75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>
        <f>SUM($AC$14:AC32)</f>
        <v>1650</v>
      </c>
      <c r="AF32">
        <f>IF(AD32="",NA(),SUM($AD$14:AD32))</f>
        <v>1320</v>
      </c>
      <c r="AG32" s="19"/>
      <c r="AH32" s="19"/>
      <c r="AI32" s="19">
        <v>75</v>
      </c>
      <c r="AJ32" s="19">
        <v>55</v>
      </c>
      <c r="AK32" s="19"/>
      <c r="AL32" s="1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78" t="str">
        <f ca="1">PrimaryAreas(3)</f>
        <v>A2</v>
      </c>
      <c r="AC33">
        <f>Output_Template[[#This Row],[WP_A1]]+Output_Template[[#This Row],[WP_A2]]+Output_Template[[#This Row],[WP_A3]]</f>
        <v>75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>
        <f>SUM($AC$14:AC33)</f>
        <v>1725</v>
      </c>
      <c r="AF33">
        <f>IF(AD33="",NA(),SUM($AD$14:AD33))</f>
        <v>1375</v>
      </c>
      <c r="AG33" s="19"/>
      <c r="AH33" s="19"/>
      <c r="AI33" s="19">
        <v>75</v>
      </c>
      <c r="AJ33" s="19">
        <v>55</v>
      </c>
      <c r="AK33" s="19"/>
      <c r="AL33" s="1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78" t="str">
        <f ca="1">PrimaryAreas(3)</f>
        <v>A2, A3</v>
      </c>
      <c r="AC34">
        <f>Output_Template[[#This Row],[WP_A1]]+Output_Template[[#This Row],[WP_A2]]+Output_Template[[#This Row],[WP_A3]]</f>
        <v>150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>
        <f>SUM($AC$14:AC34)</f>
        <v>1875</v>
      </c>
      <c r="AF34">
        <f>IF(AD34="",NA(),SUM($AD$14:AD34))</f>
        <v>1485</v>
      </c>
      <c r="AG34" s="19"/>
      <c r="AH34" s="19"/>
      <c r="AI34" s="19">
        <v>75</v>
      </c>
      <c r="AJ34" s="19">
        <v>55</v>
      </c>
      <c r="AK34" s="19">
        <v>75</v>
      </c>
      <c r="AL34" s="19">
        <v>55</v>
      </c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78" t="str">
        <f ca="1">PrimaryAreas(3)</f>
        <v>A2, A3</v>
      </c>
      <c r="AC35">
        <f>Output_Template[[#This Row],[WP_A1]]+Output_Template[[#This Row],[WP_A2]]+Output_Template[[#This Row],[WP_A3]]</f>
        <v>150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>
        <f>SUM($AC$14:AC35)</f>
        <v>2025</v>
      </c>
      <c r="AF35">
        <f>IF(AD35="",NA(),SUM($AD$14:AD35))</f>
        <v>1595</v>
      </c>
      <c r="AG35" s="19"/>
      <c r="AH35" s="19"/>
      <c r="AI35" s="19">
        <v>75</v>
      </c>
      <c r="AJ35" s="19">
        <v>55</v>
      </c>
      <c r="AK35" s="19">
        <v>75</v>
      </c>
      <c r="AL35" s="19">
        <v>55</v>
      </c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78" t="str">
        <f ca="1">PrimaryAreas(3)</f>
        <v>A3</v>
      </c>
      <c r="AC36">
        <f>Output_Template[[#This Row],[WP_A1]]+Output_Template[[#This Row],[WP_A2]]+Output_Template[[#This Row],[WP_A3]]</f>
        <v>75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>
        <f>SUM($AC$14:AC36)</f>
        <v>2100</v>
      </c>
      <c r="AF36">
        <f>IF(AD36="",NA(),SUM($AD$14:AD36))</f>
        <v>1650</v>
      </c>
      <c r="AG36" s="19"/>
      <c r="AH36" s="19"/>
      <c r="AI36" s="19"/>
      <c r="AJ36" s="19"/>
      <c r="AK36" s="19">
        <v>75</v>
      </c>
      <c r="AL36" s="19">
        <v>55</v>
      </c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78" t="str">
        <f ca="1">PrimaryAreas(3)</f>
        <v>A3</v>
      </c>
      <c r="AC37">
        <f>Output_Template[[#This Row],[WP_A1]]+Output_Template[[#This Row],[WP_A2]]+Output_Template[[#This Row],[WP_A3]]</f>
        <v>75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>
        <f>SUM($AC$14:AC37)</f>
        <v>2175</v>
      </c>
      <c r="AF37">
        <f>IF(AD37="",NA(),SUM($AD$14:AD37))</f>
        <v>1705</v>
      </c>
      <c r="AG37" s="19"/>
      <c r="AH37" s="19"/>
      <c r="AI37" s="19"/>
      <c r="AJ37" s="19"/>
      <c r="AK37" s="19">
        <v>75</v>
      </c>
      <c r="AL37" s="19">
        <v>55</v>
      </c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78" t="str">
        <f ca="1">PrimaryAreas(3)</f>
        <v>A3</v>
      </c>
      <c r="AC38">
        <f>Output_Template[[#This Row],[WP_A1]]+Output_Template[[#This Row],[WP_A2]]+Output_Template[[#This Row],[WP_A3]]</f>
        <v>75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>
        <f>SUM($AC$14:AC38)</f>
        <v>2250</v>
      </c>
      <c r="AF38">
        <f>IF(AD38="",NA(),SUM($AD$14:AD38))</f>
        <v>1760</v>
      </c>
      <c r="AG38" s="19"/>
      <c r="AH38" s="19"/>
      <c r="AI38" s="19"/>
      <c r="AJ38" s="19"/>
      <c r="AK38" s="19">
        <v>75</v>
      </c>
      <c r="AL38" s="19">
        <v>55</v>
      </c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78" t="str">
        <f ca="1">PrimaryAreas(3)</f>
        <v>A3</v>
      </c>
      <c r="AC39">
        <f>Output_Template[[#This Row],[WP_A1]]+Output_Template[[#This Row],[WP_A2]]+Output_Template[[#This Row],[WP_A3]]</f>
        <v>75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>
        <f>SUM($AC$14:AC39)</f>
        <v>2325</v>
      </c>
      <c r="AF39">
        <f>IF(AD39="",NA(),SUM($AD$14:AD39))</f>
        <v>1815</v>
      </c>
      <c r="AG39" s="19"/>
      <c r="AH39" s="19"/>
      <c r="AI39" s="19"/>
      <c r="AJ39" s="19"/>
      <c r="AK39" s="19">
        <v>75</v>
      </c>
      <c r="AL39" s="19">
        <v>55</v>
      </c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78" t="str">
        <f ca="1">PrimaryAreas(3)</f>
        <v>A3</v>
      </c>
      <c r="AC40">
        <f>Output_Template[[#This Row],[WP_A1]]+Output_Template[[#This Row],[WP_A2]]+Output_Template[[#This Row],[WP_A3]]</f>
        <v>75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>
        <f>SUM($AC$14:AC40)</f>
        <v>2400</v>
      </c>
      <c r="AF40">
        <f>IF(AD40="",NA(),SUM($AD$14:AD40))</f>
        <v>1870</v>
      </c>
      <c r="AG40" s="19"/>
      <c r="AH40" s="19"/>
      <c r="AI40" s="19"/>
      <c r="AJ40" s="19"/>
      <c r="AK40" s="19">
        <v>75</v>
      </c>
      <c r="AL40" s="19">
        <v>55</v>
      </c>
    </row>
    <row r="41" spans="2:38" ht="14.5" x14ac:dyDescent="0.35">
      <c r="AA41" s="54">
        <f>IF(AA40 = "Date", $S$4, AA40+7)</f>
        <v>44096</v>
      </c>
      <c r="AB41" s="78" t="str">
        <f ca="1">PrimaryAreas(3)</f>
        <v>A3</v>
      </c>
      <c r="AC41">
        <f>Output_Template[[#This Row],[WP_A1]]+Output_Template[[#This Row],[WP_A2]]+Output_Template[[#This Row],[WP_A3]]</f>
        <v>75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1">
        <f>SUM($AC$14:AC41)</f>
        <v>2475</v>
      </c>
      <c r="AF41">
        <f>IF(AD41="",NA(),SUM($AD$14:AD41))</f>
        <v>1925</v>
      </c>
      <c r="AG41" s="19"/>
      <c r="AH41" s="19"/>
      <c r="AI41" s="19"/>
      <c r="AJ41" s="19"/>
      <c r="AK41" s="19">
        <v>75</v>
      </c>
      <c r="AL41" s="19">
        <v>55</v>
      </c>
    </row>
    <row r="42" spans="2:38" ht="14.5" x14ac:dyDescent="0.35">
      <c r="AA42" s="54">
        <f>IF(AA41 = "Date", $S$4, AA41+7)</f>
        <v>44103</v>
      </c>
      <c r="AB42" s="78" t="str">
        <f ca="1">PrimaryAreas(3)</f>
        <v>A3</v>
      </c>
      <c r="AC42">
        <f>Output_Template[[#This Row],[WP_A1]]+Output_Template[[#This Row],[WP_A2]]+Output_Template[[#This Row],[WP_A3]]</f>
        <v>75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2">
        <f>SUM($AC$14:AC42)</f>
        <v>2550</v>
      </c>
      <c r="AF42">
        <f>IF(AD42="",NA(),SUM($AD$14:AD42))</f>
        <v>1980</v>
      </c>
      <c r="AG42" s="19"/>
      <c r="AH42" s="19"/>
      <c r="AI42" s="19"/>
      <c r="AJ42" s="19"/>
      <c r="AK42" s="19">
        <v>75</v>
      </c>
      <c r="AL42" s="19">
        <v>55</v>
      </c>
    </row>
    <row r="43" spans="2:38" ht="14.5" x14ac:dyDescent="0.35">
      <c r="AA43" s="54">
        <f>IF(AA42 = "Date", $S$4, AA42+7)</f>
        <v>44110</v>
      </c>
      <c r="AB43" s="78" t="str">
        <f ca="1">PrimaryAreas(3)</f>
        <v>A3</v>
      </c>
      <c r="AC43">
        <f>Output_Template[[#This Row],[WP_A1]]+Output_Template[[#This Row],[WP_A2]]+Output_Template[[#This Row],[WP_A3]]</f>
        <v>75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3">
        <f>SUM($AC$14:AC43)</f>
        <v>2625</v>
      </c>
      <c r="AF43">
        <f>IF(AD43="",NA(),SUM($AD$14:AD43))</f>
        <v>2035</v>
      </c>
      <c r="AG43" s="19"/>
      <c r="AH43" s="19"/>
      <c r="AI43" s="19"/>
      <c r="AJ43" s="19"/>
      <c r="AK43" s="19">
        <v>75</v>
      </c>
      <c r="AL43" s="19">
        <v>55</v>
      </c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7" sqref="C7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3" t="s">
        <v>5</v>
      </c>
      <c r="F1" s="73"/>
      <c r="H1" s="2" t="s">
        <v>9</v>
      </c>
      <c r="K1" s="5" t="s">
        <v>12</v>
      </c>
      <c r="L1" s="5" t="s">
        <v>17</v>
      </c>
    </row>
    <row r="2" spans="2:12" ht="15.5" x14ac:dyDescent="0.35">
      <c r="B2" s="74" t="s">
        <v>6</v>
      </c>
      <c r="C2" s="74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6" t="str">
        <f>"PROGRESS REPORT "&amp; TEXT(Report_Date, "mm/dd/yyy")</f>
        <v>PROGRESS REPORT 05/20/2020</v>
      </c>
      <c r="C2" s="76"/>
      <c r="D2" s="76"/>
      <c r="E2" s="76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5" t="s">
        <v>31</v>
      </c>
      <c r="C11" s="75"/>
      <c r="D11" s="75"/>
      <c r="E11" s="75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5" t="s">
        <v>32</v>
      </c>
      <c r="C15" s="75"/>
      <c r="D15" s="75"/>
      <c r="E15" s="75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5" t="s">
        <v>33</v>
      </c>
      <c r="C18" s="75"/>
      <c r="D18" s="75"/>
      <c r="E18" s="75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5" t="s">
        <v>34</v>
      </c>
      <c r="C21" s="75"/>
      <c r="D21" s="75"/>
      <c r="E21" s="75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5" t="s">
        <v>35</v>
      </c>
      <c r="C24" s="75"/>
      <c r="D24" s="75"/>
      <c r="E24" s="75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2020-05-20T00:37:24Z</cp:lastPrinted>
  <dcterms:created xsi:type="dcterms:W3CDTF">2019-04-09T17:53:55Z</dcterms:created>
  <dcterms:modified xsi:type="dcterms:W3CDTF">2020-05-20T00:46:02Z</dcterms:modified>
</cp:coreProperties>
</file>