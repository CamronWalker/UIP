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A7F01B39-8120-440E-BB06-9E1431DCDF48}" xr6:coauthVersionLast="44" xr6:coauthVersionMax="44" xr10:uidLastSave="{00000000-0000-0000-0000-000000000000}"/>
  <bookViews>
    <workbookView xWindow="-110" yWindow="-110" windowWidth="38620" windowHeight="21220" activeTab="7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Q41" i="10"/>
  <c r="AI25" i="10"/>
  <c r="AO36" i="10"/>
  <c r="AG20" i="10"/>
  <c r="AM31" i="10"/>
  <c r="AS42" i="10"/>
  <c r="AK26" i="10"/>
  <c r="AS17" i="10"/>
  <c r="AI33" i="10"/>
  <c r="AQ24" i="10"/>
  <c r="AG40" i="10"/>
  <c r="AO19" i="10"/>
  <c r="AG27" i="10"/>
  <c r="AS26" i="10"/>
  <c r="AU29" i="10"/>
  <c r="AK45" i="10"/>
  <c r="AS24" i="10"/>
  <c r="AI40" i="10"/>
  <c r="AQ19" i="10"/>
  <c r="AG35" i="10"/>
  <c r="AO38" i="10"/>
  <c r="AG22" i="10"/>
  <c r="AG18" i="10"/>
  <c r="AO16" i="10"/>
  <c r="AQ29" i="10"/>
  <c r="AG45" i="10"/>
  <c r="AO24" i="10"/>
  <c r="AU35" i="10"/>
  <c r="AM19" i="10"/>
  <c r="AS30" i="10"/>
  <c r="AK14" i="10"/>
  <c r="AQ37" i="10"/>
  <c r="AI21" i="10"/>
  <c r="AO44" i="10"/>
  <c r="AG28" i="10"/>
  <c r="AM39" i="10"/>
  <c r="AG15" i="10"/>
  <c r="AS14" i="10"/>
  <c r="AU17" i="10"/>
  <c r="AK33" i="10"/>
  <c r="AQ44" i="10"/>
  <c r="AI28" i="10"/>
  <c r="AO39" i="10"/>
  <c r="AG23" i="10"/>
  <c r="AO26" i="10"/>
  <c r="AK28" i="10"/>
  <c r="AS39" i="10"/>
  <c r="AG37" i="10"/>
  <c r="AQ17" i="10"/>
  <c r="AG33" i="10"/>
  <c r="AM44" i="10"/>
  <c r="AU23" i="10"/>
  <c r="AK39" i="10"/>
  <c r="AS18" i="10"/>
  <c r="AI34" i="10"/>
  <c r="AQ25" i="10"/>
  <c r="AG41" i="10"/>
  <c r="AO32" i="10"/>
  <c r="AG16" i="10"/>
  <c r="AM27" i="10"/>
  <c r="AQ22" i="10"/>
  <c r="AQ34" i="10"/>
  <c r="AS37" i="10"/>
  <c r="AK21" i="10"/>
  <c r="AQ32" i="10"/>
  <c r="AI16" i="10"/>
  <c r="AO27" i="10"/>
  <c r="AO14" i="10"/>
  <c r="AQ39" i="10"/>
  <c r="AG39" i="10"/>
  <c r="AU27" i="10"/>
  <c r="AO37" i="10"/>
  <c r="AG21" i="10"/>
  <c r="AM32" i="10"/>
  <c r="AS43" i="10"/>
  <c r="AK27" i="10"/>
  <c r="AQ38" i="10"/>
  <c r="AI22" i="10"/>
  <c r="AO45" i="10"/>
  <c r="AG29" i="10"/>
  <c r="AO20" i="10"/>
  <c r="AU43" i="10"/>
  <c r="AM15" i="10"/>
  <c r="AO18" i="10"/>
  <c r="AO42" i="10"/>
  <c r="AS25" i="10"/>
  <c r="AI41" i="10"/>
  <c r="AQ20" i="10"/>
  <c r="AG36" i="10"/>
  <c r="AO15" i="10"/>
  <c r="AM34" i="10"/>
  <c r="AU38" i="10"/>
  <c r="AM22" i="10"/>
  <c r="AS44" i="10"/>
  <c r="AM16" i="10"/>
  <c r="AQ21" i="10"/>
  <c r="AK30" i="10"/>
  <c r="AO25" i="10"/>
  <c r="AU36" i="10"/>
  <c r="AM20" i="10"/>
  <c r="AS31" i="10"/>
  <c r="AK15" i="10"/>
  <c r="AQ26" i="10"/>
  <c r="AG42" i="10"/>
  <c r="AO33" i="10"/>
  <c r="AG17" i="10"/>
  <c r="AM40" i="10"/>
  <c r="AU31" i="10"/>
  <c r="AK23" i="10"/>
  <c r="AM26" i="10"/>
  <c r="AO30" i="10"/>
  <c r="AQ45" i="10"/>
  <c r="AI29" i="10"/>
  <c r="AO40" i="10"/>
  <c r="AG24" i="10"/>
  <c r="AM35" i="10"/>
  <c r="AI23" i="10"/>
  <c r="AI18" i="10"/>
  <c r="AU14" i="10"/>
  <c r="AM45" i="10"/>
  <c r="AU24" i="10"/>
  <c r="AK40" i="10"/>
  <c r="AS19" i="10"/>
  <c r="AI35" i="10"/>
  <c r="AQ14" i="10"/>
  <c r="AG30" i="10"/>
  <c r="AO21" i="10"/>
  <c r="AU44" i="10"/>
  <c r="AM28" i="10"/>
  <c r="AU19" i="10"/>
  <c r="AI31" i="10"/>
  <c r="AI42" i="10"/>
  <c r="AM38" i="10"/>
  <c r="AQ33" i="10"/>
  <c r="AI17" i="10"/>
  <c r="AO28" i="10"/>
  <c r="AU39" i="10"/>
  <c r="AM23" i="10"/>
  <c r="AU26" i="10"/>
  <c r="AK42" i="10"/>
  <c r="AM33" i="10"/>
  <c r="AO34" i="10"/>
  <c r="AM41" i="10"/>
  <c r="AU32" i="10"/>
  <c r="AM14" i="10"/>
  <c r="AK43" i="10"/>
  <c r="AU37" i="10"/>
  <c r="AM21" i="10"/>
  <c r="AS32" i="10"/>
  <c r="AK16" i="10"/>
  <c r="AQ27" i="10"/>
  <c r="AG43" i="10"/>
  <c r="AO22" i="10"/>
  <c r="AU45" i="10"/>
  <c r="AM29" i="10"/>
  <c r="AU20" i="10"/>
  <c r="AK36" i="10"/>
  <c r="AS27" i="10"/>
  <c r="AK34" i="10"/>
  <c r="AG26" i="10"/>
  <c r="AK22" i="10"/>
  <c r="AO41" i="10"/>
  <c r="AG25" i="10"/>
  <c r="AM36" i="10"/>
  <c r="AU15" i="10"/>
  <c r="AK31" i="10"/>
  <c r="AS34" i="10"/>
  <c r="AK18" i="10"/>
  <c r="AG32" i="10"/>
  <c r="AI20" i="10"/>
  <c r="AU41" i="10"/>
  <c r="AQ31" i="10"/>
  <c r="AU25" i="10"/>
  <c r="AK41" i="10"/>
  <c r="AS20" i="10"/>
  <c r="AI36" i="10"/>
  <c r="AQ15" i="10"/>
  <c r="AG31" i="10"/>
  <c r="AM42" i="10"/>
  <c r="AU33" i="10"/>
  <c r="AM17" i="10"/>
  <c r="AS40" i="10"/>
  <c r="AK24" i="10"/>
  <c r="AS15" i="10"/>
  <c r="AQ35" i="10"/>
  <c r="AU42" i="10"/>
  <c r="AI30" i="10"/>
  <c r="AO29" i="10"/>
  <c r="AU40" i="10"/>
  <c r="AM24" i="10"/>
  <c r="AS35" i="10"/>
  <c r="AK19" i="10"/>
  <c r="AS22" i="10"/>
  <c r="AI38" i="10"/>
  <c r="AK44" i="10"/>
  <c r="AI39" i="10"/>
  <c r="AI26" i="10"/>
  <c r="AK38" i="10"/>
  <c r="AI45" i="10"/>
  <c r="AS38" i="10"/>
  <c r="AK20" i="10"/>
  <c r="AG34" i="10"/>
  <c r="AS45" i="10"/>
  <c r="AK29" i="10"/>
  <c r="AQ40" i="10"/>
  <c r="AI24" i="10"/>
  <c r="AB24" i="10" s="1"/>
  <c r="AO35" i="10"/>
  <c r="AG19" i="10"/>
  <c r="AM30" i="10"/>
  <c r="AU21" i="10"/>
  <c r="AK37" i="10"/>
  <c r="AS28" i="10"/>
  <c r="AI44" i="10"/>
  <c r="AQ23" i="10"/>
  <c r="AK35" i="10"/>
  <c r="AB35" i="10" s="1"/>
  <c r="AU30" i="10"/>
  <c r="AG38" i="10"/>
  <c r="AO17" i="10"/>
  <c r="AU28" i="10"/>
  <c r="AS23" i="10"/>
  <c r="AQ42" i="10"/>
  <c r="AM43" i="10"/>
  <c r="AO31" i="10"/>
  <c r="AM25" i="10"/>
  <c r="AI15" i="10"/>
  <c r="AS33" i="10"/>
  <c r="AK17" i="10"/>
  <c r="AQ28" i="10"/>
  <c r="AG44" i="10"/>
  <c r="AO23" i="10"/>
  <c r="AB23" i="10" s="1"/>
  <c r="AU34" i="10"/>
  <c r="AB34" i="10" s="1"/>
  <c r="AM18" i="10"/>
  <c r="AS41" i="10"/>
  <c r="AK25" i="10"/>
  <c r="AB25" i="10" s="1"/>
  <c r="AS16" i="10"/>
  <c r="AI32" i="10"/>
  <c r="AO43" i="10"/>
  <c r="AI43" i="10"/>
  <c r="AU18" i="10"/>
  <c r="AG14" i="10"/>
  <c r="AM37" i="10"/>
  <c r="AU16" i="10"/>
  <c r="AK32" i="10"/>
  <c r="AQ43" i="10"/>
  <c r="AI27" i="10"/>
  <c r="AQ30" i="10"/>
  <c r="AI14" i="10"/>
  <c r="AQ16" i="10"/>
  <c r="AU22" i="10"/>
  <c r="AB22" i="10" s="1"/>
  <c r="AS29" i="10"/>
  <c r="AQ36" i="10"/>
  <c r="AI19" i="10"/>
  <c r="AS36" i="10"/>
  <c r="AB36" i="10" s="1"/>
  <c r="AQ18" i="10"/>
  <c r="AS21" i="10"/>
  <c r="AI37" i="10"/>
  <c r="AB37" i="10" s="1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14" i="10"/>
  <c r="AB43" i="10"/>
  <c r="AB27" i="10"/>
  <c r="AB42" i="10"/>
  <c r="N10" i="10"/>
  <c r="AB32" i="10"/>
  <c r="AB17" i="10"/>
  <c r="N8" i="10"/>
  <c r="AB15" i="10"/>
  <c r="AB29" i="10"/>
  <c r="N6" i="10"/>
  <c r="O7" i="10"/>
  <c r="AB20" i="10"/>
  <c r="AB30" i="10"/>
  <c r="O8" i="10"/>
  <c r="N12" i="10"/>
  <c r="AB26" i="10"/>
  <c r="AB41" i="10"/>
  <c r="N9" i="10"/>
  <c r="O9" i="10"/>
  <c r="AB19" i="10"/>
  <c r="N11" i="10"/>
  <c r="AB39" i="10"/>
  <c r="AB16" i="10"/>
  <c r="AB44" i="10"/>
  <c r="AB21" i="10"/>
  <c r="AB33" i="10"/>
  <c r="AB38" i="10"/>
  <c r="AB28" i="10"/>
  <c r="AB18" i="10"/>
  <c r="AB40" i="10"/>
  <c r="O6" i="10"/>
  <c r="AB31" i="10"/>
  <c r="AB45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K14" i="4"/>
  <c r="AU14" i="4"/>
  <c r="AS14" i="4"/>
  <c r="AO14" i="4"/>
  <c r="AQ14" i="4"/>
  <c r="AM14" i="4"/>
  <c r="AI14" i="4"/>
  <c r="AG14" i="4"/>
  <c r="AC14" i="4" l="1"/>
  <c r="AE14" i="4" s="1"/>
  <c r="AA15" i="4"/>
  <c r="S4" i="3"/>
  <c r="AB14" i="4"/>
  <c r="N12" i="4"/>
  <c r="AU15" i="4"/>
  <c r="AI15" i="4"/>
  <c r="AK15" i="4"/>
  <c r="N6" i="4"/>
  <c r="AG15" i="4"/>
  <c r="AQ15" i="4"/>
  <c r="AO15" i="4"/>
  <c r="AS15" i="4"/>
  <c r="AM15" i="4"/>
  <c r="AC15" i="4" l="1"/>
  <c r="AA16" i="4"/>
  <c r="S5" i="3"/>
  <c r="AM16" i="4"/>
  <c r="AI16" i="4"/>
  <c r="AB15" i="4"/>
  <c r="AO16" i="4"/>
  <c r="AU16" i="4"/>
  <c r="AQ16" i="4"/>
  <c r="AG16" i="4"/>
  <c r="AK16" i="4"/>
  <c r="AS16" i="4"/>
  <c r="AC16" i="4" l="1"/>
  <c r="AE16" i="4" s="1"/>
  <c r="AE15" i="4"/>
  <c r="AA17" i="4"/>
  <c r="AA14" i="3"/>
  <c r="J11" i="3"/>
  <c r="J10" i="3"/>
  <c r="J9" i="3"/>
  <c r="J8" i="3"/>
  <c r="J7" i="3"/>
  <c r="J6" i="3"/>
  <c r="AG17" i="4"/>
  <c r="AO17" i="4"/>
  <c r="AU17" i="4"/>
  <c r="AM17" i="4"/>
  <c r="AQ17" i="4"/>
  <c r="AG14" i="3"/>
  <c r="AI14" i="3"/>
  <c r="AI17" i="4"/>
  <c r="AK17" i="4"/>
  <c r="AK14" i="3"/>
  <c r="AB16" i="4"/>
  <c r="AS17" i="4"/>
  <c r="AC17" i="4" l="1"/>
  <c r="AC14" i="3"/>
  <c r="AA18" i="4"/>
  <c r="AA15" i="3"/>
  <c r="S7" i="3"/>
  <c r="L14" i="3" s="1"/>
  <c r="S3" i="3"/>
  <c r="S2" i="3"/>
  <c r="AI18" i="4"/>
  <c r="AG15" i="3"/>
  <c r="AO18" i="4"/>
  <c r="AB17" i="4"/>
  <c r="AK18" i="4"/>
  <c r="AU18" i="4"/>
  <c r="AI15" i="3"/>
  <c r="AQ18" i="4"/>
  <c r="AG18" i="4"/>
  <c r="AS18" i="4"/>
  <c r="AM18" i="4"/>
  <c r="AK15" i="3"/>
  <c r="AB14" i="3"/>
  <c r="N12" i="3"/>
  <c r="AC18" i="4" l="1"/>
  <c r="AE17" i="4"/>
  <c r="AC15" i="3"/>
  <c r="AE15" i="3" s="1"/>
  <c r="AE14" i="3"/>
  <c r="AA16" i="3"/>
  <c r="AA19" i="4"/>
  <c r="B2" i="3"/>
  <c r="C5" i="3"/>
  <c r="C4" i="3"/>
  <c r="AI16" i="3"/>
  <c r="N6" i="3"/>
  <c r="AQ19" i="4"/>
  <c r="AM19" i="4"/>
  <c r="AK16" i="3"/>
  <c r="AG19" i="4"/>
  <c r="AK19" i="4"/>
  <c r="AO19" i="4"/>
  <c r="AS19" i="4"/>
  <c r="AU19" i="4"/>
  <c r="AB18" i="4"/>
  <c r="AB15" i="3"/>
  <c r="AI19" i="4"/>
  <c r="AG16" i="3"/>
  <c r="AC19" i="4" l="1"/>
  <c r="AE19" i="4" s="1"/>
  <c r="AE18" i="4"/>
  <c r="AC16" i="3"/>
  <c r="AA17" i="3"/>
  <c r="AA20" i="4"/>
  <c r="AB19" i="4"/>
  <c r="AG17" i="3"/>
  <c r="AS20" i="4"/>
  <c r="AI20" i="4"/>
  <c r="AQ20" i="4"/>
  <c r="AM20" i="4"/>
  <c r="AI17" i="3"/>
  <c r="AO20" i="4"/>
  <c r="AK20" i="4"/>
  <c r="AB16" i="3"/>
  <c r="AU20" i="4"/>
  <c r="AG20" i="4"/>
  <c r="AK17" i="3"/>
  <c r="AC20" i="4" l="1"/>
  <c r="AC17" i="3"/>
  <c r="AE16" i="3"/>
  <c r="AA18" i="3"/>
  <c r="AA21" i="4"/>
  <c r="B8" i="2"/>
  <c r="B7" i="2"/>
  <c r="B6" i="2"/>
  <c r="AG18" i="3"/>
  <c r="AI18" i="3"/>
  <c r="AK21" i="4"/>
  <c r="AK18" i="3"/>
  <c r="AB20" i="4"/>
  <c r="AO21" i="4"/>
  <c r="AU21" i="4"/>
  <c r="AM21" i="4"/>
  <c r="AG21" i="4"/>
  <c r="AS21" i="4"/>
  <c r="AQ21" i="4"/>
  <c r="AB17" i="3"/>
  <c r="AI21" i="4"/>
  <c r="AC21" i="4" l="1"/>
  <c r="AE21" i="4" s="1"/>
  <c r="AE20" i="4"/>
  <c r="AA22" i="4"/>
  <c r="AC18" i="3"/>
  <c r="AA19" i="3"/>
  <c r="AE17" i="3"/>
  <c r="B2" i="2"/>
  <c r="B4" i="2"/>
  <c r="AI19" i="3"/>
  <c r="AG19" i="3"/>
  <c r="AB18" i="3"/>
  <c r="AM22" i="4"/>
  <c r="AI22" i="4"/>
  <c r="AO22" i="4"/>
  <c r="AG22" i="4"/>
  <c r="AB21" i="4"/>
  <c r="AS22" i="4"/>
  <c r="AK22" i="4"/>
  <c r="AK19" i="3"/>
  <c r="AU22" i="4"/>
  <c r="AQ22" i="4"/>
  <c r="AC22" i="4" l="1"/>
  <c r="AE22" i="4" s="1"/>
  <c r="AA23" i="4"/>
  <c r="AC19" i="3"/>
  <c r="AE18" i="3"/>
  <c r="AA20" i="3"/>
  <c r="C6" i="1"/>
  <c r="AM23" i="4"/>
  <c r="AQ23" i="4"/>
  <c r="AO23" i="4"/>
  <c r="AU23" i="4"/>
  <c r="AI20" i="3"/>
  <c r="AG23" i="4"/>
  <c r="AK20" i="3"/>
  <c r="AB19" i="3"/>
  <c r="AK23" i="4"/>
  <c r="AS23" i="4"/>
  <c r="AB22" i="4"/>
  <c r="AG20" i="3"/>
  <c r="AI23" i="4"/>
  <c r="AC23" i="4" l="1"/>
  <c r="AE23" i="4" s="1"/>
  <c r="AA24" i="4"/>
  <c r="AC20" i="3"/>
  <c r="AE20" i="3" s="1"/>
  <c r="AA21" i="3"/>
  <c r="AE19" i="3"/>
  <c r="AI24" i="4"/>
  <c r="AB23" i="4"/>
  <c r="AG24" i="4"/>
  <c r="AB20" i="3"/>
  <c r="AO24" i="4"/>
  <c r="AI21" i="3"/>
  <c r="AS24" i="4"/>
  <c r="AM24" i="4"/>
  <c r="AQ24" i="4"/>
  <c r="AG21" i="3"/>
  <c r="AK24" i="4"/>
  <c r="AU24" i="4"/>
  <c r="AK21" i="3"/>
  <c r="AC24" i="4" l="1"/>
  <c r="AA25" i="4"/>
  <c r="AC21" i="3"/>
  <c r="AA22" i="3"/>
  <c r="AK22" i="3"/>
  <c r="AG25" i="4"/>
  <c r="AI22" i="3"/>
  <c r="AK25" i="4"/>
  <c r="AB21" i="3"/>
  <c r="AM25" i="4"/>
  <c r="AQ25" i="4"/>
  <c r="AS25" i="4"/>
  <c r="AI25" i="4"/>
  <c r="AO25" i="4"/>
  <c r="AB24" i="4"/>
  <c r="AU25" i="4"/>
  <c r="AG22" i="3"/>
  <c r="AC25" i="4" l="1"/>
  <c r="AE24" i="4"/>
  <c r="AA26" i="4"/>
  <c r="AC22" i="3"/>
  <c r="AE22" i="3" s="1"/>
  <c r="AA23" i="3"/>
  <c r="AE21" i="3"/>
  <c r="AK26" i="4"/>
  <c r="AS26" i="4"/>
  <c r="AO26" i="4"/>
  <c r="AU26" i="4"/>
  <c r="AQ26" i="4"/>
  <c r="AK23" i="3"/>
  <c r="AI26" i="4"/>
  <c r="AB22" i="3"/>
  <c r="AG23" i="3"/>
  <c r="AG26" i="4"/>
  <c r="AI23" i="3"/>
  <c r="AM26" i="4"/>
  <c r="AB25" i="4"/>
  <c r="AC26" i="4" l="1"/>
  <c r="AE25" i="4"/>
  <c r="AA27" i="4"/>
  <c r="AC23" i="3"/>
  <c r="AA24" i="3"/>
  <c r="AB23" i="3"/>
  <c r="AG24" i="3"/>
  <c r="AM27" i="4"/>
  <c r="AU27" i="4"/>
  <c r="AQ27" i="4"/>
  <c r="AO27" i="4"/>
  <c r="AK27" i="4"/>
  <c r="AK24" i="3"/>
  <c r="AB26" i="4"/>
  <c r="AS27" i="4"/>
  <c r="AI27" i="4"/>
  <c r="AG27" i="4"/>
  <c r="AI24" i="3"/>
  <c r="AC27" i="4" l="1"/>
  <c r="AE26" i="4"/>
  <c r="AA28" i="4"/>
  <c r="AC24" i="3"/>
  <c r="AE23" i="3"/>
  <c r="AA25" i="3"/>
  <c r="AB24" i="3"/>
  <c r="AM28" i="4"/>
  <c r="AG25" i="3"/>
  <c r="AI28" i="4"/>
  <c r="AO28" i="4"/>
  <c r="AS28" i="4"/>
  <c r="AU28" i="4"/>
  <c r="AG28" i="4"/>
  <c r="AI25" i="3"/>
  <c r="AK28" i="4"/>
  <c r="AQ28" i="4"/>
  <c r="AB27" i="4"/>
  <c r="AK25" i="3"/>
  <c r="AC28" i="4" l="1"/>
  <c r="AA29" i="4"/>
  <c r="AE27" i="4"/>
  <c r="AC25" i="3"/>
  <c r="AA26" i="3"/>
  <c r="AE24" i="3"/>
  <c r="AB28" i="4"/>
  <c r="AM29" i="4"/>
  <c r="AI29" i="4"/>
  <c r="AS29" i="4"/>
  <c r="AB25" i="3"/>
  <c r="AU29" i="4"/>
  <c r="AK26" i="3"/>
  <c r="AG29" i="4"/>
  <c r="AG26" i="3"/>
  <c r="AO29" i="4"/>
  <c r="AK29" i="4"/>
  <c r="AQ29" i="4"/>
  <c r="AI26" i="3"/>
  <c r="AC29" i="4" l="1"/>
  <c r="AE28" i="4"/>
  <c r="AA30" i="4"/>
  <c r="AC26" i="3"/>
  <c r="AA27" i="3"/>
  <c r="AE25" i="3"/>
  <c r="AQ30" i="4"/>
  <c r="AG30" i="4"/>
  <c r="AG27" i="3"/>
  <c r="AU30" i="4"/>
  <c r="AS30" i="4"/>
  <c r="AM30" i="4"/>
  <c r="AI27" i="3"/>
  <c r="AB26" i="3"/>
  <c r="AK27" i="3"/>
  <c r="AI30" i="4"/>
  <c r="AO30" i="4"/>
  <c r="AK30" i="4"/>
  <c r="AB29" i="4"/>
  <c r="AC30" i="4" l="1"/>
  <c r="AA31" i="4"/>
  <c r="AE29" i="4"/>
  <c r="AC27" i="3"/>
  <c r="AA28" i="3"/>
  <c r="AE26" i="3"/>
  <c r="AB27" i="3"/>
  <c r="AK31" i="4"/>
  <c r="AB30" i="4"/>
  <c r="AQ31" i="4"/>
  <c r="AS31" i="4"/>
  <c r="AK28" i="3"/>
  <c r="AU31" i="4"/>
  <c r="AI31" i="4"/>
  <c r="AG31" i="4"/>
  <c r="AG28" i="3"/>
  <c r="AO31" i="4"/>
  <c r="AM31" i="4"/>
  <c r="AI28" i="3"/>
  <c r="AC31" i="4" l="1"/>
  <c r="AA32" i="4"/>
  <c r="AE30" i="4"/>
  <c r="AC28" i="3"/>
  <c r="AA29" i="3"/>
  <c r="AE27" i="3"/>
  <c r="AK32" i="4"/>
  <c r="AK29" i="3"/>
  <c r="AG32" i="4"/>
  <c r="AU32" i="4"/>
  <c r="AB31" i="4"/>
  <c r="AG29" i="3"/>
  <c r="AQ32" i="4"/>
  <c r="AI29" i="3"/>
  <c r="AM32" i="4"/>
  <c r="AI32" i="4"/>
  <c r="AS32" i="4"/>
  <c r="AO32" i="4"/>
  <c r="AB28" i="3"/>
  <c r="AC32" i="4" l="1"/>
  <c r="AE31" i="4"/>
  <c r="AA33" i="4"/>
  <c r="AC29" i="3"/>
  <c r="AA30" i="3"/>
  <c r="AE28" i="3"/>
  <c r="AO33" i="4"/>
  <c r="AI33" i="4"/>
  <c r="AQ33" i="4"/>
  <c r="AB32" i="4"/>
  <c r="AG33" i="4"/>
  <c r="AB29" i="3"/>
  <c r="AK33" i="4"/>
  <c r="AM33" i="4"/>
  <c r="AK30" i="3"/>
  <c r="AG30" i="3"/>
  <c r="AU33" i="4"/>
  <c r="AS33" i="4"/>
  <c r="AI30" i="3"/>
  <c r="AC33" i="4" l="1"/>
  <c r="AE32" i="4"/>
  <c r="AA34" i="4"/>
  <c r="AC30" i="3"/>
  <c r="AA31" i="3"/>
  <c r="AE29" i="3"/>
  <c r="AB33" i="4"/>
  <c r="AS34" i="4"/>
  <c r="AG34" i="4"/>
  <c r="AU34" i="4"/>
  <c r="AK34" i="4"/>
  <c r="AI31" i="3"/>
  <c r="AO34" i="4"/>
  <c r="AK31" i="3"/>
  <c r="AQ34" i="4"/>
  <c r="AI34" i="4"/>
  <c r="AG31" i="3"/>
  <c r="AM34" i="4"/>
  <c r="AB30" i="3"/>
  <c r="AC34" i="4" l="1"/>
  <c r="AE33" i="4"/>
  <c r="AA35" i="4"/>
  <c r="AC31" i="3"/>
  <c r="AA32" i="3"/>
  <c r="AE30" i="3"/>
  <c r="AM35" i="4"/>
  <c r="AU35" i="4"/>
  <c r="AS35" i="4"/>
  <c r="AI35" i="4"/>
  <c r="AB31" i="3"/>
  <c r="AI32" i="3"/>
  <c r="AK32" i="3"/>
  <c r="AK35" i="4"/>
  <c r="AO35" i="4"/>
  <c r="AG32" i="3"/>
  <c r="AG35" i="4"/>
  <c r="AQ35" i="4"/>
  <c r="AB34" i="4"/>
  <c r="AC35" i="4" l="1"/>
  <c r="AA36" i="4"/>
  <c r="AE34" i="4"/>
  <c r="AC32" i="3"/>
  <c r="AA33" i="3"/>
  <c r="AE31" i="3"/>
  <c r="AB32" i="3"/>
  <c r="N10" i="4"/>
  <c r="AK36" i="4"/>
  <c r="AI36" i="4"/>
  <c r="AQ36" i="4"/>
  <c r="O10" i="4"/>
  <c r="AB35" i="4"/>
  <c r="O7" i="4"/>
  <c r="AU36" i="4"/>
  <c r="AG36" i="4"/>
  <c r="O9" i="4"/>
  <c r="AS36" i="4"/>
  <c r="AO36" i="4"/>
  <c r="N8" i="4"/>
  <c r="AG33" i="3"/>
  <c r="AM36" i="4"/>
  <c r="AI33" i="3"/>
  <c r="O8" i="4"/>
  <c r="AK33" i="3"/>
  <c r="N7" i="4"/>
  <c r="AC36" i="4" l="1"/>
  <c r="N5" i="4"/>
  <c r="AE35" i="4"/>
  <c r="AC33" i="3"/>
  <c r="AA34" i="3"/>
  <c r="AE32" i="3"/>
  <c r="AG34" i="3"/>
  <c r="N9" i="4"/>
  <c r="AI34" i="3"/>
  <c r="O6" i="4"/>
  <c r="AK34" i="3"/>
  <c r="AB36" i="4"/>
  <c r="AB33" i="3"/>
  <c r="O5" i="4" l="1"/>
  <c r="AE36" i="4"/>
  <c r="AC34" i="3"/>
  <c r="AA35" i="3"/>
  <c r="AE33" i="3"/>
  <c r="AB34" i="3"/>
  <c r="AG35" i="3"/>
  <c r="AK35" i="3"/>
  <c r="AI35" i="3"/>
  <c r="AC35" i="3" l="1"/>
  <c r="AA36" i="3"/>
  <c r="AE34" i="3"/>
  <c r="AG36" i="3"/>
  <c r="AB35" i="3"/>
  <c r="AK36" i="3"/>
  <c r="AI36" i="3"/>
  <c r="AC36" i="3" l="1"/>
  <c r="AA37" i="3"/>
  <c r="AE35" i="3"/>
  <c r="AI37" i="3"/>
  <c r="AB36" i="3"/>
  <c r="AG37" i="3"/>
  <c r="AK37" i="3"/>
  <c r="AC37" i="3" l="1"/>
  <c r="AA38" i="3"/>
  <c r="AE36" i="3"/>
  <c r="AB37" i="3"/>
  <c r="AK38" i="3"/>
  <c r="AI38" i="3"/>
  <c r="AG38" i="3"/>
  <c r="AC38" i="3" l="1"/>
  <c r="AA39" i="3"/>
  <c r="AE37" i="3"/>
  <c r="AI39" i="3"/>
  <c r="AB38" i="3"/>
  <c r="AG39" i="3"/>
  <c r="AK39" i="3"/>
  <c r="AC39" i="3" l="1"/>
  <c r="AA40" i="3"/>
  <c r="AE38" i="3"/>
  <c r="AB39" i="3"/>
  <c r="AG40" i="3"/>
  <c r="AK40" i="3"/>
  <c r="AI40" i="3"/>
  <c r="AC40" i="3" l="1"/>
  <c r="AA41" i="3"/>
  <c r="AE39" i="3"/>
  <c r="AG41" i="3"/>
  <c r="AI41" i="3"/>
  <c r="AB40" i="3"/>
  <c r="AK41" i="3"/>
  <c r="AC41" i="3" l="1"/>
  <c r="AA42" i="3"/>
  <c r="AE40" i="3"/>
  <c r="AK42" i="3"/>
  <c r="AI42" i="3"/>
  <c r="AB41" i="3"/>
  <c r="AG42" i="3"/>
  <c r="AC42" i="3" l="1"/>
  <c r="AA43" i="3"/>
  <c r="AE41" i="3"/>
  <c r="O7" i="3"/>
  <c r="O10" i="3"/>
  <c r="O8" i="3"/>
  <c r="N8" i="3"/>
  <c r="N10" i="3"/>
  <c r="AG43" i="3"/>
  <c r="AK43" i="3"/>
  <c r="N7" i="3"/>
  <c r="O9" i="3"/>
  <c r="AB42" i="3"/>
  <c r="AI43" i="3"/>
  <c r="N5" i="3" l="1"/>
  <c r="V2" i="3" s="1"/>
  <c r="AC43" i="3"/>
  <c r="AE42" i="3"/>
  <c r="AB43" i="3"/>
  <c r="O6" i="3"/>
  <c r="N11" i="3"/>
  <c r="N9" i="3"/>
  <c r="O5" i="3" l="1"/>
  <c r="V3" i="3" s="1"/>
  <c r="AE43" i="3"/>
  <c r="N13" i="3"/>
  <c r="O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<sst xmlns="http://schemas.openxmlformats.org/spreadsheetml/2006/main" count="532" uniqueCount="157">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</sst>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  <xf numFmtId="0" fontId="24" fillId="0" borderId="0" applyNumberForma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9" fillId="0" borderId="0" xfId="0" applyFont="1"/>
    <xf numFmtId="164" fontId="14" fillId="6" borderId="1" xfId="2" applyNumberFormat="1" applyFont="1"/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2" fillId="2" borderId="1" xfId="1" applyFont="1" applyAlignment="1">
      <alignment horizontal="left" vertical="center"/>
    </xf>
    <xf numFmtId="0" fontId="23" fillId="6" borderId="1" xfId="2" applyFont="1" applyAlignment="1">
      <alignment horizontal="left" wrapText="1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4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CB19840-B3B4-4080-825E-FF6AD9B3B3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3EA47C-A451-4EBA-9D9D-769DBA78D3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480B01-6842-471A-823C-536A6E237F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0E7F36-9A17-4E66-949C-E794630A02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C50F04-5811-476E-BFCB-188B0C018B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42902C-4996-4431-9E16-7ACEBB7AE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782D9B-450C-4972-85B6-E5CAA63E3F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64964C-DA29-4C39-A109-0441286218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045AF5-6646-4333-BC76-6812408D05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31AEED-8D44-4B48-A018-ADC561FEFD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492263-6BCD-46AE-B65B-173BC1B1FD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1271E1-2017-4D81-AE3B-94E5507FD5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D175CC-ADD1-4A9C-BA5F-1F962D6075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C31750-FB97-48B9-8C7C-D1AC438420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CD3FE4-5FAA-4509-89E1-9DABF21E21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68C7D7-4E07-4DDD-8CD0-62BDE68F05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DD9B93-90B5-4AE3-AF2E-5309B4481D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692BEF-F017-4179-8A05-86E0D13C4F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CA8592-92D5-4C5C-AB38-E456617578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13DC25-F7ED-4F94-B6DC-2AB35E9606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2808E1-0F40-40BA-A4F0-3BC99A6CA8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14F37D-E670-4B75-9B5A-75618B1B06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0DDB85-37BD-48FD-8881-69A8C327D5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1CA1F1-951A-4D20-8FC1-AEDA65AF63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FA8DB3B-EEC3-4E29-B016-9404199464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DD2112-6300-443E-B765-099AA83F1E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6B4AFD-9B62-4D57-BE19-A8B5DA2F44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A52B31-C162-4E28-8C1A-9B63A35642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487755-7AC1-4A92-8B34-C8DDFFD552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5D8C75-8E03-421F-8303-148D505EBF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B0B7DE0-AC7B-4021-A7DB-132481D49B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D04328-EB1B-45AD-B417-8FEC01E7EC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32D03A-097C-4496-9AB1-C6113FE523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9C0D6C-CBEE-479C-B6CC-D27EE71242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FB1269-7335-4D2D-83C6-B4B7B67947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3EF4FE-EAD5-4C7B-AB99-7421797535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FEA6A0-7845-411A-96AC-01C7A2A701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F873C9-BA1C-46A0-B291-E5534959BE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97C9F4-B371-4DBA-83A0-E15F9FE27F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B12D64-E22D-42C4-85B4-F4BE23CBD5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584297-8A67-4D0C-A2F7-6B0F521246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0711F9-C978-4A6A-9D4A-A81A6CC98E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0460905-0C98-4075-B85B-22C9CF235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116A73-0667-4282-BE66-9C3CAD6280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89AC2D-D960-4213-AEE8-C58040812E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0084E9-1B91-4983-9E80-AD5F0F3243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81264A-2F60-4855-845E-2148801586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619593-759F-4BE1-8419-D0179D5016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947803-6C5B-4AF0-A13E-D5BC842A7A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C1895C-44ED-4AAD-890D-9BDDD19739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C733E7-8EB5-4317-A7D6-5CFF3DD6F9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6D84DAD-B7A8-4CF9-B523-AC7EA62E0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E66EB1-F20A-4543-A931-6B0CE08B12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A138B52-4BDB-40ED-AD9F-1704F22E88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63EB41-91A3-46FF-8398-860CDEA69E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46D2AB-0E4C-4D48-90C1-B92E3BAE6E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D79952-0C85-4554-BFBD-E3B1BE446C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E4DAD6-C277-430A-BA21-5F15C04C61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6371D6-BC18-47C1-8978-F6962732DD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23D7C5-B6F0-4B14-B65F-81B4763252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7ABA9F-0AA7-4FDA-99BB-6828A5535B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3671B5-C6C8-441C-9110-4C236F2555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30FCB9-4080-44D7-8B96-96966CE462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FF2A27-6398-42E9-9374-C2DD2C660F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A80E45-E1E5-4DAD-8940-6C88151D5B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F18519-325E-475A-9427-9DA46B99F6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61F889-9645-48A0-8781-48C22956CC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4DDF90-DABB-4B33-B156-9D94EDAE26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AEE790-765F-4BCA-A4AA-F4A6216151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58F5628-5994-48C5-9972-9954E93268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FA7DCD-5810-43BB-9AC6-13384FF2F1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324C1A-BAB4-4071-848D-FCA69A03F4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D2B9A5-4815-40B7-B8FD-33D16387EC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BB514E8-9EC9-47CA-9CAA-E904CAC0FA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70BFA5-75A2-4742-9EF4-DB1635C37B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CA3495-9FFA-4B13-A3E6-B8B7923B2E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70B544-D972-4931-9491-46859B0AA9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3EBE409-E38D-4BCC-849E-FCC8560B0B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883D4D-EE92-4C58-A90A-38A0217B3A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CF97F6-724C-4882-BFBD-D79584BCEE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6CABAE-A4F4-4D6F-BA99-096A8A7911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0BF7CF-80F4-48DB-B6EA-7D4A480CC7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51ABAF-9FF5-4F20-A267-72DD31D3F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C80FFE-0388-452A-9290-DDE2D81F20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185E79D-B61B-43BE-AF8E-9221459D10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9" dataDxfId="118">
  <autoFilter ref="R13:X16" xr:uid="{FF2C9E8B-1A62-479C-AF68-79B236C0B7BB}"/>
  <tableColumns count="7">
    <tableColumn id="1" xr3:uid="{727C6146-39EA-4E15-8783-53CAA87FAF36}" name="Zone ID" dataDxfId="117"/>
    <tableColumn id="2" xr3:uid="{2CA65110-6DD7-46D8-BFC2-5EB0C0E57567}" name="Description" dataDxfId="116"/>
    <tableColumn id="3" xr3:uid="{12D64F80-6A69-494F-BF8F-E326D34A185A}" name="Short Description" dataDxfId="115"/>
    <tableColumn id="4" xr3:uid="{71F3F5B2-8F6B-4985-B1FC-5A9D60095474}" name="Start Date" dataDxfId="114"/>
    <tableColumn id="5" xr3:uid="{57258378-8FED-4727-89AC-D938CB414B7B}" name="Finish Date" dataDxfId="11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1">
      <calculatedColumnFormula>IF(AA13 = "Date", $S$4, AA13+7)</calculatedColumnFormula>
    </tableColumn>
    <tableColumn id="6" xr3:uid="{5740AC03-CF53-4345-8667-6AC0CA6843D0}" name="Primary Areas" dataDxfId="110">
      <calculatedColumnFormula>PrimaryAreas(3)</calculatedColumnFormula>
    </tableColumn>
    <tableColumn id="2" xr3:uid="{AF232D3D-EC3F-4232-BA5D-1427173C2D6A}" name="Weekly Plan" dataDxfId="109">
      <calculatedColumnFormula xml:space="preserve"> IF(#REF!="", 0,#REF!)+ IF(#REF!="", 0,#REF!)+ IF(#REF!="", 0,#REF!)</calculatedColumnFormula>
    </tableColumn>
    <tableColumn id="3" xr3:uid="{B28103F6-7596-4848-9F0D-3E4A9E5CBEFE}" name="Weekly Actual" dataDxfId="108">
      <calculatedColumnFormula>IF(AND(ISBLANK(#REF!),ISBLANK(#REF!),ISBLANK(#REF!)),"",#REF! +#REF!+#REF!)</calculatedColumnFormula>
    </tableColumn>
    <tableColumn id="4" xr3:uid="{EF1C6009-71E6-491B-B64F-04049D2D9103}" name="Accumulated Plan" dataDxfId="107">
      <calculatedColumnFormula>SUM($AC$14:AC14)</calculatedColumnFormula>
    </tableColumn>
    <tableColumn id="5" xr3:uid="{442DAB73-1233-4C61-8DE9-3B44CE2C5D69}" name="Accumulated Actual" dataDxfId="106">
      <calculatedColumnFormula>IF(AD14="",NA(),SUM($AD$14:AD14))</calculatedColumnFormula>
    </tableColumn>
    <tableColumn id="43" xr3:uid="{CE31DBAF-57B0-4D4D-852A-B07516A73A41}" name="WP_A1" dataDxfId="105">
      <calculatedColumnFormula>WeeklyPlanned(Output_Template[[#Headers],[WP_A1]], Output_Template[[#This Row],[Date]])</calculatedColumnFormula>
    </tableColumn>
    <tableColumn id="44" xr3:uid="{A0857F89-2BC6-42D6-B02F-90D9272451CA}" name="WA_A1" dataDxfId="104"/>
    <tableColumn id="45" xr3:uid="{2A74D439-B21B-40DD-BB55-7D2C2B18629E}" name="WP_A2" dataDxfId="103">
      <calculatedColumnFormula>WeeklyPlanned(Output_Template[[#Headers],[WP_A2]], Output_Template[[#This Row],[Date]])</calculatedColumnFormula>
    </tableColumn>
    <tableColumn id="46" xr3:uid="{670DB326-434A-466C-9E3C-6A8FE180F21F}" name="WA_A2" dataDxfId="102"/>
    <tableColumn id="47" xr3:uid="{B6798EC6-DE2D-49BB-961E-220FED1F6F10}" name="WP_A3" dataDxfId="101">
      <calculatedColumnFormula>WeeklyPlanned(Output_Template[[#Headers],[WP_A3]], Output_Template[[#This Row],[Date]])</calculatedColumnFormula>
    </tableColumn>
    <tableColumn id="48" xr3:uid="{B2CB6DA2-6E53-4BAC-881B-229E451DFCE0}" name="WA_A3" dataDxfId="10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9">
  <autoFilter ref="H2:H5" xr:uid="{1041DC80-58D6-4308-9DE1-A4EC8AAD3C20}"/>
  <tableColumns count="1">
    <tableColumn id="1" xr3:uid="{0E6D3E77-7CB7-40A1-BCA6-DDC8164AAEB9}" name="Holidays" dataDxfId="9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70" dataDxfId="69">
  <autoFilter ref="R13:X21" xr:uid="{FF2C9E8B-1A62-479C-AF68-79B236C0B7BB}"/>
  <tableColumns count="7">
    <tableColumn id="1" xr3:uid="{5AA37268-DD16-498C-9169-AE2EA9DA526A}" name="Zone ID" dataDxfId="68"/>
    <tableColumn id="2" xr3:uid="{0E3A0621-3CBD-40FC-B7C1-86ED2397BCEE}" name="Description" dataDxfId="67"/>
    <tableColumn id="3" xr3:uid="{5A73CD5C-5126-40F4-B5B3-C7A438ED4F4F}" name="Short Description" dataDxfId="66"/>
    <tableColumn id="4" xr3:uid="{CDB025F5-BA1E-4D3D-9F16-1E7E8B24997A}" name="Start Date" dataDxfId="65"/>
    <tableColumn id="5" xr3:uid="{A32C4534-D094-4392-BDFF-D9E6184B332E}" name="Finish Date" dataDxfId="64"/>
    <tableColumn id="6" xr3:uid="{4EBF5FA0-D78E-4850-9053-2FD3D4DF8DDF}" name="Total" dataDxfId="63" dataCellStyle="Linked Cell"/>
    <tableColumn id="7" xr3:uid="{2024E4D3-6ED3-428B-AA0E-731077A47B05}" name="Completed Total" dataDxfId="62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61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60">
      <calculatedColumnFormula>IF(AA13 = "Date", $S$4, AA13+7)</calculatedColumnFormula>
    </tableColumn>
    <tableColumn id="6" xr3:uid="{001A0E6C-64CB-4894-8C22-5853E33F6BB2}" name="Primary Areas" dataDxfId="59">
      <calculatedColumnFormula>PrimaryAreas(8)</calculatedColumnFormula>
    </tableColumn>
    <tableColumn id="2" xr3:uid="{1360E334-97F5-432E-BB23-793619A14458}" name="Weekly Plan" dataDxfId="58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57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56">
      <calculatedColumnFormula>SUM($AC$14:AC14)</calculatedColumnFormula>
    </tableColumn>
    <tableColumn id="5" xr3:uid="{1924FD4A-42CB-49CF-B4A5-079079B5D0F3}" name="Accumulated Actual" dataDxfId="55">
      <calculatedColumnFormula>IF(AD14="",NA(),SUM($AD$14:AD14))</calculatedColumnFormula>
    </tableColumn>
    <tableColumn id="23" xr3:uid="{9D909FAC-40FF-4109-8EAE-74DFABFF8319}" name="WP_ABC" dataDxfId="54">
      <calculatedColumnFormula>WeeklyPlanned(Output_0000[[#Headers],[WP_ABC]], Output_0000[[#This Row],[Date]])</calculatedColumnFormula>
    </tableColumn>
    <tableColumn id="24" xr3:uid="{92ADE5B7-CAEC-41A0-B928-8F7F4344FE26}" name="WA_ABC" dataDxfId="53"/>
    <tableColumn id="25" xr3:uid="{F7FD9E19-6CFF-44A1-AF87-237747B65D1E}" name="WP_ACS" dataDxfId="52">
      <calculatedColumnFormula>WeeklyPlanned(Output_0000[[#Headers],[WP_ACS]], Output_0000[[#This Row],[Date]])</calculatedColumnFormula>
    </tableColumn>
    <tableColumn id="26" xr3:uid="{1FD6096E-155A-48FA-BF57-ABEB209A76A8}" name="WA_ACS" dataDxfId="51"/>
    <tableColumn id="27" xr3:uid="{C32CB5E4-987A-4E05-BFD2-AD1BA55323A7}" name="WP_AL1" dataDxfId="50">
      <calculatedColumnFormula>WeeklyPlanned(Output_0000[[#Headers],[WP_AL1]], Output_0000[[#This Row],[Date]])</calculatedColumnFormula>
    </tableColumn>
    <tableColumn id="28" xr3:uid="{741EC55D-ACF8-45FE-B760-246C2984AB76}" name="WA_AL1" dataDxfId="49"/>
    <tableColumn id="29" xr3:uid="{02D5C536-D7AB-4845-AF46-BA557A0711BE}" name="WP_HBase" dataDxfId="48">
      <calculatedColumnFormula>WeeklyPlanned(Output_0000[[#Headers],[WP_HBase]], Output_0000[[#This Row],[Date]])</calculatedColumnFormula>
    </tableColumn>
    <tableColumn id="30" xr3:uid="{6CFFBF9B-4C23-4C48-B9B4-2C3A9A72CE8C}" name="WA_HBase" dataDxfId="47"/>
    <tableColumn id="31" xr3:uid="{27A2EB7B-E3EA-47B1-A3F2-FFBF58F06F0D}" name="WP_HWST" dataDxfId="46">
      <calculatedColumnFormula>WeeklyPlanned(Output_0000[[#Headers],[WP_HWST]], Output_0000[[#This Row],[Date]])</calculatedColumnFormula>
    </tableColumn>
    <tableColumn id="32" xr3:uid="{1F1D10B3-084B-4075-8E04-CBCE81737E69}" name="WA_HWST" dataDxfId="45"/>
    <tableColumn id="33" xr3:uid="{127722D0-80A4-4F75-9175-6D2C54EBC191}" name="WP_HWSR" dataDxfId="44">
      <calculatedColumnFormula>WeeklyPlanned(Output_0000[[#Headers],[WP_HWSR]], Output_0000[[#This Row],[Date]])</calculatedColumnFormula>
    </tableColumn>
    <tableColumn id="34" xr3:uid="{ED1A96FC-35C0-4018-81E1-B3B51101AB44}" name="WA_HWSR" dataDxfId="43"/>
    <tableColumn id="35" xr3:uid="{584725E1-3456-4D62-8919-994293AB89D3}" name="WP_HL2" dataDxfId="42">
      <calculatedColumnFormula>WeeklyPlanned(Output_0000[[#Headers],[WP_HL2]], Output_0000[[#This Row],[Date]])</calculatedColumnFormula>
    </tableColumn>
    <tableColumn id="36" xr3:uid="{0D58AE03-CEC6-4352-9275-206C438024A6}" name="WA_HL2" dataDxfId="41"/>
    <tableColumn id="37" xr3:uid="{76718DA7-C2F0-424A-9855-A1F7A4401A40}" name="WP_HBCeil" dataDxfId="40">
      <calculatedColumnFormula>WeeklyPlanned(Output_0000[[#Headers],[WP_HBCeil]], Output_0000[[#This Row],[Date]])</calculatedColumnFormula>
    </tableColumn>
    <tableColumn id="38" xr3:uid="{DF9E8E0F-9F93-4E51-85D2-94DDAA517F51}" name="WA_HBCeil" dataDxfId="3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31" dataDxfId="30">
  <autoFilter ref="R13:X21" xr:uid="{FF2C9E8B-1A62-479C-AF68-79B236C0B7BB}"/>
  <tableColumns count="7">
    <tableColumn id="1" xr3:uid="{9FED2BA1-A1A7-4513-A20F-F09DB113155D}" name="Zone ID" dataDxfId="29"/>
    <tableColumn id="2" xr3:uid="{8B67A205-5329-400B-84DC-CB06A032CF16}" name="Description" dataDxfId="28"/>
    <tableColumn id="3" xr3:uid="{2253D560-C30C-43DE-ABAB-BFAFD145DF40}" name="Short Description" dataDxfId="27"/>
    <tableColumn id="4" xr3:uid="{09E57ADB-1BEB-4CFB-B160-A9C7ADA56DE0}" name="Start Date" dataDxfId="26"/>
    <tableColumn id="5" xr3:uid="{B704EAFC-B4AE-45F3-A5AC-5189060C6D42}" name="Finish Date" dataDxfId="25"/>
    <tableColumn id="6" xr3:uid="{FAFABCDE-D7F7-45A9-83E7-80ADC6F01B0B}" name="Total" dataDxfId="24" dataCellStyle="Normal"/>
    <tableColumn id="7" xr3:uid="{F8D69A8D-7550-4939-9D63-599172BCFFFD}" name="Completed Total" dataDxfId="23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22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21">
      <calculatedColumnFormula>IF(AA13 = "Date", $S$4, AA13+7)</calculatedColumnFormula>
    </tableColumn>
    <tableColumn id="6" xr3:uid="{DE271CBB-C0FC-482D-929A-C21AEFAC32E4}" name="Primary Areas" dataDxfId="20">
      <calculatedColumnFormula>PrimaryAreas(8)</calculatedColumnFormula>
    </tableColumn>
    <tableColumn id="2" xr3:uid="{71EE47CC-75E0-49E1-B527-E1364059B0A6}" name="Weekly Plan" dataDxfId="19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8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7">
      <calculatedColumnFormula>SUM($AC$14:AC14)</calculatedColumnFormula>
    </tableColumn>
    <tableColumn id="5" xr3:uid="{CB7FAB5B-BEAB-4D4A-BD18-57DE0B5DE266}" name="Accumulated Actual" dataDxfId="16">
      <calculatedColumnFormula>IF(AD14="",NA(),SUM($AD$14:AD14))</calculatedColumnFormula>
    </tableColumn>
    <tableColumn id="7" xr3:uid="{2A1CBA5C-29D6-4EB1-8BAA-AF2C064B4A02}" name="WP_ABC" dataDxfId="15">
      <calculatedColumnFormula>WeeklyPlanned(Output_0501[[#Headers],[WP_ABC]], Output_0501[[#This Row],[Date]])</calculatedColumnFormula>
    </tableColumn>
    <tableColumn id="8" xr3:uid="{04DC9374-2B37-4BF5-AA39-F11FC0149281}" name="WA_ABC" dataDxfId="14"/>
    <tableColumn id="9" xr3:uid="{4F88CC2C-A480-4C5B-BA01-24B210AB447A}" name="WP_ACS" dataDxfId="13">
      <calculatedColumnFormula>WeeklyPlanned(Output_0501[[#Headers],[WP_ACS]], Output_0501[[#This Row],[Date]])</calculatedColumnFormula>
    </tableColumn>
    <tableColumn id="10" xr3:uid="{48C24C77-4D2B-435F-BBC2-FAD4AD540AB6}" name="WA_ACS" dataDxfId="12"/>
    <tableColumn id="11" xr3:uid="{75D5C587-305D-4077-9FAA-C79F65923E57}" name="WP_AL1" dataDxfId="11">
      <calculatedColumnFormula>WeeklyPlanned(Output_0501[[#Headers],[WP_AL1]], Output_0501[[#This Row],[Date]])</calculatedColumnFormula>
    </tableColumn>
    <tableColumn id="12" xr3:uid="{8077796C-E6FC-4EE3-89F7-798709387F7F}" name="WA_AL1" dataDxfId="10"/>
    <tableColumn id="13" xr3:uid="{792F3323-B0E8-4776-9689-FD45E57B619D}" name="WP_HBase" dataDxfId="9">
      <calculatedColumnFormula>WeeklyPlanned(Output_0501[[#Headers],[WP_HBase]], Output_0501[[#This Row],[Date]])</calculatedColumnFormula>
    </tableColumn>
    <tableColumn id="14" xr3:uid="{9E7E74B1-B432-4576-8F57-2DCED559C004}" name="WA_HBase" dataDxfId="8"/>
    <tableColumn id="15" xr3:uid="{6C8A9406-B3E7-4378-8961-19DE99A823B8}" name="WP_HWST" dataDxfId="7">
      <calculatedColumnFormula>WeeklyPlanned(Output_0501[[#Headers],[WP_HWST]], Output_0501[[#This Row],[Date]])</calculatedColumnFormula>
    </tableColumn>
    <tableColumn id="16" xr3:uid="{85632008-1A06-41BF-96BF-DF4F2942C8E3}" name="WA_HWST" dataDxfId="6"/>
    <tableColumn id="17" xr3:uid="{4ED0746A-56E1-4B9A-8D82-621AD6A805EE}" name="WP_HWSR" dataDxfId="5">
      <calculatedColumnFormula>WeeklyPlanned(Output_0501[[#Headers],[WP_HWSR]], Output_0501[[#This Row],[Date]])</calculatedColumnFormula>
    </tableColumn>
    <tableColumn id="18" xr3:uid="{616A2447-10D3-4C5E-BE98-C8594A351722}" name="WA_HWSR" dataDxfId="4"/>
    <tableColumn id="19" xr3:uid="{13711C20-54F0-41FE-93CC-92DB5745C53C}" name="WP_HL2" dataDxfId="3">
      <calculatedColumnFormula>WeeklyPlanned(Output_0501[[#Headers],[WP_HL2]], Output_0501[[#This Row],[Date]])</calculatedColumnFormula>
    </tableColumn>
    <tableColumn id="20" xr3:uid="{AE155A80-4969-4902-8DAF-8DC808584420}" name="WA_HL2" dataDxfId="2"/>
    <tableColumn id="21" xr3:uid="{186F9C43-2DF5-47B7-A779-6A42D4C3454E}" name="WP_HBCeil" dataDxfId="1">
      <calculatedColumnFormula>WeeklyPlanned(Output_0501[[#Headers],[WP_HBCeil]], Output_0501[[#This Row],[Date]])</calculatedColumnFormula>
    </tableColumn>
    <tableColumn id="22" xr3:uid="{7F8ADB3E-C083-4C51-8B5A-9EACC6ABF4A0}" name="WA_HBCei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118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92</v>
      </c>
      <c r="I1" t="s">
        <v>93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</row>
    <row r="3" spans="1:23" x14ac:dyDescent="0.35">
      <c r="A3" t="s">
        <v>120</v>
      </c>
      <c r="B3">
        <v>44047</v>
      </c>
      <c r="C3" t="s">
        <v>91</v>
      </c>
      <c r="D3">
        <v>74</v>
      </c>
      <c r="E3" t="s">
        <v>121</v>
      </c>
      <c r="F3">
        <v>74</v>
      </c>
      <c r="H3">
        <v>74</v>
      </c>
      <c r="J3" t="s">
        <v>121</v>
      </c>
      <c r="L3" t="s">
        <v>121</v>
      </c>
      <c r="N3" t="s">
        <v>121</v>
      </c>
      <c r="P3" t="s">
        <v>121</v>
      </c>
      <c r="R3" t="s">
        <v>121</v>
      </c>
      <c r="T3" t="s">
        <v>121</v>
      </c>
      <c r="V3" t="s">
        <v>121</v>
      </c>
    </row>
    <row r="4" spans="1:23" x14ac:dyDescent="0.35">
      <c r="A4" t="s">
        <v>120</v>
      </c>
      <c r="B4">
        <v>44054</v>
      </c>
      <c r="C4" t="s">
        <v>91</v>
      </c>
      <c r="D4">
        <v>74</v>
      </c>
      <c r="E4" t="s">
        <v>121</v>
      </c>
      <c r="F4">
        <v>148</v>
      </c>
      <c r="H4">
        <v>74</v>
      </c>
      <c r="J4" t="s">
        <v>121</v>
      </c>
      <c r="L4" t="s">
        <v>121</v>
      </c>
      <c r="N4" t="s">
        <v>121</v>
      </c>
      <c r="P4" t="s">
        <v>121</v>
      </c>
      <c r="R4" t="s">
        <v>121</v>
      </c>
      <c r="T4" t="s">
        <v>121</v>
      </c>
      <c r="V4" t="s">
        <v>121</v>
      </c>
    </row>
    <row r="5" spans="1:23" x14ac:dyDescent="0.35">
      <c r="A5" t="s">
        <v>120</v>
      </c>
      <c r="B5">
        <v>44061</v>
      </c>
      <c r="C5">
        <v>0</v>
      </c>
      <c r="D5">
        <v>0</v>
      </c>
      <c r="E5" t="s">
        <v>121</v>
      </c>
      <c r="F5">
        <v>148</v>
      </c>
      <c r="H5" t="s">
        <v>121</v>
      </c>
      <c r="J5" t="s">
        <v>121</v>
      </c>
      <c r="L5" t="s">
        <v>121</v>
      </c>
      <c r="N5" t="s">
        <v>121</v>
      </c>
      <c r="P5" t="s">
        <v>121</v>
      </c>
      <c r="R5" t="s">
        <v>121</v>
      </c>
      <c r="T5" t="s">
        <v>121</v>
      </c>
      <c r="V5" t="s">
        <v>121</v>
      </c>
    </row>
    <row r="6" spans="1:23" x14ac:dyDescent="0.35">
      <c r="A6" t="s">
        <v>120</v>
      </c>
      <c r="B6">
        <v>44068</v>
      </c>
      <c r="C6">
        <v>0</v>
      </c>
      <c r="D6">
        <v>0</v>
      </c>
      <c r="E6" t="s">
        <v>121</v>
      </c>
      <c r="F6">
        <v>148</v>
      </c>
      <c r="H6" t="s">
        <v>121</v>
      </c>
      <c r="J6" t="s">
        <v>121</v>
      </c>
      <c r="L6" t="s">
        <v>121</v>
      </c>
      <c r="N6" t="s">
        <v>121</v>
      </c>
      <c r="P6" t="s">
        <v>121</v>
      </c>
      <c r="R6" t="s">
        <v>121</v>
      </c>
      <c r="T6" t="s">
        <v>121</v>
      </c>
      <c r="V6" t="s">
        <v>121</v>
      </c>
    </row>
    <row r="7" spans="1:23" x14ac:dyDescent="0.35">
      <c r="A7" t="s">
        <v>120</v>
      </c>
      <c r="B7">
        <v>44075</v>
      </c>
      <c r="C7">
        <v>0</v>
      </c>
      <c r="D7">
        <v>0</v>
      </c>
      <c r="E7" t="s">
        <v>121</v>
      </c>
      <c r="F7">
        <v>148</v>
      </c>
      <c r="H7" t="s">
        <v>121</v>
      </c>
      <c r="J7" t="s">
        <v>121</v>
      </c>
      <c r="L7" t="s">
        <v>121</v>
      </c>
      <c r="N7" t="s">
        <v>121</v>
      </c>
      <c r="P7" t="s">
        <v>121</v>
      </c>
      <c r="R7" t="s">
        <v>121</v>
      </c>
      <c r="T7" t="s">
        <v>121</v>
      </c>
      <c r="V7" t="s">
        <v>121</v>
      </c>
    </row>
    <row r="8" spans="1:23" x14ac:dyDescent="0.35">
      <c r="A8" t="s">
        <v>120</v>
      </c>
      <c r="B8">
        <v>44082</v>
      </c>
      <c r="C8">
        <v>0</v>
      </c>
      <c r="D8">
        <v>0</v>
      </c>
      <c r="E8" t="s">
        <v>121</v>
      </c>
      <c r="F8">
        <v>148</v>
      </c>
      <c r="H8" t="s">
        <v>121</v>
      </c>
      <c r="J8" t="s">
        <v>121</v>
      </c>
      <c r="L8" t="s">
        <v>121</v>
      </c>
      <c r="N8" t="s">
        <v>121</v>
      </c>
      <c r="P8" t="s">
        <v>121</v>
      </c>
      <c r="R8" t="s">
        <v>121</v>
      </c>
      <c r="T8" t="s">
        <v>121</v>
      </c>
      <c r="V8" t="s">
        <v>121</v>
      </c>
    </row>
    <row r="9" spans="1:23" x14ac:dyDescent="0.35">
      <c r="A9" t="s">
        <v>120</v>
      </c>
      <c r="B9">
        <v>44089</v>
      </c>
      <c r="C9">
        <v>0</v>
      </c>
      <c r="D9">
        <v>0</v>
      </c>
      <c r="E9" t="s">
        <v>121</v>
      </c>
      <c r="F9">
        <v>148</v>
      </c>
      <c r="H9" t="s">
        <v>121</v>
      </c>
      <c r="J9" t="s">
        <v>121</v>
      </c>
      <c r="L9" t="s">
        <v>121</v>
      </c>
      <c r="N9" t="s">
        <v>121</v>
      </c>
      <c r="P9" t="s">
        <v>121</v>
      </c>
      <c r="R9" t="s">
        <v>121</v>
      </c>
      <c r="T9" t="s">
        <v>121</v>
      </c>
      <c r="V9" t="s">
        <v>121</v>
      </c>
    </row>
    <row r="10" spans="1:23" x14ac:dyDescent="0.35">
      <c r="A10" t="s">
        <v>120</v>
      </c>
      <c r="B10">
        <v>44096</v>
      </c>
      <c r="C10" t="s">
        <v>100</v>
      </c>
      <c r="D10">
        <v>12.083333333333332</v>
      </c>
      <c r="E10" t="s">
        <v>121</v>
      </c>
      <c r="F10">
        <v>160.08333333333334</v>
      </c>
      <c r="H10" t="s">
        <v>121</v>
      </c>
      <c r="J10" t="s">
        <v>121</v>
      </c>
      <c r="L10" t="s">
        <v>121</v>
      </c>
      <c r="N10" t="s">
        <v>121</v>
      </c>
      <c r="P10" t="s">
        <v>121</v>
      </c>
      <c r="R10" t="s">
        <v>121</v>
      </c>
      <c r="T10" t="s">
        <v>121</v>
      </c>
      <c r="V10">
        <v>12.083333333333332</v>
      </c>
    </row>
    <row r="11" spans="1:23" x14ac:dyDescent="0.35">
      <c r="A11" t="s">
        <v>120</v>
      </c>
      <c r="B11">
        <v>44103</v>
      </c>
      <c r="C11" t="s">
        <v>100</v>
      </c>
      <c r="D11">
        <v>12.083333333333332</v>
      </c>
      <c r="E11" t="s">
        <v>121</v>
      </c>
      <c r="F11">
        <v>172.16666666666669</v>
      </c>
      <c r="H11" t="s">
        <v>121</v>
      </c>
      <c r="J11" t="s">
        <v>121</v>
      </c>
      <c r="L11" t="s">
        <v>121</v>
      </c>
      <c r="N11" t="s">
        <v>121</v>
      </c>
      <c r="P11" t="s">
        <v>121</v>
      </c>
      <c r="R11" t="s">
        <v>121</v>
      </c>
      <c r="T11" t="s">
        <v>121</v>
      </c>
      <c r="V11">
        <v>12.083333333333332</v>
      </c>
    </row>
    <row r="12" spans="1:23" x14ac:dyDescent="0.35">
      <c r="A12" t="s">
        <v>120</v>
      </c>
      <c r="B12">
        <v>44110</v>
      </c>
      <c r="C12" t="s">
        <v>122</v>
      </c>
      <c r="D12">
        <v>82.36666666666666</v>
      </c>
      <c r="E12" t="s">
        <v>121</v>
      </c>
      <c r="F12">
        <v>254.53333333333336</v>
      </c>
      <c r="H12" t="s">
        <v>121</v>
      </c>
      <c r="J12">
        <v>61.199999999999996</v>
      </c>
      <c r="L12" t="s">
        <v>121</v>
      </c>
      <c r="N12" t="s">
        <v>121</v>
      </c>
      <c r="P12" t="s">
        <v>121</v>
      </c>
      <c r="R12" t="s">
        <v>121</v>
      </c>
      <c r="T12">
        <v>16.333333333333332</v>
      </c>
      <c r="V12">
        <v>4.833333333333333</v>
      </c>
    </row>
    <row r="13" spans="1:23" x14ac:dyDescent="0.35">
      <c r="A13" t="s">
        <v>120</v>
      </c>
      <c r="B13">
        <v>44117</v>
      </c>
      <c r="C13" t="s">
        <v>123</v>
      </c>
      <c r="D13">
        <v>126.67074829931971</v>
      </c>
      <c r="E13" t="s">
        <v>121</v>
      </c>
      <c r="F13">
        <v>381.20408163265307</v>
      </c>
      <c r="H13" t="s">
        <v>121</v>
      </c>
      <c r="J13">
        <v>40.799999999999997</v>
      </c>
      <c r="L13" t="s">
        <v>121</v>
      </c>
      <c r="N13" t="s">
        <v>121</v>
      </c>
      <c r="P13">
        <v>4.204081632653061</v>
      </c>
      <c r="R13" t="s">
        <v>121</v>
      </c>
      <c r="T13">
        <v>81.666666666666657</v>
      </c>
      <c r="V13" t="s">
        <v>121</v>
      </c>
    </row>
    <row r="14" spans="1:23" x14ac:dyDescent="0.35">
      <c r="A14" t="s">
        <v>120</v>
      </c>
      <c r="B14">
        <v>44124</v>
      </c>
      <c r="C14" t="s">
        <v>124</v>
      </c>
      <c r="D14">
        <v>92.176870748299308</v>
      </c>
      <c r="E14" t="s">
        <v>121</v>
      </c>
      <c r="F14">
        <v>473.38095238095241</v>
      </c>
      <c r="H14" t="s">
        <v>121</v>
      </c>
      <c r="J14" t="s">
        <v>121</v>
      </c>
      <c r="L14" t="s">
        <v>121</v>
      </c>
      <c r="N14" t="s">
        <v>121</v>
      </c>
      <c r="P14">
        <v>10.510204081632653</v>
      </c>
      <c r="R14" t="s">
        <v>121</v>
      </c>
      <c r="T14">
        <v>81.666666666666657</v>
      </c>
      <c r="V14" t="s">
        <v>121</v>
      </c>
    </row>
    <row r="15" spans="1:23" x14ac:dyDescent="0.35">
      <c r="A15" t="s">
        <v>120</v>
      </c>
      <c r="B15">
        <v>44131</v>
      </c>
      <c r="C15" t="s">
        <v>124</v>
      </c>
      <c r="D15">
        <v>75.843537414965979</v>
      </c>
      <c r="E15" t="s">
        <v>121</v>
      </c>
      <c r="F15">
        <v>549.22448979591843</v>
      </c>
      <c r="H15" t="s">
        <v>121</v>
      </c>
      <c r="J15" t="s">
        <v>121</v>
      </c>
      <c r="L15" t="s">
        <v>121</v>
      </c>
      <c r="N15" t="s">
        <v>121</v>
      </c>
      <c r="P15">
        <v>10.510204081632653</v>
      </c>
      <c r="R15" t="s">
        <v>121</v>
      </c>
      <c r="T15">
        <v>65.333333333333329</v>
      </c>
      <c r="V15" t="s">
        <v>121</v>
      </c>
    </row>
    <row r="16" spans="1:23" x14ac:dyDescent="0.35">
      <c r="A16" t="s">
        <v>120</v>
      </c>
      <c r="B16">
        <v>44138</v>
      </c>
      <c r="C16" t="s">
        <v>125</v>
      </c>
      <c r="D16">
        <v>176.71020408163264</v>
      </c>
      <c r="E16" t="s">
        <v>121</v>
      </c>
      <c r="F16">
        <v>725.93469387755113</v>
      </c>
      <c r="H16" t="s">
        <v>121</v>
      </c>
      <c r="J16" t="s">
        <v>121</v>
      </c>
      <c r="L16">
        <v>83.699999999999989</v>
      </c>
      <c r="N16">
        <v>82.5</v>
      </c>
      <c r="P16">
        <v>10.510204081632653</v>
      </c>
      <c r="R16" t="s">
        <v>121</v>
      </c>
      <c r="T16" t="s">
        <v>121</v>
      </c>
      <c r="V16" t="s">
        <v>121</v>
      </c>
    </row>
    <row r="17" spans="1:22" x14ac:dyDescent="0.35">
      <c r="A17" t="s">
        <v>120</v>
      </c>
      <c r="B17">
        <v>44145</v>
      </c>
      <c r="C17" t="s">
        <v>125</v>
      </c>
      <c r="D17">
        <v>199.51020408163265</v>
      </c>
      <c r="E17" t="s">
        <v>121</v>
      </c>
      <c r="F17">
        <v>925.44489795918378</v>
      </c>
      <c r="H17" t="s">
        <v>121</v>
      </c>
      <c r="J17" t="s">
        <v>121</v>
      </c>
      <c r="L17">
        <v>139.5</v>
      </c>
      <c r="N17">
        <v>49.5</v>
      </c>
      <c r="P17">
        <v>10.510204081632653</v>
      </c>
      <c r="R17" t="s">
        <v>121</v>
      </c>
      <c r="T17" t="s">
        <v>121</v>
      </c>
      <c r="V17" t="s">
        <v>121</v>
      </c>
    </row>
    <row r="18" spans="1:22" x14ac:dyDescent="0.35">
      <c r="A18" t="s">
        <v>120</v>
      </c>
      <c r="B18">
        <v>44152</v>
      </c>
      <c r="C18" t="s">
        <v>126</v>
      </c>
      <c r="D18">
        <v>66.310204081632648</v>
      </c>
      <c r="E18" t="s">
        <v>121</v>
      </c>
      <c r="F18">
        <v>991.75510204081638</v>
      </c>
      <c r="H18" t="s">
        <v>121</v>
      </c>
      <c r="J18" t="s">
        <v>121</v>
      </c>
      <c r="L18">
        <v>55.8</v>
      </c>
      <c r="N18" t="s">
        <v>121</v>
      </c>
      <c r="P18">
        <v>10.510204081632653</v>
      </c>
      <c r="R18" t="s">
        <v>121</v>
      </c>
      <c r="T18" t="s">
        <v>121</v>
      </c>
      <c r="V18" t="s">
        <v>121</v>
      </c>
    </row>
    <row r="19" spans="1:22" x14ac:dyDescent="0.35">
      <c r="A19" t="s">
        <v>120</v>
      </c>
      <c r="B19">
        <v>44159</v>
      </c>
      <c r="C19" t="s">
        <v>97</v>
      </c>
      <c r="D19">
        <v>10.510204081632653</v>
      </c>
      <c r="E19" t="s">
        <v>121</v>
      </c>
      <c r="F19">
        <v>1002.265306122449</v>
      </c>
      <c r="H19" t="s">
        <v>121</v>
      </c>
      <c r="J19" t="s">
        <v>121</v>
      </c>
      <c r="L19" t="s">
        <v>121</v>
      </c>
      <c r="N19" t="s">
        <v>121</v>
      </c>
      <c r="P19">
        <v>10.510204081632653</v>
      </c>
      <c r="R19" t="s">
        <v>121</v>
      </c>
      <c r="T19" t="s">
        <v>121</v>
      </c>
      <c r="V19" t="s">
        <v>121</v>
      </c>
    </row>
    <row r="20" spans="1:22" x14ac:dyDescent="0.35">
      <c r="A20" t="s">
        <v>120</v>
      </c>
      <c r="B20">
        <v>44166</v>
      </c>
      <c r="C20" t="s">
        <v>97</v>
      </c>
      <c r="D20">
        <v>10.510204081632653</v>
      </c>
      <c r="E20" t="s">
        <v>121</v>
      </c>
      <c r="F20">
        <v>1012.7755102040817</v>
      </c>
      <c r="H20" t="s">
        <v>121</v>
      </c>
      <c r="J20" t="s">
        <v>121</v>
      </c>
      <c r="L20" t="s">
        <v>121</v>
      </c>
      <c r="N20" t="s">
        <v>121</v>
      </c>
      <c r="P20">
        <v>10.510204081632653</v>
      </c>
      <c r="R20" t="s">
        <v>121</v>
      </c>
      <c r="T20" t="s">
        <v>121</v>
      </c>
      <c r="V20" t="s">
        <v>121</v>
      </c>
    </row>
    <row r="21" spans="1:22" x14ac:dyDescent="0.35">
      <c r="A21" t="s">
        <v>120</v>
      </c>
      <c r="B21">
        <v>44173</v>
      </c>
      <c r="C21" t="s">
        <v>97</v>
      </c>
      <c r="D21">
        <v>10.510204081632653</v>
      </c>
      <c r="E21" t="s">
        <v>121</v>
      </c>
      <c r="F21">
        <v>1023.2857142857143</v>
      </c>
      <c r="H21" t="s">
        <v>121</v>
      </c>
      <c r="J21" t="s">
        <v>121</v>
      </c>
      <c r="L21" t="s">
        <v>121</v>
      </c>
      <c r="N21" t="s">
        <v>121</v>
      </c>
      <c r="P21">
        <v>10.510204081632653</v>
      </c>
      <c r="R21" t="s">
        <v>121</v>
      </c>
      <c r="T21" t="s">
        <v>121</v>
      </c>
      <c r="V21" t="s">
        <v>121</v>
      </c>
    </row>
    <row r="22" spans="1:22" x14ac:dyDescent="0.35">
      <c r="A22" t="s">
        <v>120</v>
      </c>
      <c r="B22">
        <v>44180</v>
      </c>
      <c r="C22" t="s">
        <v>97</v>
      </c>
      <c r="D22">
        <v>10.510204081632653</v>
      </c>
      <c r="E22" t="s">
        <v>121</v>
      </c>
      <c r="F22">
        <v>1033.795918367347</v>
      </c>
      <c r="H22" t="s">
        <v>121</v>
      </c>
      <c r="J22" t="s">
        <v>121</v>
      </c>
      <c r="L22" t="s">
        <v>121</v>
      </c>
      <c r="N22" t="s">
        <v>121</v>
      </c>
      <c r="P22">
        <v>10.510204081632653</v>
      </c>
      <c r="R22" t="s">
        <v>121</v>
      </c>
      <c r="T22" t="s">
        <v>121</v>
      </c>
      <c r="V22" t="s">
        <v>121</v>
      </c>
    </row>
    <row r="23" spans="1:22" x14ac:dyDescent="0.35">
      <c r="A23" t="s">
        <v>120</v>
      </c>
      <c r="B23">
        <v>44187</v>
      </c>
      <c r="C23" t="s">
        <v>127</v>
      </c>
      <c r="D23">
        <v>14.204081632653061</v>
      </c>
      <c r="E23" t="s">
        <v>121</v>
      </c>
      <c r="F23">
        <v>1048</v>
      </c>
      <c r="H23" t="s">
        <v>121</v>
      </c>
      <c r="J23" t="s">
        <v>121</v>
      </c>
      <c r="L23" t="s">
        <v>121</v>
      </c>
      <c r="N23" t="s">
        <v>121</v>
      </c>
      <c r="P23">
        <v>4.204081632653061</v>
      </c>
      <c r="R23">
        <v>10</v>
      </c>
      <c r="T23" t="s">
        <v>121</v>
      </c>
      <c r="V23" t="s">
        <v>121</v>
      </c>
    </row>
    <row r="24" spans="1:22" x14ac:dyDescent="0.35">
      <c r="A24" t="s">
        <v>120</v>
      </c>
      <c r="B24">
        <v>44194</v>
      </c>
      <c r="C24" t="s">
        <v>98</v>
      </c>
      <c r="D24">
        <v>13.333333333333334</v>
      </c>
      <c r="E24" t="s">
        <v>121</v>
      </c>
      <c r="F24">
        <v>1061.3333333333333</v>
      </c>
      <c r="H24" t="s">
        <v>121</v>
      </c>
      <c r="J24" t="s">
        <v>121</v>
      </c>
      <c r="L24" t="s">
        <v>121</v>
      </c>
      <c r="N24" t="s">
        <v>121</v>
      </c>
      <c r="P24" t="s">
        <v>121</v>
      </c>
      <c r="R24">
        <v>13.333333333333334</v>
      </c>
      <c r="T24" t="s">
        <v>121</v>
      </c>
      <c r="V24" t="s">
        <v>121</v>
      </c>
    </row>
    <row r="25" spans="1:22" x14ac:dyDescent="0.35">
      <c r="A25" t="s">
        <v>120</v>
      </c>
      <c r="B25">
        <v>44201</v>
      </c>
      <c r="C25" t="s">
        <v>98</v>
      </c>
      <c r="D25">
        <v>6.666666666666667</v>
      </c>
      <c r="E25" t="s">
        <v>121</v>
      </c>
      <c r="F25">
        <v>1068</v>
      </c>
      <c r="H25" t="s">
        <v>121</v>
      </c>
      <c r="J25" t="s">
        <v>121</v>
      </c>
      <c r="L25" t="s">
        <v>121</v>
      </c>
      <c r="N25" t="s">
        <v>121</v>
      </c>
      <c r="P25" t="s">
        <v>121</v>
      </c>
      <c r="R25">
        <v>6.666666666666667</v>
      </c>
      <c r="T25" t="s">
        <v>121</v>
      </c>
      <c r="V25" t="s">
        <v>121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C7" sqref="C7:I7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9" t="s">
        <v>81</v>
      </c>
      <c r="AB1" s="80"/>
    </row>
    <row r="2" spans="2:3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24" t="s">
        <v>48</v>
      </c>
      <c r="S2" s="25" t="str">
        <f ca="1">MID(CELL("filename",B1),FIND("]",CELL("filename",B1))+1,LEN(CELL("filename",B1))-FIND("]",CELL("filename",B1)))</f>
        <v>Template</v>
      </c>
      <c r="T2" s="24" t="s">
        <v>59</v>
      </c>
      <c r="U2" s="34" t="b">
        <v>1</v>
      </c>
      <c r="V2" s="78">
        <f ca="1">1-N5</f>
        <v>0.47272727272727277</v>
      </c>
      <c r="AA2" s="60"/>
      <c r="AB2" s="61"/>
    </row>
    <row r="3" spans="2:3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78">
        <f ca="1">1-O5</f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9" t="s">
        <v>39</v>
      </c>
      <c r="O4" s="30" t="s">
        <v>40</v>
      </c>
      <c r="R4" s="24" t="s">
        <v>49</v>
      </c>
      <c r="S4" s="27">
        <f>MIN(Input_Template[Start Date])+(7-WEEKDAY(MIN(Input_Template[Start Date]),2)+_xlfn.SWITCH(Reporting_Day, "Sunday", 7, "Monday", 1, "Tuesday", 2, "Wednesday", 3, "Thursday", 4, "Friday", 5, "Saturday", 6))</f>
        <v>43908</v>
      </c>
      <c r="T4" s="24" t="s">
        <v>61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32">
        <f ca="1">IF(ISERROR(N7/N6), 0, N7/N6)</f>
        <v>0.52727272727272723</v>
      </c>
      <c r="O5" s="33">
        <f ca="1">IF(ISERROR(O7/O6), 0, O7/O6)</f>
        <v>0</v>
      </c>
      <c r="R5" s="24" t="s">
        <v>79</v>
      </c>
      <c r="S5" s="31">
        <f>MAX(Input_Template[Finish Date])+(7-WEEKDAY(MAX(Input_Template[Finish Date]),2)+_xlfn.SWITCH(Reporting_Day, "Sunday", 7, "Monday", 1, "Tuesday", 2, "Wednesday", 3, "Thursday", 4, "Friday", 5, "Saturday", 6))</f>
        <v>44111</v>
      </c>
      <c r="T5" s="24" t="s">
        <v>62</v>
      </c>
      <c r="U5" s="34" t="b">
        <v>1</v>
      </c>
      <c r="AA5" s="60"/>
      <c r="AB5" s="61"/>
    </row>
    <row r="6" spans="2:39" ht="15" x14ac:dyDescent="0.3">
      <c r="B6" s="28" t="s">
        <v>43</v>
      </c>
      <c r="C6" s="98" t="str">
        <f>Main!C33</f>
        <v>Sample Sub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(SF)</v>
      </c>
      <c r="K6" s="91"/>
      <c r="L6" s="91"/>
      <c r="M6" s="91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51</v>
      </c>
      <c r="S6" s="26" t="s">
        <v>52</v>
      </c>
      <c r="T6" s="24" t="s">
        <v>63</v>
      </c>
      <c r="U6" s="34" t="b">
        <v>1</v>
      </c>
      <c r="AA6" s="60"/>
      <c r="AB6" s="61"/>
    </row>
    <row r="7" spans="2:39" ht="15.5" thickBot="1" x14ac:dyDescent="0.35">
      <c r="B7" s="28" t="s">
        <v>44</v>
      </c>
      <c r="C7" s="98" t="str">
        <f>RIGHT(Main!B33, LEN(Main!B33) - 4)</f>
        <v>Sample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(SF)</v>
      </c>
      <c r="K7" s="91"/>
      <c r="L7" s="91"/>
      <c r="M7" s="91"/>
      <c r="N7" s="35">
        <f ca="1">VLOOKUP($S$3, INDIRECT("Output_"&amp;$S$2), 5, FALSE)</f>
        <v>4745.454545454545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91" t="str">
        <f>_xlfn.CONCAT("This Week's Production (", IF(ISBLANK($S$6),"",$S$6), ")")</f>
        <v>This Week's Production (SF)</v>
      </c>
      <c r="K8" s="91"/>
      <c r="L8" s="91"/>
      <c r="M8" s="91"/>
      <c r="N8" s="35">
        <f ca="1">VLOOKUP($S$3, INDIRECT("Output_"&amp;$S$2), 3, FALSE)</f>
        <v>272.72727272727275</v>
      </c>
      <c r="O8" s="36" t="str">
        <f ca="1">VLOOKUP($S$3, INDIRECT("Output_"&amp;$S$2), 4, FALSE)</f>
        <v/>
      </c>
      <c r="R8" s="24" t="s">
        <v>50</v>
      </c>
      <c r="S8" s="26" t="s">
        <v>80</v>
      </c>
      <c r="T8" s="24" t="s">
        <v>65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91" t="str">
        <f>_xlfn.CONCAT("Weekly Average (", IF(ISBLANK($S$6),"",$S$6), ")")</f>
        <v>Weekly Average (SF)</v>
      </c>
      <c r="K9" s="91"/>
      <c r="L9" s="91"/>
      <c r="M9" s="91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115</v>
      </c>
      <c r="U9" s="85" t="s">
        <v>117</v>
      </c>
      <c r="V9" s="85"/>
      <c r="W9" s="85"/>
      <c r="X9" s="85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91" t="str">
        <f>_xlfn.CONCAT("Average Past 4 Weeks (", IF(ISBLANK($S$6),"",$S$6), ")")</f>
        <v>Average Past 4 Weeks (SF)</v>
      </c>
      <c r="K10" s="91"/>
      <c r="L10" s="91"/>
      <c r="M10" s="91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86"/>
      <c r="V10" s="86"/>
      <c r="W10" s="86"/>
      <c r="X10" s="86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91" t="str">
        <f>_xlfn.CONCAT("On Schedule Average (", IF(ISBLANK($S$6),"",$S$6), ")")</f>
        <v>On Schedule Average (SF)</v>
      </c>
      <c r="K11" s="91"/>
      <c r="L11" s="91"/>
      <c r="M11" s="91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40" t="e">
        <f ca="1">IF($O$5&gt;0.998, "-", (SUM(Input_Template[Total])-INDIRECT("AF"&amp;MATCH($S$3, Output_Template[Date],0)+13))/(ROW(Output_Template[Weekly Plan])-1+ROWS(Output_Template[Weekly Plan])-(MATCH($S$3, Output_Template[Date],0)+13)))</f>
        <v>#N/A</v>
      </c>
      <c r="U11" s="86"/>
      <c r="V11" s="86"/>
      <c r="W11" s="86"/>
      <c r="X11" s="86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81" t="s">
        <v>46</v>
      </c>
      <c r="K13" s="81"/>
      <c r="L13" s="81"/>
      <c r="M13" s="81"/>
      <c r="N13" s="82" t="e">
        <f ca="1">IF($O$5&gt;0.999, "Completed", WORKDAY($S$3, ROUNDUP((SUM(Input_Template[Total])-(INDIRECT("AF"&amp;MATCH($S$3, Output_Template[Date],0)+13)))/($O$10/COUNTIF($U$2:$U$8, TRUE)),0), Holidays_Table[Holidays]))</f>
        <v>#N/A</v>
      </c>
      <c r="O13" s="84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82</v>
      </c>
      <c r="AH13" s="64" t="s">
        <v>84</v>
      </c>
      <c r="AI13" s="64" t="s">
        <v>83</v>
      </c>
      <c r="AJ13" s="64" t="s">
        <v>85</v>
      </c>
      <c r="AK13" s="64" t="s">
        <v>86</v>
      </c>
      <c r="AL13" s="64" t="s">
        <v>87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43" t="s">
        <v>76</v>
      </c>
      <c r="S14" s="44"/>
      <c r="T14" s="44" t="s">
        <v>73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43908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171.42857142857142</v>
      </c>
      <c r="AF14" s="58">
        <f>IF(AD14="",NA(),SUM($AD$14:AD14))</f>
        <v>300</v>
      </c>
      <c r="AG14" s="58">
        <f ca="1">WeeklyPlanned(Output_Template[[#Headers],[WP_A1]], Output_Template[[#This Row],[Date]])</f>
        <v>171.42857142857142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9"/>
      <c r="M15" s="89"/>
      <c r="N15" s="89"/>
      <c r="O15" s="90"/>
      <c r="R15" s="43" t="s">
        <v>77</v>
      </c>
      <c r="S15" s="44"/>
      <c r="T15" s="44" t="s">
        <v>74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43915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600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78</v>
      </c>
      <c r="S16" s="44"/>
      <c r="T16" s="44" t="s">
        <v>75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43922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1028.5714285714284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43929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1457.1428571428569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43936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1885.7142857142853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43943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2314.2857142857138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43950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2742.8571428571422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43957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2999.9999999999991</v>
      </c>
      <c r="AF21" s="58">
        <f>IF(AD21="",NA(),SUM($AD$14:AD21))</f>
        <v>2300</v>
      </c>
      <c r="AG21" s="58">
        <f ca="1">WeeklyPlanned(Output_Template[[#Headers],[WP_A1]], Output_Template[[#This Row],[Date]])</f>
        <v>257.14285714285711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43964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2999.9999999999991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43971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3163.6363636363626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163.63636363636363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43978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3381.8181818181806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43985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3654.5454545454531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43992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3927.2727272727261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43999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4199.9999999999991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44006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4472.7272727272721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44013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4745.454545454545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44020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5018.181818181818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44027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5290.909090909091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44034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5826.7942583732056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263.15789473684208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44041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6362.6794258373202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44048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6789.4736842105258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163.63636363636363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44055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7052.6315789473683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44062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7315.78947368421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44069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7578.9473684210516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44076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7842.1052631578932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44083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8105.2631578947348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44090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8368.4210526315765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44097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8631.5789473684181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44104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8894.7368421052597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44111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105.26315789473684</v>
      </c>
      <c r="AL43" s="58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126" priority="10">
      <formula>ISERROR(AF14)</formula>
    </cfRule>
  </conditionalFormatting>
  <conditionalFormatting sqref="W13:X13">
    <cfRule type="expression" dxfId="125" priority="8">
      <formula>IF(OR($S$8 = "Assemble Addin", $S$8 = "Bluebeam QL"), TRUE, FALSE)</formula>
    </cfRule>
  </conditionalFormatting>
  <conditionalFormatting sqref="N6:O6">
    <cfRule type="expression" dxfId="124" priority="7">
      <formula>IF($N$6=$O$6, FALSE, TRUE)</formula>
    </cfRule>
  </conditionalFormatting>
  <conditionalFormatting sqref="W14:X16">
    <cfRule type="expression" dxfId="123" priority="5">
      <formula>IF(OR($S$8 = "Assemble Addin", $S$8 = "Bluebeam QL"), TRUE, FALSE)</formula>
    </cfRule>
    <cfRule type="expression" dxfId="122" priority="6">
      <formula>IF(OR($S$8 = "Assemble Addin", $S$8 = "Bluebeam QL"), MOD(ROW(), 2)=0, FALSE)</formula>
    </cfRule>
  </conditionalFormatting>
  <conditionalFormatting sqref="R13">
    <cfRule type="expression" dxfId="121" priority="2">
      <formula>IF($S$8 = "Assemble Addin", TRUE, FALSE)</formula>
    </cfRule>
  </conditionalFormatting>
  <conditionalFormatting sqref="R14:R16">
    <cfRule type="expression" dxfId="120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1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100" t="str">
        <f>UPPER("Structural Steel 07/01/2020")</f>
        <v>STRUCTURAL STEEL 07/01/2020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</row>
    <row r="2" spans="1:14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4" spans="1:14" x14ac:dyDescent="0.35">
      <c r="A34" s="101" t="s">
        <v>117</v>
      </c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3" t="s">
        <v>5</v>
      </c>
      <c r="F1" s="103"/>
      <c r="H1" s="2" t="s">
        <v>9</v>
      </c>
      <c r="J1" t="s">
        <v>146</v>
      </c>
      <c r="L1" s="5" t="s">
        <v>12</v>
      </c>
      <c r="M1" s="5" t="s">
        <v>15</v>
      </c>
      <c r="AB1" t="s">
        <v>118</v>
      </c>
      <c r="AC1" t="s">
        <v>119</v>
      </c>
    </row>
    <row r="2" spans="2:29" ht="15.5" x14ac:dyDescent="0.35">
      <c r="B2" s="104" t="s">
        <v>6</v>
      </c>
      <c r="C2" s="104"/>
      <c r="E2" t="s">
        <v>0</v>
      </c>
      <c r="F2" t="s">
        <v>7</v>
      </c>
      <c r="H2" t="s">
        <v>3</v>
      </c>
      <c r="J2" t="s">
        <v>136</v>
      </c>
    </row>
    <row r="3" spans="2:29" x14ac:dyDescent="0.35">
      <c r="B3" s="3" t="s">
        <v>10</v>
      </c>
      <c r="C3" s="4" t="s">
        <v>156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153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154</v>
      </c>
      <c r="H7" s="1"/>
      <c r="J7" t="s">
        <v>30</v>
      </c>
    </row>
    <row r="8" spans="2:29" x14ac:dyDescent="0.35">
      <c r="B8" t="s">
        <v>19</v>
      </c>
      <c r="C8" s="4" t="s">
        <v>147</v>
      </c>
      <c r="H8" s="1"/>
      <c r="J8" t="s">
        <v>128</v>
      </c>
    </row>
    <row r="9" spans="2:29" x14ac:dyDescent="0.35">
      <c r="B9" t="s">
        <v>20</v>
      </c>
      <c r="C9" s="4" t="s">
        <v>149</v>
      </c>
      <c r="H9" s="1"/>
      <c r="J9" t="s">
        <v>129</v>
      </c>
    </row>
    <row r="10" spans="2:29" x14ac:dyDescent="0.35">
      <c r="B10" t="s">
        <v>21</v>
      </c>
      <c r="C10" s="4" t="s">
        <v>148</v>
      </c>
      <c r="H10" s="1"/>
      <c r="J10" t="s">
        <v>130</v>
      </c>
    </row>
    <row r="11" spans="2:29" x14ac:dyDescent="0.35">
      <c r="B11" t="s">
        <v>88</v>
      </c>
      <c r="C11" s="4" t="s">
        <v>90</v>
      </c>
      <c r="H11" s="1"/>
      <c r="J11" t="s">
        <v>131</v>
      </c>
    </row>
    <row r="12" spans="2:29" x14ac:dyDescent="0.35">
      <c r="H12" s="1"/>
      <c r="J12" t="s">
        <v>132</v>
      </c>
    </row>
    <row r="13" spans="2:29" x14ac:dyDescent="0.35">
      <c r="H13" s="1"/>
      <c r="J13" t="s">
        <v>133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691"/>
  <sheetViews>
    <sheetView zoomScale="115" zoomScaleNormal="115" workbookViewId="0">
      <selection activeCell="D47" sqref="D4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106" t="str">
        <f>"PROGRESS REPORT "&amp; TEXT(Report_Date, "mm/dd/yyy")</f>
        <v>PROGRESS REPORT 07/01/2020</v>
      </c>
      <c r="C2" s="106"/>
      <c r="D2" s="106"/>
      <c r="E2" s="106"/>
    </row>
    <row r="3" spans="2:11" ht="8.25" customHeight="1" x14ac:dyDescent="0.35"/>
    <row r="4" spans="2:11" ht="17.5" x14ac:dyDescent="0.35">
      <c r="B4" s="7" t="str">
        <f>Project_Number &amp; " - " &amp; Project_Name</f>
        <v>S590 - St. George Temple Major Renovation 2019</v>
      </c>
    </row>
    <row r="5" spans="2:11" ht="6" customHeight="1" x14ac:dyDescent="0.35"/>
    <row r="6" spans="2:11" x14ac:dyDescent="0.35">
      <c r="B6" s="8" t="str">
        <f>"Project Manager(s): " &amp; Project_Manager</f>
        <v>Project Manager(s): Ryan Thomas</v>
      </c>
      <c r="G6" s="20" t="s">
        <v>16</v>
      </c>
      <c r="H6" s="14">
        <v>44013</v>
      </c>
    </row>
    <row r="7" spans="2:11" x14ac:dyDescent="0.35">
      <c r="B7" s="8" t="str">
        <f>"Project Engineer(s): " &amp; Project_Engineer</f>
        <v>Project Engineer(s): Camron Walker (North Add &amp; Site) &amp; David Adams (Historic)</v>
      </c>
      <c r="G7" s="20" t="s">
        <v>31</v>
      </c>
      <c r="H7" s="15" t="s">
        <v>18</v>
      </c>
    </row>
    <row r="8" spans="2:11" x14ac:dyDescent="0.35">
      <c r="B8" s="8" t="str">
        <f>"Superintendent(s):  " &amp; Superintendent</f>
        <v>Superintendent(s):  Jay W. (North Add), Dion G. (Historic), Jason F. (MEP) &amp; Zac G. (Site)</v>
      </c>
      <c r="G8" s="20" t="s">
        <v>32</v>
      </c>
      <c r="H8" s="16">
        <v>0.06</v>
      </c>
    </row>
    <row r="9" spans="2:11" ht="10" customHeight="1" x14ac:dyDescent="0.35"/>
    <row r="10" spans="2:11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21"/>
      <c r="G10" s="21" t="s">
        <v>36</v>
      </c>
      <c r="H10" s="18" t="s">
        <v>33</v>
      </c>
      <c r="I10" s="12" t="s">
        <v>35</v>
      </c>
      <c r="J10" s="12" t="s">
        <v>34</v>
      </c>
    </row>
    <row r="11" spans="2:11" ht="15" hidden="1" x14ac:dyDescent="0.35">
      <c r="B11" s="105" t="s">
        <v>26</v>
      </c>
      <c r="C11" s="105"/>
      <c r="D11" s="105"/>
      <c r="E11" s="105"/>
      <c r="F11" s="23"/>
      <c r="G11" s="23"/>
      <c r="H11" s="23"/>
      <c r="I11" s="23"/>
      <c r="J11" s="23"/>
      <c r="K11" t="s">
        <v>137</v>
      </c>
    </row>
    <row r="12" spans="2:11" hidden="1" x14ac:dyDescent="0.35">
      <c r="B12" s="13"/>
      <c r="G12" s="1"/>
      <c r="H12" s="17"/>
    </row>
    <row r="13" spans="2:11" ht="15" hidden="1" x14ac:dyDescent="0.35">
      <c r="B13" s="105" t="s">
        <v>27</v>
      </c>
      <c r="C13" s="105"/>
      <c r="D13" s="105"/>
      <c r="E13" s="105"/>
      <c r="F13" s="23"/>
      <c r="G13" s="23"/>
      <c r="H13" s="23"/>
      <c r="I13" s="23"/>
      <c r="J13" s="23"/>
      <c r="K13" t="s">
        <v>137</v>
      </c>
    </row>
    <row r="14" spans="2:11" hidden="1" x14ac:dyDescent="0.35">
      <c r="B14" s="9"/>
      <c r="C14" s="75"/>
      <c r="G14" s="22"/>
      <c r="H14" s="17"/>
    </row>
    <row r="15" spans="2:11" ht="15" x14ac:dyDescent="0.35">
      <c r="B15" s="105" t="s">
        <v>28</v>
      </c>
      <c r="C15" s="105"/>
      <c r="D15" s="105"/>
      <c r="E15" s="105"/>
      <c r="F15" s="23"/>
      <c r="G15" s="23"/>
      <c r="H15" s="23"/>
      <c r="I15" s="23"/>
      <c r="J15" s="23"/>
      <c r="K15" t="s">
        <v>137</v>
      </c>
    </row>
    <row r="16" spans="2:11" x14ac:dyDescent="0.35">
      <c r="B16" s="9" t="s">
        <v>152</v>
      </c>
      <c r="C16" s="77" t="s">
        <v>150</v>
      </c>
      <c r="D16" s="10">
        <f ca="1">'0501'!N5</f>
        <v>0</v>
      </c>
      <c r="E16" s="10">
        <f ca="1">'0501'!O5</f>
        <v>0.10714285714285712</v>
      </c>
      <c r="G16" s="22"/>
      <c r="H16" s="17" t="s">
        <v>151</v>
      </c>
    </row>
    <row r="17" spans="2:11" x14ac:dyDescent="0.35">
      <c r="B17" s="9"/>
      <c r="C17" s="75"/>
      <c r="G17" s="22"/>
      <c r="H17" s="17"/>
    </row>
    <row r="18" spans="2:11" ht="15" hidden="1" x14ac:dyDescent="0.35">
      <c r="B18" s="105" t="s">
        <v>29</v>
      </c>
      <c r="C18" s="105"/>
      <c r="D18" s="105"/>
      <c r="E18" s="105"/>
      <c r="F18" s="23"/>
      <c r="G18" s="23"/>
      <c r="H18" s="23"/>
      <c r="I18" s="23"/>
      <c r="J18" s="23"/>
      <c r="K18" t="s">
        <v>137</v>
      </c>
    </row>
    <row r="19" spans="2:11" hidden="1" x14ac:dyDescent="0.35">
      <c r="B19" s="9"/>
      <c r="C19" s="75"/>
      <c r="G19" s="22"/>
      <c r="H19" s="17"/>
    </row>
    <row r="20" spans="2:11" ht="15" hidden="1" x14ac:dyDescent="0.35">
      <c r="B20" s="105" t="s">
        <v>30</v>
      </c>
      <c r="C20" s="105"/>
      <c r="D20" s="105"/>
      <c r="E20" s="105"/>
      <c r="F20" s="23"/>
      <c r="G20" s="23"/>
      <c r="H20" s="23"/>
      <c r="I20" s="23"/>
      <c r="J20" s="23"/>
      <c r="K20" t="s">
        <v>137</v>
      </c>
    </row>
    <row r="21" spans="2:11" hidden="1" x14ac:dyDescent="0.35">
      <c r="B21" s="9"/>
      <c r="C21" s="75"/>
      <c r="G21" s="22"/>
      <c r="H21" s="17"/>
    </row>
    <row r="22" spans="2:11" ht="15" hidden="1" x14ac:dyDescent="0.35">
      <c r="B22" s="105" t="s">
        <v>128</v>
      </c>
      <c r="C22" s="105"/>
      <c r="D22" s="105"/>
      <c r="E22" s="105"/>
      <c r="F22" s="23"/>
      <c r="G22" s="23"/>
      <c r="H22" s="23"/>
      <c r="I22" s="23"/>
      <c r="J22" s="23"/>
      <c r="K22" t="s">
        <v>137</v>
      </c>
    </row>
    <row r="23" spans="2:11" hidden="1" x14ac:dyDescent="0.35">
      <c r="B23" s="9"/>
      <c r="C23" s="75"/>
      <c r="G23" s="22"/>
      <c r="H23" s="17"/>
    </row>
    <row r="24" spans="2:11" ht="15" hidden="1" x14ac:dyDescent="0.35">
      <c r="B24" s="105" t="s">
        <v>129</v>
      </c>
      <c r="C24" s="105"/>
      <c r="D24" s="105"/>
      <c r="E24" s="105"/>
      <c r="F24" s="23"/>
      <c r="G24" s="23"/>
      <c r="H24" s="23"/>
      <c r="I24" s="23"/>
      <c r="J24" s="23"/>
      <c r="K24" t="s">
        <v>137</v>
      </c>
    </row>
    <row r="25" spans="2:11" hidden="1" x14ac:dyDescent="0.35">
      <c r="B25" s="9"/>
      <c r="C25" s="75"/>
      <c r="G25" s="22"/>
      <c r="H25" s="17"/>
    </row>
    <row r="26" spans="2:11" ht="15" hidden="1" x14ac:dyDescent="0.35">
      <c r="B26" s="105" t="s">
        <v>130</v>
      </c>
      <c r="C26" s="105"/>
      <c r="D26" s="105"/>
      <c r="E26" s="105"/>
      <c r="F26" s="23"/>
      <c r="G26" s="23"/>
      <c r="H26" s="23"/>
      <c r="I26" s="23"/>
      <c r="J26" s="23"/>
      <c r="K26" t="s">
        <v>137</v>
      </c>
    </row>
    <row r="27" spans="2:11" hidden="1" x14ac:dyDescent="0.35">
      <c r="B27" s="9"/>
      <c r="C27" s="75"/>
      <c r="G27" s="22"/>
      <c r="H27" s="17"/>
    </row>
    <row r="28" spans="2:11" ht="15" hidden="1" x14ac:dyDescent="0.35">
      <c r="B28" s="105" t="s">
        <v>131</v>
      </c>
      <c r="C28" s="105"/>
      <c r="D28" s="105"/>
      <c r="E28" s="105"/>
      <c r="F28" s="23"/>
      <c r="G28" s="23"/>
      <c r="H28" s="23"/>
      <c r="I28" s="23"/>
      <c r="J28" s="23"/>
      <c r="K28" t="s">
        <v>137</v>
      </c>
    </row>
    <row r="29" spans="2:11" hidden="1" x14ac:dyDescent="0.35">
      <c r="B29" s="9"/>
      <c r="C29" s="75"/>
      <c r="G29" s="22"/>
      <c r="H29" s="17"/>
    </row>
    <row r="30" spans="2:11" ht="15" hidden="1" x14ac:dyDescent="0.35">
      <c r="B30" s="105" t="s">
        <v>132</v>
      </c>
      <c r="C30" s="105"/>
      <c r="D30" s="105"/>
      <c r="E30" s="105"/>
      <c r="F30" s="23"/>
      <c r="G30" s="23"/>
      <c r="H30" s="23"/>
      <c r="I30" s="23"/>
      <c r="J30" s="23"/>
      <c r="K30" t="s">
        <v>137</v>
      </c>
    </row>
    <row r="31" spans="2:11" hidden="1" x14ac:dyDescent="0.35">
      <c r="B31" s="9"/>
      <c r="C31" s="75"/>
      <c r="G31" s="22"/>
      <c r="H31" s="17"/>
    </row>
    <row r="32" spans="2:11" ht="15" x14ac:dyDescent="0.35">
      <c r="B32" s="105" t="s">
        <v>133</v>
      </c>
      <c r="C32" s="105"/>
      <c r="D32" s="105"/>
      <c r="E32" s="105"/>
      <c r="F32" s="23"/>
      <c r="G32" s="23"/>
      <c r="H32" s="23"/>
      <c r="I32" s="23"/>
      <c r="J32" s="23"/>
      <c r="K32" t="s">
        <v>137</v>
      </c>
    </row>
    <row r="33" spans="2:8" x14ac:dyDescent="0.35">
      <c r="B33" s="9" t="s">
        <v>155</v>
      </c>
      <c r="C33" s="75" t="s">
        <v>134</v>
      </c>
      <c r="G33" s="22"/>
      <c r="H33" s="17" t="s">
        <v>135</v>
      </c>
    </row>
    <row r="34" spans="2:8" x14ac:dyDescent="0.35">
      <c r="B34" s="75"/>
      <c r="C34" s="75"/>
      <c r="G34" s="1"/>
      <c r="H34" s="17"/>
    </row>
    <row r="35" spans="2:8" x14ac:dyDescent="0.35">
      <c r="G35" s="1"/>
      <c r="H35" s="17"/>
    </row>
    <row r="36" spans="2:8" x14ac:dyDescent="0.35">
      <c r="G36" s="1"/>
      <c r="H36" s="17"/>
    </row>
    <row r="37" spans="2:8" x14ac:dyDescent="0.35">
      <c r="G37" s="1"/>
      <c r="H37" s="17"/>
    </row>
    <row r="38" spans="2:8" x14ac:dyDescent="0.35">
      <c r="G38" s="1"/>
      <c r="H38" s="17"/>
    </row>
    <row r="39" spans="2:8" x14ac:dyDescent="0.35">
      <c r="G39" s="1"/>
      <c r="H39" s="17"/>
    </row>
    <row r="40" spans="2:8" x14ac:dyDescent="0.35">
      <c r="G40" s="1"/>
      <c r="H40" s="17"/>
    </row>
    <row r="41" spans="2:8" x14ac:dyDescent="0.35">
      <c r="G41" s="1"/>
      <c r="H41" s="17"/>
    </row>
    <row r="42" spans="2:8" x14ac:dyDescent="0.35">
      <c r="G42" s="1"/>
      <c r="H42" s="17"/>
    </row>
    <row r="43" spans="2:8" x14ac:dyDescent="0.35">
      <c r="G43" s="1"/>
      <c r="H43" s="17"/>
    </row>
    <row r="44" spans="2:8" x14ac:dyDescent="0.35">
      <c r="G44" s="1"/>
      <c r="H44" s="17"/>
    </row>
    <row r="45" spans="2:8" x14ac:dyDescent="0.35">
      <c r="G45" s="1"/>
      <c r="H45" s="17"/>
    </row>
    <row r="46" spans="2:8" x14ac:dyDescent="0.35">
      <c r="G46" s="1"/>
      <c r="H46" s="17"/>
    </row>
    <row r="47" spans="2:8" x14ac:dyDescent="0.35">
      <c r="G47" s="1"/>
      <c r="H47" s="17"/>
    </row>
    <row r="48" spans="2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97" priority="53">
      <formula>IF(ISBLANK($D12), FALSE, IF(RedGreen_Formatting = "Enabled", $D12 &lt;= $E12 + Percent_Error, FALSE))</formula>
    </cfRule>
    <cfRule type="expression" dxfId="96" priority="54">
      <formula>IF(ISBLANK($D12), FALSE, IF(RedGreen_Formatting = "Enabled", $D12 &gt; $E12 + Percent_Error, FALSE))</formula>
    </cfRule>
  </conditionalFormatting>
  <conditionalFormatting sqref="E22">
    <cfRule type="expression" dxfId="95" priority="51">
      <formula>IF(ISBLANK($D22), FALSE, IF(RedGreen_Formatting = "Enabled", $D22 &lt;= $E22 + Percent_Error, FALSE))</formula>
    </cfRule>
    <cfRule type="expression" dxfId="94" priority="52">
      <formula>IF(ISBLANK($D22), FALSE, IF(RedGreen_Formatting = "Enabled", $D22 &gt; $E22 + Percent_Error, FALSE))</formula>
    </cfRule>
  </conditionalFormatting>
  <conditionalFormatting sqref="E24">
    <cfRule type="expression" dxfId="93" priority="49">
      <formula>IF(ISBLANK($D24), FALSE, IF(RedGreen_Formatting = "Enabled", $D24 &lt;= $E24 + Percent_Error, FALSE))</formula>
    </cfRule>
    <cfRule type="expression" dxfId="92" priority="50">
      <formula>IF(ISBLANK($D24), FALSE, IF(RedGreen_Formatting = "Enabled", $D24 &gt; $E24 + Percent_Error, FALSE))</formula>
    </cfRule>
  </conditionalFormatting>
  <conditionalFormatting sqref="E26">
    <cfRule type="expression" dxfId="91" priority="47">
      <formula>IF(ISBLANK($D26), FALSE, IF(RedGreen_Formatting = "Enabled", $D26 &lt;= $E26 + Percent_Error, FALSE))</formula>
    </cfRule>
    <cfRule type="expression" dxfId="90" priority="48">
      <formula>IF(ISBLANK($D26), FALSE, IF(RedGreen_Formatting = "Enabled", $D26 &gt; $E26 + Percent_Error, FALSE))</formula>
    </cfRule>
  </conditionalFormatting>
  <conditionalFormatting sqref="E28">
    <cfRule type="expression" dxfId="89" priority="45">
      <formula>IF(ISBLANK($D28), FALSE, IF(RedGreen_Formatting = "Enabled", $D28 &lt;= $E28 + Percent_Error, FALSE))</formula>
    </cfRule>
    <cfRule type="expression" dxfId="88" priority="46">
      <formula>IF(ISBLANK($D28), FALSE, IF(RedGreen_Formatting = "Enabled", $D28 &gt; $E28 + Percent_Error, FALSE))</formula>
    </cfRule>
  </conditionalFormatting>
  <conditionalFormatting sqref="E30">
    <cfRule type="expression" dxfId="87" priority="43">
      <formula>IF(ISBLANK($D30), FALSE, IF(RedGreen_Formatting = "Enabled", $D30 &lt;= $E30 + Percent_Error, FALSE))</formula>
    </cfRule>
    <cfRule type="expression" dxfId="86" priority="44">
      <formula>IF(ISBLANK($D30), FALSE, IF(RedGreen_Formatting = "Enabled", $D30 &gt; $E30 + Percent_Error, FALSE))</formula>
    </cfRule>
  </conditionalFormatting>
  <conditionalFormatting sqref="E32">
    <cfRule type="expression" dxfId="85" priority="41">
      <formula>IF(ISBLANK($D32), FALSE, IF(RedGreen_Formatting = "Enabled", $D32 &lt;= $E32 + Percent_Error, FALSE))</formula>
    </cfRule>
    <cfRule type="expression" dxfId="84" priority="42">
      <formula>IF(ISBLANK($D32), FALSE, IF(RedGreen_Formatting = "Enabled", $D32 &gt; $E32 + Percent_Error, FALSE))</formula>
    </cfRule>
  </conditionalFormatting>
  <conditionalFormatting sqref="E34">
    <cfRule type="expression" dxfId="83" priority="23">
      <formula>IF(ISBLANK($D34), FALSE, IF(RedGreen_Formatting = "Enabled", $D34 &lt;= $E34 + Percent_Error, FALSE))</formula>
    </cfRule>
    <cfRule type="expression" dxfId="82" priority="24">
      <formula>IF(ISBLANK($D34), FALSE, IF(RedGreen_Formatting = "Enabled", $D34 &gt; $E34 + Percent_Error, FALSE))</formula>
    </cfRule>
  </conditionalFormatting>
  <conditionalFormatting sqref="E33">
    <cfRule type="expression" dxfId="81" priority="3">
      <formula>IF(ISBLANK($D33), FALSE, IF(RedGreen_Formatting = "Enabled", $D33 &lt;= $E33 + Percent_Error, FALSE))</formula>
    </cfRule>
    <cfRule type="expression" dxfId="80" priority="4">
      <formula>IF(ISBLANK($D33), FALSE, IF(RedGreen_Formatting = "Enabled", $D33 &gt; $E33 + Percent_Error, FALSE))</formula>
    </cfRule>
  </conditionalFormatting>
  <conditionalFormatting sqref="E16">
    <cfRule type="expression" dxfId="79" priority="1">
      <formula>IF(ISBLANK($D16), FALSE, IF(RedGreen_Formatting = "Enabled", $D16 &lt;= $E16 + Percent_Error, FALSE))</formula>
    </cfRule>
    <cfRule type="expression" dxfId="78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topLeftCell="F1" zoomScale="85" zoomScaleNormal="85" workbookViewId="0">
      <selection activeCell="W54" sqref="W5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9" t="s">
        <v>81</v>
      </c>
      <c r="AB1" s="80"/>
    </row>
    <row r="2" spans="2:4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24" t="s">
        <v>48</v>
      </c>
      <c r="S2" s="25" t="str">
        <f ca="1">MID(CELL("filename",B1),FIND("]",CELL("filename",B1))+1,LEN(CELL("filename",B1))-FIND("]",CELL("filename",B1)))</f>
        <v>0000</v>
      </c>
      <c r="T2" s="24" t="s">
        <v>59</v>
      </c>
      <c r="U2" s="34" t="b">
        <v>1</v>
      </c>
      <c r="AA2" s="60"/>
      <c r="AB2" s="61"/>
    </row>
    <row r="3" spans="2:4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24" t="s">
        <v>16</v>
      </c>
      <c r="S3" s="27">
        <f>Report_Date</f>
        <v>44013</v>
      </c>
      <c r="T3" s="24" t="s">
        <v>60</v>
      </c>
      <c r="U3" s="34" t="b">
        <v>1</v>
      </c>
      <c r="AA3" s="60"/>
      <c r="AB3" s="61"/>
    </row>
    <row r="4" spans="2:49" ht="15" x14ac:dyDescent="0.3">
      <c r="B4" s="28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9" t="s">
        <v>39</v>
      </c>
      <c r="O4" s="30" t="s">
        <v>40</v>
      </c>
      <c r="R4" s="24" t="s">
        <v>49</v>
      </c>
      <c r="S4" s="27">
        <f>MIN(Input_0000[Start Date])+(7-WEEKDAY(MIN(Input_0000[Start Date]),2)+_xlfn.SWITCH(Reporting_Day, "Sunday", 7, "Monday", 1, "Tuesday", 2, "Wednesday", 3, "Thursday", 4, "Friday", 5, "Saturday", 6))</f>
        <v>44048</v>
      </c>
      <c r="T4" s="24" t="s">
        <v>61</v>
      </c>
      <c r="U4" s="34" t="b">
        <v>1</v>
      </c>
      <c r="AA4" s="60"/>
      <c r="AB4" s="61"/>
    </row>
    <row r="5" spans="2:49" ht="15" x14ac:dyDescent="0.3">
      <c r="B5" s="28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MAX(Input_0000[Finish Date])+(7-WEEKDAY(MAX(Input_0000[Finish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98" t="e">
        <f>Main!#REF!</f>
        <v>#REF!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(Count)</v>
      </c>
      <c r="K6" s="91"/>
      <c r="L6" s="91"/>
      <c r="M6" s="91"/>
      <c r="N6" s="35">
        <f ca="1">SUM(INDIRECT("Input_"&amp;$S$2&amp;"[Total]"))</f>
        <v>1068</v>
      </c>
      <c r="O6" s="36">
        <f ca="1">SUM(INDIRECT("Output_"&amp;$S$2&amp;"[Weekly Plan]"))</f>
        <v>1053.1999999999998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  <c r="AD6" s="45"/>
    </row>
    <row r="7" spans="2:49" ht="15.5" thickBot="1" x14ac:dyDescent="0.35">
      <c r="B7" s="28" t="s">
        <v>44</v>
      </c>
      <c r="C7" s="98" t="e">
        <f>RIGHT(Main!#REF!, LEN(Main!#REF!) - 4)</f>
        <v>#REF!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(Count)</v>
      </c>
      <c r="K7" s="91"/>
      <c r="L7" s="91"/>
      <c r="M7" s="91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91" t="str">
        <f>_xlfn.CONCAT("This Week's Production (", IF(ISBLANK($S$6),"",$S$6), ")")</f>
        <v>This Week's Production (Count)</v>
      </c>
      <c r="K8" s="91"/>
      <c r="L8" s="91"/>
      <c r="M8" s="91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91" t="str">
        <f>_xlfn.CONCAT("Weekly Average (", IF(ISBLANK($S$6),"",$S$6), ")")</f>
        <v>Weekly Average (Count)</v>
      </c>
      <c r="K9" s="91"/>
      <c r="L9" s="91"/>
      <c r="M9" s="91"/>
      <c r="N9" s="39">
        <f ca="1">AVERAGE(INDIRECT("Output_"&amp;$S$2&amp;"[Weekly Plan]"))</f>
        <v>45.791304347826078</v>
      </c>
      <c r="O9" s="40" t="e">
        <f ca="1">AVERAGE(INDIRECT("AD14:AD" &amp;MATCH($S$3,INDIRECT("Output_"&amp;$S$2&amp;"[Date]"),0)+13))</f>
        <v>#N/A</v>
      </c>
      <c r="T9" s="24" t="s">
        <v>115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91" t="str">
        <f>_xlfn.CONCAT("Average Past 4 Weeks (", IF(ISBLANK($S$6),"",$S$6), ")")</f>
        <v>Average Past 4 Weeks (Count)</v>
      </c>
      <c r="K10" s="91"/>
      <c r="L10" s="91"/>
      <c r="M10" s="91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91" t="str">
        <f>_xlfn.CONCAT("On Schedule Average (", IF(ISBLANK($S$6),"",$S$6), ")")</f>
        <v>On Schedule Average (Count)</v>
      </c>
      <c r="K11" s="91"/>
      <c r="L11" s="91"/>
      <c r="M11" s="91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81" t="s">
        <v>46</v>
      </c>
      <c r="K13" s="81"/>
      <c r="L13" s="81"/>
      <c r="M13" s="81"/>
      <c r="N13" s="82"/>
      <c r="O13" s="84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44048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9"/>
      <c r="M15" s="89"/>
      <c r="N15" s="89"/>
      <c r="O15" s="90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44055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133.19999999999999</v>
      </c>
      <c r="AF15" s="58" t="e">
        <f>IF(AD15="",NA(),SUM($AD$14:AD15))</f>
        <v>#N/A</v>
      </c>
      <c r="AG15" s="58">
        <f ca="1">WeeklyPlanned(Output_0000[[#Headers],[WP_ABC]], Output_0000[[#This Row],[Date]])</f>
        <v>59.2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44062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133.19999999999999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141</v>
      </c>
      <c r="T17" s="66" t="s">
        <v>96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44069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133.19999999999999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145</v>
      </c>
      <c r="T18" s="66" t="s">
        <v>97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44076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133.19999999999999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144</v>
      </c>
      <c r="T19" s="66" t="s">
        <v>98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44083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133.19999999999999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143</v>
      </c>
      <c r="T20" s="66" t="s">
        <v>99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44090</v>
      </c>
      <c r="AB20" s="56" t="str">
        <f t="shared" ca="1" si="1"/>
        <v>HBCeil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135.61666666666665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>
        <f ca="1">WeeklyPlanned(Output_0000[[#Headers],[WP_HBCeil]], Output_0000[[#This Row],[Date]])</f>
        <v>2.4166666666666665</v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142</v>
      </c>
      <c r="T21" s="66" t="s">
        <v>100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44097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147.69999999999999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44104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159.78333333333333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44111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276.46666666666664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81.599999999999994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32.666666666666664</v>
      </c>
      <c r="AT23" s="58"/>
      <c r="AU23" s="58">
        <f ca="1">WeeklyPlanned(Output_0000[[#Headers],[WP_HBCeil]], Output_0000[[#This Row],[Date]])</f>
        <v>2.4166666666666665</v>
      </c>
      <c r="AV23" s="58"/>
    </row>
    <row r="24" spans="2:48" ht="15.5" x14ac:dyDescent="0.35">
      <c r="B24" s="37"/>
      <c r="C24" s="59" t="s">
        <v>47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44118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384.83945578231288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20.399999999999999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6.3061224489795915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44125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477.01632653061222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44132</v>
      </c>
      <c r="AB26" s="56" t="str">
        <f t="shared" ca="1" si="1"/>
        <v>HBase, 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553.02653061224487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>
        <f ca="1">WeeklyPlanned(Output_0000[[#Headers],[WP_HBase]], Output_0000[[#This Row],[Date]])</f>
        <v>16.5</v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49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44139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757.63673469387754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111.6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44146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940.64693877551019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33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44153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979.05714285714282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27.9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44160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989.56734693877547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44167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1000.0775510204081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44174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1010.5877551020408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44181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1021.0979591836734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44188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1036.5333333333333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2.1020408163265305</v>
      </c>
      <c r="AP34" s="58"/>
      <c r="AQ34" s="58">
        <f ca="1">WeeklyPlanned(Output_0000[[#Headers],[WP_HWSR]], Output_0000[[#This Row],[Date]])</f>
        <v>13.333333333333334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44195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1049.8666666666666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44202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1053.1999999999998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3.3333333333333335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77" priority="7">
      <formula>ISERROR(AF14)</formula>
    </cfRule>
  </conditionalFormatting>
  <conditionalFormatting sqref="W13:X13">
    <cfRule type="expression" dxfId="76" priority="6">
      <formula>IF(OR($S$8 = "Assemble Addin", $S$8 = "Bluebeam QL"), TRUE, FALSE)</formula>
    </cfRule>
  </conditionalFormatting>
  <conditionalFormatting sqref="N6:O6">
    <cfRule type="expression" dxfId="75" priority="5">
      <formula>IF($N$6=$O$6, FALSE, TRUE)</formula>
    </cfRule>
  </conditionalFormatting>
  <conditionalFormatting sqref="W14:X21">
    <cfRule type="expression" dxfId="74" priority="3">
      <formula>IF(OR($S$8 = "Assemble Addin", $S$8 = "Bluebeam QL"), TRUE, FALSE)</formula>
    </cfRule>
    <cfRule type="expression" dxfId="73" priority="4">
      <formula>IF(OR($S$8 = "Assemble Addin", $S$8 = "Bluebeam QL"), MOD(ROW(), 2)=0, FALSE)</formula>
    </cfRule>
  </conditionalFormatting>
  <conditionalFormatting sqref="R13">
    <cfRule type="expression" dxfId="72" priority="2">
      <formula>IF($S$8 = "Assemble Addin", TRUE, FALSE)</formula>
    </cfRule>
  </conditionalFormatting>
  <conditionalFormatting sqref="R14:R21">
    <cfRule type="expression" dxfId="71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tabSelected="1" zoomScale="85" zoomScaleNormal="85" workbookViewId="0">
      <selection activeCell="T36" sqref="T36"/>
    </sheetView>
  </sheetViews>
  <sheetFormatPr defaultColWidth="8.7265625" defaultRowHeight="14" x14ac:dyDescent="0.3"/>
  <cols>
    <col min="1" max="1" width="2.54296875" style="77" customWidth="1"/>
    <col min="2" max="2" width="18.26953125" style="77" customWidth="1"/>
    <col min="3" max="3" width="9.1796875" style="77" customWidth="1"/>
    <col min="4" max="8" width="8.7265625" style="77"/>
    <col min="9" max="9" width="14.54296875" style="77" customWidth="1"/>
    <col min="10" max="10" width="9.1796875" style="77" customWidth="1"/>
    <col min="11" max="11" width="8.7265625" style="77"/>
    <col min="12" max="12" width="9.453125" style="77" customWidth="1"/>
    <col min="13" max="13" width="12.08984375" style="77" customWidth="1"/>
    <col min="14" max="15" width="10.54296875" style="77" customWidth="1"/>
    <col min="16" max="17" width="2.54296875" style="77" customWidth="1"/>
    <col min="18" max="18" width="18.453125" style="24" customWidth="1"/>
    <col min="19" max="19" width="24.7265625" style="77" customWidth="1"/>
    <col min="20" max="20" width="22.08984375" style="77" bestFit="1" customWidth="1"/>
    <col min="21" max="21" width="15.54296875" style="77" bestFit="1" customWidth="1"/>
    <col min="22" max="22" width="14.54296875" style="77" customWidth="1"/>
    <col min="23" max="24" width="17.26953125" style="77" customWidth="1"/>
    <col min="25" max="26" width="2.54296875" style="77" customWidth="1"/>
    <col min="27" max="27" width="14.81640625" style="77" customWidth="1"/>
    <col min="28" max="28" width="16.54296875" style="57" customWidth="1"/>
    <col min="29" max="29" width="16" style="77" customWidth="1"/>
    <col min="30" max="30" width="19.26953125" style="77" customWidth="1"/>
    <col min="31" max="31" width="20.26953125" style="77" customWidth="1"/>
    <col min="32" max="32" width="22.1796875" style="77" customWidth="1"/>
    <col min="33" max="16384" width="8.7265625" style="77"/>
  </cols>
  <sheetData>
    <row r="1" spans="2:49" ht="14.5" thickBot="1" x14ac:dyDescent="0.35">
      <c r="AA1" s="79" t="s">
        <v>81</v>
      </c>
      <c r="AB1" s="80"/>
    </row>
    <row r="2" spans="2:49" x14ac:dyDescent="0.3">
      <c r="B2" s="92" t="str">
        <f>_xlfn.CONCAT("PROGRESS REPORT ", TEXT(S3,"mm/dd/yyyy"))</f>
        <v>PROGRESS REPORT 07/01/2020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24" t="s">
        <v>48</v>
      </c>
      <c r="S2" s="25" t="str">
        <f ca="1">MID(CELL("filename",B1),FIND("]",CELL("filename",B1))+1,LEN(CELL("filename",B1))-FIND("]",CELL("filename",B1)))</f>
        <v>0501</v>
      </c>
      <c r="T2" s="24" t="s">
        <v>59</v>
      </c>
      <c r="U2" s="34" t="b">
        <v>1</v>
      </c>
      <c r="V2" s="10">
        <f ca="1">1-N5</f>
        <v>1</v>
      </c>
      <c r="AA2" s="60"/>
      <c r="AB2" s="61"/>
    </row>
    <row r="3" spans="2:4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10">
        <f ca="1">1-O5</f>
        <v>0.8928571428571429</v>
      </c>
      <c r="AA3" s="60"/>
      <c r="AB3" s="61"/>
      <c r="AC3" s="71">
        <v>44022.573796296296</v>
      </c>
      <c r="AE3" s="45"/>
      <c r="AF3" s="71"/>
    </row>
    <row r="4" spans="2:49" ht="15" x14ac:dyDescent="0.3">
      <c r="B4" s="28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9" t="s">
        <v>39</v>
      </c>
      <c r="O4" s="30" t="s">
        <v>40</v>
      </c>
      <c r="R4" s="24" t="s">
        <v>49</v>
      </c>
      <c r="S4" s="27">
        <v>43985</v>
      </c>
      <c r="T4" s="24" t="s">
        <v>61</v>
      </c>
      <c r="U4" s="34" t="b">
        <v>1</v>
      </c>
      <c r="AA4" s="60"/>
      <c r="AB4" s="61"/>
      <c r="AC4" s="71">
        <v>44022.575659722221</v>
      </c>
      <c r="AE4" s="45"/>
      <c r="AF4" s="71"/>
    </row>
    <row r="5" spans="2:49" ht="15" x14ac:dyDescent="0.3">
      <c r="B5" s="28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32">
        <f ca="1">IF(ISERROR(N7/N6), 0, N7/N6)</f>
        <v>0</v>
      </c>
      <c r="O5" s="33">
        <f ca="1">IF(ISERROR(O7/O6), 0, O7/O6)</f>
        <v>0.10714285714285712</v>
      </c>
      <c r="R5" s="24" t="s">
        <v>79</v>
      </c>
      <c r="S5" s="31">
        <f>MAX(Input_0501[Finish Date])+(7-WEEKDAY(MAX(Input_0501[Finish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98" t="str">
        <f>Main!C16</f>
        <v>Glassey Steel Works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(Count)</v>
      </c>
      <c r="K6" s="91"/>
      <c r="L6" s="91"/>
      <c r="M6" s="91"/>
      <c r="N6" s="35">
        <f ca="1">SUM(INDIRECT("Input_"&amp;$S$2&amp;"[Total]"))</f>
        <v>1344</v>
      </c>
      <c r="O6" s="36">
        <f ca="1">SUM(INDIRECT("Output_"&amp;$S$2&amp;"[Weekly Plan]"))</f>
        <v>1344.0000000000002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</row>
    <row r="7" spans="2:49" ht="15.5" thickBot="1" x14ac:dyDescent="0.35">
      <c r="B7" s="28" t="s">
        <v>44</v>
      </c>
      <c r="C7" s="98" t="str">
        <f>RIGHT(Main!B16, LEN(Main!B16) - 4)</f>
        <v>Structural Steel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(Count)</v>
      </c>
      <c r="K7" s="91"/>
      <c r="L7" s="91"/>
      <c r="M7" s="91"/>
      <c r="N7" s="35">
        <f ca="1">VLOOKUP($S$3, INDIRECT("Output_"&amp;$S$2), 5, FALSE)</f>
        <v>0</v>
      </c>
      <c r="O7" s="36">
        <f ca="1">_xlfn.IFNA(VLOOKUP($S$3, INDIRECT("Output_"&amp;$S$2), 6, FALSE), 0)</f>
        <v>144</v>
      </c>
      <c r="R7" s="24" t="s">
        <v>66</v>
      </c>
      <c r="S7" s="31">
        <v>43962</v>
      </c>
      <c r="T7" s="24" t="s">
        <v>64</v>
      </c>
      <c r="U7" s="34" t="b">
        <v>0</v>
      </c>
      <c r="AA7" s="62"/>
      <c r="AB7" s="63"/>
      <c r="AC7" s="77" t="str">
        <f>TEXT(AC4-AC3, "hh:mm:ss")</f>
        <v>00:02:41</v>
      </c>
    </row>
    <row r="8" spans="2:49" ht="15" x14ac:dyDescent="0.3">
      <c r="B8" s="37"/>
      <c r="C8" s="76"/>
      <c r="D8" s="76"/>
      <c r="E8" s="76"/>
      <c r="F8" s="76"/>
      <c r="G8" s="76"/>
      <c r="H8" s="76"/>
      <c r="I8" s="76"/>
      <c r="J8" s="91" t="str">
        <f>_xlfn.CONCAT("This Week's Production (", IF(ISBLANK($S$6),"",$S$6), ")")</f>
        <v>This Week's Production (Count)</v>
      </c>
      <c r="K8" s="91"/>
      <c r="L8" s="91"/>
      <c r="M8" s="91"/>
      <c r="N8" s="35">
        <f ca="1">VLOOKUP($S$3, INDIRECT("Output_"&amp;$S$2), 3, FALSE)</f>
        <v>0</v>
      </c>
      <c r="O8" s="36">
        <f ca="1">VLOOKUP($S$3, INDIRECT("Output_"&amp;$S$2), 4, FALSE)</f>
        <v>69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76"/>
      <c r="D9" s="76"/>
      <c r="E9" s="76"/>
      <c r="F9" s="76"/>
      <c r="G9" s="76"/>
      <c r="H9" s="76"/>
      <c r="I9" s="76"/>
      <c r="J9" s="91" t="str">
        <f>_xlfn.CONCAT("Weekly Average (", IF(ISBLANK($S$6),"",$S$6), ")")</f>
        <v>Weekly Average (Count)</v>
      </c>
      <c r="K9" s="91"/>
      <c r="L9" s="91"/>
      <c r="M9" s="91"/>
      <c r="N9" s="39">
        <f ca="1">AVERAGE(INDIRECT("Output_"&amp;$S$2&amp;"[Weekly Plan]"))</f>
        <v>42.000000000000007</v>
      </c>
      <c r="O9" s="40">
        <f ca="1">AVERAGE(INDIRECT("AD14:AD" &amp;MATCH($S$3,INDIRECT("Output_"&amp;$S$2&amp;"[Date]"),0)+14))</f>
        <v>28.8</v>
      </c>
      <c r="T9" s="24" t="s">
        <v>115</v>
      </c>
      <c r="U9" s="85" t="s">
        <v>117</v>
      </c>
      <c r="V9" s="85"/>
      <c r="W9" s="85"/>
      <c r="X9" s="85"/>
      <c r="AB9" s="74"/>
    </row>
    <row r="10" spans="2:49" ht="15" x14ac:dyDescent="0.3">
      <c r="B10" s="37"/>
      <c r="C10" s="76"/>
      <c r="D10" s="76"/>
      <c r="E10" s="76"/>
      <c r="F10" s="76"/>
      <c r="G10" s="76"/>
      <c r="H10" s="76"/>
      <c r="I10" s="76"/>
      <c r="J10" s="91" t="str">
        <f>_xlfn.CONCAT("Average Past 4 Weeks (", IF(ISBLANK($S$6),"",$S$6), ")")</f>
        <v>Average Past 4 Weeks (Count)</v>
      </c>
      <c r="K10" s="91"/>
      <c r="L10" s="91"/>
      <c r="M10" s="91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24" t="s">
        <v>116</v>
      </c>
      <c r="U10" s="86"/>
      <c r="V10" s="86"/>
      <c r="W10" s="86"/>
      <c r="X10" s="86"/>
      <c r="AB10" s="73"/>
      <c r="AC10" s="72"/>
      <c r="AD10" s="70"/>
    </row>
    <row r="11" spans="2:49" ht="15" x14ac:dyDescent="0.3">
      <c r="B11" s="37"/>
      <c r="C11" s="76"/>
      <c r="D11" s="76"/>
      <c r="E11" s="76"/>
      <c r="F11" s="76"/>
      <c r="G11" s="76"/>
      <c r="H11" s="76"/>
      <c r="I11" s="76"/>
      <c r="J11" s="91" t="str">
        <f>_xlfn.CONCAT("On Schedule Average (", IF(ISBLANK($S$6),"",$S$6), ")")</f>
        <v>On Schedule Average (Count)</v>
      </c>
      <c r="K11" s="91"/>
      <c r="L11" s="91"/>
      <c r="M11" s="91"/>
      <c r="N11" s="39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40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6"/>
      <c r="V11" s="86"/>
      <c r="W11" s="86"/>
      <c r="X11" s="86"/>
      <c r="AC11" s="70"/>
      <c r="AD11" s="70"/>
    </row>
    <row r="12" spans="2:49" ht="15" x14ac:dyDescent="0.3">
      <c r="B12" s="37"/>
      <c r="C12" s="76"/>
      <c r="D12" s="76"/>
      <c r="E12" s="76"/>
      <c r="F12" s="76"/>
      <c r="G12" s="76"/>
      <c r="H12" s="76"/>
      <c r="I12" s="76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7"/>
      <c r="C13" s="76"/>
      <c r="D13" s="76"/>
      <c r="E13" s="76"/>
      <c r="F13" s="76"/>
      <c r="G13" s="76"/>
      <c r="H13" s="76"/>
      <c r="I13" s="76"/>
      <c r="J13" s="81" t="s">
        <v>46</v>
      </c>
      <c r="K13" s="81"/>
      <c r="L13" s="81"/>
      <c r="M13" s="81"/>
      <c r="N13" s="82">
        <f ca="1">IF($O$5&gt;0.999, "Completed", WORKDAY($S$3, ROUNDUP((SUM(Input_0501[Total])-(INDIRECT("AF"&amp;MATCH($S$3, Output_0501[Date],0)+13)))/($O$10/COUNTIF($U$2:$U$8, TRUE)),0), Holidays_Table[Holidays]))</f>
        <v>44285</v>
      </c>
      <c r="O13" s="84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76"/>
      <c r="D14" s="76"/>
      <c r="E14" s="76"/>
      <c r="F14" s="76"/>
      <c r="G14" s="76"/>
      <c r="H14" s="76"/>
      <c r="I14" s="76"/>
      <c r="J14" s="42"/>
      <c r="K14" s="42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7"/>
      <c r="N14" s="87"/>
      <c r="O14" s="88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77">
        <v>202</v>
      </c>
      <c r="X14" s="77">
        <v>143</v>
      </c>
      <c r="AA14" s="54">
        <f t="shared" ref="AA14:AA22" si="0">IF(AA13 = "Date", $S$4, AA13+7)</f>
        <v>43985</v>
      </c>
      <c r="AB14" s="56">
        <f t="shared" ref="AB14" ca="1" si="1">PrimaryAreas(8)</f>
        <v>0</v>
      </c>
      <c r="AC1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8">
        <f ca="1">SUM($AC$14:AC14)</f>
        <v>0</v>
      </c>
      <c r="AF14" s="58">
        <f>IF(AD14="",NA(),SUM($AD$14:AD14))</f>
        <v>19</v>
      </c>
      <c r="AG14" s="58" t="str">
        <f ca="1">WeeklyPlanned(Output_0501[[#Headers],[WP_ABC]], Output_0501[[#This Row],[Date]])</f>
        <v/>
      </c>
      <c r="AH14" s="58">
        <v>19</v>
      </c>
      <c r="AI14" s="58" t="str">
        <f ca="1">WeeklyPlanned(Output_0501[[#Headers],[WP_ACS]], Output_0501[[#This Row],[Date]])</f>
        <v/>
      </c>
      <c r="AJ14" s="58">
        <v>0</v>
      </c>
      <c r="AK14" s="58" t="str">
        <f ca="1">WeeklyPlanned(Output_0501[[#Headers],[WP_AL1]], Output_0501[[#This Row],[Date]])</f>
        <v/>
      </c>
      <c r="AL14" s="58">
        <v>0</v>
      </c>
      <c r="AM14" s="58" t="str">
        <f ca="1">WeeklyPlanned(Output_0501[[#Headers],[WP_HBase]], Output_0501[[#This Row],[Date]])</f>
        <v/>
      </c>
      <c r="AN14" s="58">
        <v>0</v>
      </c>
      <c r="AO14" s="58" t="str">
        <f ca="1">WeeklyPlanned(Output_0501[[#Headers],[WP_HWST]], Output_0501[[#This Row],[Date]])</f>
        <v/>
      </c>
      <c r="AP14" s="58">
        <v>0</v>
      </c>
      <c r="AQ14" s="58" t="str">
        <f ca="1">WeeklyPlanned(Output_0501[[#Headers],[WP_HWSR]], Output_0501[[#This Row],[Date]])</f>
        <v/>
      </c>
      <c r="AR14" s="58">
        <v>0</v>
      </c>
      <c r="AS14" s="58" t="str">
        <f ca="1">WeeklyPlanned(Output_0501[[#Headers],[WP_HL2]], Output_0501[[#This Row],[Date]])</f>
        <v/>
      </c>
      <c r="AT14" s="58">
        <v>0</v>
      </c>
      <c r="AU14" s="58" t="str">
        <f ca="1">WeeklyPlanned(Output_0501[[#Headers],[WP_HBCeil]], Output_0501[[#This Row],[Date]])</f>
        <v/>
      </c>
      <c r="AV14" s="58">
        <v>0</v>
      </c>
    </row>
    <row r="15" spans="2:49" ht="16" thickBot="1" x14ac:dyDescent="0.4">
      <c r="B15" s="37"/>
      <c r="C15" s="76"/>
      <c r="D15" s="76"/>
      <c r="E15" s="76"/>
      <c r="F15" s="76"/>
      <c r="G15" s="76"/>
      <c r="H15" s="76"/>
      <c r="I15" s="76"/>
      <c r="J15" s="46"/>
      <c r="K15" s="46"/>
      <c r="L15" s="89"/>
      <c r="M15" s="89"/>
      <c r="N15" s="89"/>
      <c r="O15" s="90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77">
        <v>102</v>
      </c>
      <c r="X15" s="77">
        <v>0</v>
      </c>
      <c r="AA15" s="54">
        <f t="shared" si="0"/>
        <v>43992</v>
      </c>
      <c r="AB15" s="56">
        <f t="shared" ref="AB15:AB45" ca="1" si="2">PrimaryAreas(8)</f>
        <v>0</v>
      </c>
      <c r="AC1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8">
        <f ca="1">SUM($AC$14:AC15)</f>
        <v>0</v>
      </c>
      <c r="AF15" s="58">
        <f>IF(AD15="",NA(),SUM($AD$14:AD15))</f>
        <v>19</v>
      </c>
      <c r="AG15" s="58" t="str">
        <f ca="1">WeeklyPlanned(Output_0501[[#Headers],[WP_ABC]], Output_0501[[#This Row],[Date]])</f>
        <v/>
      </c>
      <c r="AH15" s="58">
        <v>0</v>
      </c>
      <c r="AI15" s="58" t="str">
        <f ca="1">WeeklyPlanned(Output_0501[[#Headers],[WP_ACS]], Output_0501[[#This Row],[Date]])</f>
        <v/>
      </c>
      <c r="AJ15" s="58">
        <v>0</v>
      </c>
      <c r="AK15" s="58" t="str">
        <f ca="1">WeeklyPlanned(Output_0501[[#Headers],[WP_AL1]], Output_0501[[#This Row],[Date]])</f>
        <v/>
      </c>
      <c r="AL15" s="58">
        <v>0</v>
      </c>
      <c r="AM15" s="58" t="str">
        <f ca="1">WeeklyPlanned(Output_0501[[#Headers],[WP_HBase]], Output_0501[[#This Row],[Date]])</f>
        <v/>
      </c>
      <c r="AN15" s="58">
        <v>0</v>
      </c>
      <c r="AO15" s="58" t="str">
        <f ca="1">WeeklyPlanned(Output_0501[[#Headers],[WP_HWST]], Output_0501[[#This Row],[Date]])</f>
        <v/>
      </c>
      <c r="AP15" s="58">
        <v>0</v>
      </c>
      <c r="AQ15" s="58" t="str">
        <f ca="1">WeeklyPlanned(Output_0501[[#Headers],[WP_HWSR]], Output_0501[[#This Row],[Date]])</f>
        <v/>
      </c>
      <c r="AR15" s="58">
        <v>0</v>
      </c>
      <c r="AS15" s="58" t="str">
        <f ca="1">WeeklyPlanned(Output_0501[[#Headers],[WP_HL2]], Output_0501[[#This Row],[Date]])</f>
        <v/>
      </c>
      <c r="AT15" s="58">
        <v>0</v>
      </c>
      <c r="AU15" s="58" t="str">
        <f ca="1">WeeklyPlanned(Output_0501[[#Headers],[WP_HBCeil]], Output_0501[[#This Row],[Date]])</f>
        <v/>
      </c>
      <c r="AV15" s="58">
        <v>0</v>
      </c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77">
        <v>324</v>
      </c>
      <c r="X16" s="77">
        <v>1</v>
      </c>
      <c r="AA16" s="54">
        <f t="shared" si="0"/>
        <v>43999</v>
      </c>
      <c r="AB16" s="56">
        <f t="shared" ca="1" si="2"/>
        <v>0</v>
      </c>
      <c r="AC1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8">
        <f ca="1">SUM($AC$14:AC16)</f>
        <v>0</v>
      </c>
      <c r="AF16" s="58">
        <f>IF(AD16="",NA(),SUM($AD$14:AD16))</f>
        <v>36</v>
      </c>
      <c r="AG16" s="58" t="str">
        <f ca="1">WeeklyPlanned(Output_0501[[#Headers],[WP_ABC]], Output_0501[[#This Row],[Date]])</f>
        <v/>
      </c>
      <c r="AH16" s="58">
        <v>17</v>
      </c>
      <c r="AI16" s="58" t="str">
        <f ca="1">WeeklyPlanned(Output_0501[[#Headers],[WP_ACS]], Output_0501[[#This Row],[Date]])</f>
        <v/>
      </c>
      <c r="AJ16" s="58">
        <v>0</v>
      </c>
      <c r="AK16" s="58" t="str">
        <f ca="1">WeeklyPlanned(Output_0501[[#Headers],[WP_AL1]], Output_0501[[#This Row],[Date]])</f>
        <v/>
      </c>
      <c r="AL16" s="58">
        <v>0</v>
      </c>
      <c r="AM16" s="58" t="str">
        <f ca="1">WeeklyPlanned(Output_0501[[#Headers],[WP_HBase]], Output_0501[[#This Row],[Date]])</f>
        <v/>
      </c>
      <c r="AN16" s="58">
        <v>0</v>
      </c>
      <c r="AO16" s="58" t="str">
        <f ca="1">WeeklyPlanned(Output_0501[[#Headers],[WP_HWST]], Output_0501[[#This Row],[Date]])</f>
        <v/>
      </c>
      <c r="AP16" s="58">
        <v>0</v>
      </c>
      <c r="AQ16" s="58" t="str">
        <f ca="1">WeeklyPlanned(Output_0501[[#Headers],[WP_HWSR]], Output_0501[[#This Row],[Date]])</f>
        <v/>
      </c>
      <c r="AR16" s="58">
        <v>0</v>
      </c>
      <c r="AS16" s="58" t="str">
        <f ca="1">WeeklyPlanned(Output_0501[[#Headers],[WP_HL2]], Output_0501[[#This Row],[Date]])</f>
        <v/>
      </c>
      <c r="AT16" s="58">
        <v>0</v>
      </c>
      <c r="AU16" s="58" t="str">
        <f ca="1">WeeklyPlanned(Output_0501[[#Headers],[WP_HBCeil]], Output_0501[[#This Row],[Date]])</f>
        <v/>
      </c>
      <c r="AV16" s="58">
        <v>0</v>
      </c>
    </row>
    <row r="17" spans="2:48" ht="15.5" x14ac:dyDescent="0.35">
      <c r="B17" s="3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50"/>
      <c r="R17" s="43"/>
      <c r="S17" s="66" t="s">
        <v>141</v>
      </c>
      <c r="T17" s="66" t="s">
        <v>96</v>
      </c>
      <c r="U17" s="67">
        <v>44131</v>
      </c>
      <c r="V17" s="67">
        <v>44140</v>
      </c>
      <c r="W17" s="77">
        <v>132</v>
      </c>
      <c r="X17" s="77">
        <v>0</v>
      </c>
      <c r="AA17" s="54">
        <f t="shared" si="0"/>
        <v>44006</v>
      </c>
      <c r="AB17" s="56">
        <f t="shared" ca="1" si="2"/>
        <v>0</v>
      </c>
      <c r="AC1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8">
        <f ca="1">SUM($AC$14:AC17)</f>
        <v>0</v>
      </c>
      <c r="AF17" s="58">
        <f>IF(AD17="",NA(),SUM($AD$14:AD17))</f>
        <v>75</v>
      </c>
      <c r="AG17" s="58" t="str">
        <f ca="1">WeeklyPlanned(Output_0501[[#Headers],[WP_ABC]], Output_0501[[#This Row],[Date]])</f>
        <v/>
      </c>
      <c r="AH17" s="58">
        <v>39</v>
      </c>
      <c r="AI17" s="58" t="str">
        <f ca="1">WeeklyPlanned(Output_0501[[#Headers],[WP_ACS]], Output_0501[[#This Row],[Date]])</f>
        <v/>
      </c>
      <c r="AJ17" s="58">
        <v>0</v>
      </c>
      <c r="AK17" s="58" t="str">
        <f ca="1">WeeklyPlanned(Output_0501[[#Headers],[WP_AL1]], Output_0501[[#This Row],[Date]])</f>
        <v/>
      </c>
      <c r="AL17" s="58">
        <v>0</v>
      </c>
      <c r="AM17" s="58" t="str">
        <f ca="1">WeeklyPlanned(Output_0501[[#Headers],[WP_HBase]], Output_0501[[#This Row],[Date]])</f>
        <v/>
      </c>
      <c r="AN17" s="58">
        <v>0</v>
      </c>
      <c r="AO17" s="58" t="str">
        <f ca="1">WeeklyPlanned(Output_0501[[#Headers],[WP_HWST]], Output_0501[[#This Row],[Date]])</f>
        <v/>
      </c>
      <c r="AP17" s="58">
        <v>0</v>
      </c>
      <c r="AQ17" s="58" t="str">
        <f ca="1">WeeklyPlanned(Output_0501[[#Headers],[WP_HWSR]], Output_0501[[#This Row],[Date]])</f>
        <v/>
      </c>
      <c r="AR17" s="58">
        <v>0</v>
      </c>
      <c r="AS17" s="58" t="str">
        <f ca="1">WeeklyPlanned(Output_0501[[#Headers],[WP_HL2]], Output_0501[[#This Row],[Date]])</f>
        <v/>
      </c>
      <c r="AT17" s="58">
        <v>0</v>
      </c>
      <c r="AU17" s="58" t="str">
        <f ca="1">WeeklyPlanned(Output_0501[[#Headers],[WP_HBCeil]], Output_0501[[#This Row],[Date]])</f>
        <v/>
      </c>
      <c r="AV17" s="58">
        <v>0</v>
      </c>
    </row>
    <row r="18" spans="2:48" ht="15.5" x14ac:dyDescent="0.35">
      <c r="B18" s="3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50"/>
      <c r="R18" s="43"/>
      <c r="S18" s="66" t="s">
        <v>145</v>
      </c>
      <c r="T18" s="66" t="s">
        <v>97</v>
      </c>
      <c r="U18" s="67">
        <v>44113</v>
      </c>
      <c r="V18" s="67">
        <v>44181</v>
      </c>
      <c r="W18" s="77">
        <v>273</v>
      </c>
      <c r="X18" s="77">
        <v>0</v>
      </c>
      <c r="AA18" s="54">
        <f t="shared" si="0"/>
        <v>44013</v>
      </c>
      <c r="AB18" s="56">
        <f t="shared" ca="1" si="2"/>
        <v>0</v>
      </c>
      <c r="AC1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8">
        <f ca="1">SUM($AC$14:AC18)</f>
        <v>0</v>
      </c>
      <c r="AF18" s="58">
        <f>IF(AD18="",NA(),SUM($AD$14:AD18))</f>
        <v>144</v>
      </c>
      <c r="AG18" s="58" t="str">
        <f ca="1">WeeklyPlanned(Output_0501[[#Headers],[WP_ABC]], Output_0501[[#This Row],[Date]])</f>
        <v/>
      </c>
      <c r="AH18" s="58">
        <v>68</v>
      </c>
      <c r="AI18" s="58" t="str">
        <f ca="1">WeeklyPlanned(Output_0501[[#Headers],[WP_ACS]], Output_0501[[#This Row],[Date]])</f>
        <v/>
      </c>
      <c r="AJ18" s="58">
        <v>0</v>
      </c>
      <c r="AK18" s="58" t="str">
        <f ca="1">WeeklyPlanned(Output_0501[[#Headers],[WP_AL1]], Output_0501[[#This Row],[Date]])</f>
        <v/>
      </c>
      <c r="AL18" s="58">
        <v>1</v>
      </c>
      <c r="AM18" s="58" t="str">
        <f ca="1">WeeklyPlanned(Output_0501[[#Headers],[WP_HBase]], Output_0501[[#This Row],[Date]])</f>
        <v/>
      </c>
      <c r="AN18" s="58">
        <v>0</v>
      </c>
      <c r="AO18" s="58" t="str">
        <f ca="1">WeeklyPlanned(Output_0501[[#Headers],[WP_HWST]], Output_0501[[#This Row],[Date]])</f>
        <v/>
      </c>
      <c r="AP18" s="58">
        <v>0</v>
      </c>
      <c r="AQ18" s="58" t="str">
        <f ca="1">WeeklyPlanned(Output_0501[[#Headers],[WP_HWSR]], Output_0501[[#This Row],[Date]])</f>
        <v/>
      </c>
      <c r="AR18" s="58">
        <v>0</v>
      </c>
      <c r="AS18" s="58" t="str">
        <f ca="1">WeeklyPlanned(Output_0501[[#Headers],[WP_HL2]], Output_0501[[#This Row],[Date]])</f>
        <v/>
      </c>
      <c r="AT18" s="58">
        <v>0</v>
      </c>
      <c r="AU18" s="58" t="str">
        <f ca="1">WeeklyPlanned(Output_0501[[#Headers],[WP_HBCeil]], Output_0501[[#This Row],[Date]])</f>
        <v/>
      </c>
      <c r="AV18" s="58">
        <v>0</v>
      </c>
    </row>
    <row r="19" spans="2:48" ht="15.5" x14ac:dyDescent="0.35">
      <c r="B19" s="37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50"/>
      <c r="R19" s="43"/>
      <c r="S19" s="66" t="s">
        <v>144</v>
      </c>
      <c r="T19" s="66" t="s">
        <v>98</v>
      </c>
      <c r="U19" s="67">
        <v>44182</v>
      </c>
      <c r="V19" s="67">
        <v>44195</v>
      </c>
      <c r="W19" s="77">
        <v>32</v>
      </c>
      <c r="X19" s="77">
        <v>0</v>
      </c>
      <c r="AA19" s="54">
        <f t="shared" si="0"/>
        <v>44020</v>
      </c>
      <c r="AB19" s="56">
        <f t="shared" ca="1" si="2"/>
        <v>0</v>
      </c>
      <c r="AC1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8">
        <f ca="1">SUM($AC$14:AC19)</f>
        <v>0</v>
      </c>
      <c r="AF19" s="58" t="e">
        <f>IF(AD19="",NA(),SUM($AD$14:AD19))</f>
        <v>#N/A</v>
      </c>
      <c r="AG19" s="58" t="str">
        <f ca="1">WeeklyPlanned(Output_0501[[#Headers],[WP_ABC]], Output_0501[[#This Row],[Date]])</f>
        <v/>
      </c>
      <c r="AH19" s="58"/>
      <c r="AI19" s="58" t="str">
        <f ca="1">WeeklyPlanned(Output_0501[[#Headers],[WP_ACS]], Output_0501[[#This Row],[Date]])</f>
        <v/>
      </c>
      <c r="AJ19" s="58"/>
      <c r="AK19" s="58" t="str">
        <f ca="1">WeeklyPlanned(Output_0501[[#Headers],[WP_AL1]], Output_0501[[#This Row],[Date]])</f>
        <v/>
      </c>
      <c r="AL19" s="58"/>
      <c r="AM19" s="58" t="str">
        <f ca="1">WeeklyPlanned(Output_0501[[#Headers],[WP_HBase]], Output_0501[[#This Row],[Date]])</f>
        <v/>
      </c>
      <c r="AN19" s="58"/>
      <c r="AO19" s="58" t="str">
        <f ca="1">WeeklyPlanned(Output_0501[[#Headers],[WP_HWST]], Output_0501[[#This Row],[Date]])</f>
        <v/>
      </c>
      <c r="AP19" s="58"/>
      <c r="AQ19" s="58" t="str">
        <f ca="1">WeeklyPlanned(Output_0501[[#Headers],[WP_HWSR]], Output_0501[[#This Row],[Date]])</f>
        <v/>
      </c>
      <c r="AR19" s="58"/>
      <c r="AS19" s="58" t="str">
        <f ca="1">WeeklyPlanned(Output_0501[[#Headers],[WP_HL2]], Output_0501[[#This Row],[Date]])</f>
        <v/>
      </c>
      <c r="AT19" s="58"/>
      <c r="AU19" s="58" t="str">
        <f ca="1">WeeklyPlanned(Output_0501[[#Headers],[WP_HBCeil]], Output_0501[[#This Row],[Date]])</f>
        <v/>
      </c>
      <c r="AV19" s="58"/>
    </row>
    <row r="20" spans="2:48" ht="15.5" x14ac:dyDescent="0.35">
      <c r="B20" s="37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50"/>
      <c r="R20" s="43"/>
      <c r="S20" s="66" t="s">
        <v>143</v>
      </c>
      <c r="T20" s="66" t="s">
        <v>99</v>
      </c>
      <c r="U20" s="67">
        <v>44109</v>
      </c>
      <c r="V20" s="67">
        <v>44127</v>
      </c>
      <c r="W20" s="77">
        <v>250</v>
      </c>
      <c r="X20" s="77">
        <v>0</v>
      </c>
      <c r="AA20" s="54">
        <f t="shared" si="0"/>
        <v>44027</v>
      </c>
      <c r="AB20" s="56">
        <f t="shared" ca="1" si="2"/>
        <v>0</v>
      </c>
      <c r="AC2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8">
        <f ca="1">SUM($AC$14:AC20)</f>
        <v>0</v>
      </c>
      <c r="AF20" s="58" t="e">
        <f>IF(AD20="",NA(),SUM($AD$14:AD20))</f>
        <v>#N/A</v>
      </c>
      <c r="AG20" s="58" t="str">
        <f ca="1">WeeklyPlanned(Output_0501[[#Headers],[WP_ABC]], Output_0501[[#This Row],[Date]])</f>
        <v/>
      </c>
      <c r="AH20" s="58"/>
      <c r="AI20" s="58" t="str">
        <f ca="1">WeeklyPlanned(Output_0501[[#Headers],[WP_ACS]], Output_0501[[#This Row],[Date]])</f>
        <v/>
      </c>
      <c r="AJ20" s="58"/>
      <c r="AK20" s="58" t="str">
        <f ca="1">WeeklyPlanned(Output_0501[[#Headers],[WP_AL1]], Output_0501[[#This Row],[Date]])</f>
        <v/>
      </c>
      <c r="AL20" s="58"/>
      <c r="AM20" s="58" t="str">
        <f ca="1">WeeklyPlanned(Output_0501[[#Headers],[WP_HBase]], Output_0501[[#This Row],[Date]])</f>
        <v/>
      </c>
      <c r="AN20" s="58"/>
      <c r="AO20" s="58" t="str">
        <f ca="1">WeeklyPlanned(Output_0501[[#Headers],[WP_HWST]], Output_0501[[#This Row],[Date]])</f>
        <v/>
      </c>
      <c r="AP20" s="58"/>
      <c r="AQ20" s="58" t="str">
        <f ca="1">WeeklyPlanned(Output_0501[[#Headers],[WP_HWSR]], Output_0501[[#This Row],[Date]])</f>
        <v/>
      </c>
      <c r="AR20" s="58"/>
      <c r="AS20" s="58" t="str">
        <f ca="1">WeeklyPlanned(Output_0501[[#Headers],[WP_HL2]], Output_0501[[#This Row],[Date]])</f>
        <v/>
      </c>
      <c r="AT20" s="58"/>
      <c r="AU20" s="58" t="str">
        <f ca="1">WeeklyPlanned(Output_0501[[#Headers],[WP_HBCeil]], Output_0501[[#This Row],[Date]])</f>
        <v/>
      </c>
      <c r="AV20" s="58"/>
    </row>
    <row r="21" spans="2:48" ht="15.5" x14ac:dyDescent="0.35">
      <c r="B21" s="3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50"/>
      <c r="R21" s="43"/>
      <c r="S21" s="66" t="s">
        <v>142</v>
      </c>
      <c r="T21" s="66" t="s">
        <v>100</v>
      </c>
      <c r="U21" s="67">
        <v>44089</v>
      </c>
      <c r="V21" s="67">
        <v>44104</v>
      </c>
      <c r="W21" s="77">
        <v>29</v>
      </c>
      <c r="X21" s="77">
        <v>0</v>
      </c>
      <c r="AA21" s="54">
        <f t="shared" si="0"/>
        <v>44034</v>
      </c>
      <c r="AB21" s="56">
        <f t="shared" ca="1" si="2"/>
        <v>0</v>
      </c>
      <c r="AC2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8">
        <f ca="1">SUM($AC$14:AC21)</f>
        <v>0</v>
      </c>
      <c r="AF21" s="58" t="e">
        <f>IF(AD21="",NA(),SUM($AD$14:AD21))</f>
        <v>#N/A</v>
      </c>
      <c r="AG21" s="58" t="str">
        <f ca="1">WeeklyPlanned(Output_0501[[#Headers],[WP_ABC]], Output_0501[[#This Row],[Date]])</f>
        <v/>
      </c>
      <c r="AH21" s="58"/>
      <c r="AI21" s="58" t="str">
        <f ca="1">WeeklyPlanned(Output_0501[[#Headers],[WP_ACS]], Output_0501[[#This Row],[Date]])</f>
        <v/>
      </c>
      <c r="AJ21" s="58"/>
      <c r="AK21" s="58" t="str">
        <f ca="1">WeeklyPlanned(Output_0501[[#Headers],[WP_AL1]], Output_0501[[#This Row],[Date]])</f>
        <v/>
      </c>
      <c r="AL21" s="58"/>
      <c r="AM21" s="58" t="str">
        <f ca="1">WeeklyPlanned(Output_0501[[#Headers],[WP_HBase]], Output_0501[[#This Row],[Date]])</f>
        <v/>
      </c>
      <c r="AN21" s="58"/>
      <c r="AO21" s="58" t="str">
        <f ca="1">WeeklyPlanned(Output_0501[[#Headers],[WP_HWST]], Output_0501[[#This Row],[Date]])</f>
        <v/>
      </c>
      <c r="AP21" s="58"/>
      <c r="AQ21" s="58" t="str">
        <f ca="1">WeeklyPlanned(Output_0501[[#Headers],[WP_HWSR]], Output_0501[[#This Row],[Date]])</f>
        <v/>
      </c>
      <c r="AR21" s="58"/>
      <c r="AS21" s="58" t="str">
        <f ca="1">WeeklyPlanned(Output_0501[[#Headers],[WP_HL2]], Output_0501[[#This Row],[Date]])</f>
        <v/>
      </c>
      <c r="AT21" s="58"/>
      <c r="AU21" s="58" t="str">
        <f ca="1">WeeklyPlanned(Output_0501[[#Headers],[WP_HBCeil]], Output_0501[[#This Row],[Date]])</f>
        <v/>
      </c>
      <c r="AV21" s="58"/>
    </row>
    <row r="22" spans="2:48" ht="15.5" x14ac:dyDescent="0.35">
      <c r="B22" s="3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50"/>
      <c r="AA22" s="54">
        <f t="shared" si="0"/>
        <v>44041</v>
      </c>
      <c r="AB22" s="56" t="str">
        <f t="shared" ca="1" si="2"/>
        <v>ABC</v>
      </c>
      <c r="AC2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8">
        <f ca="1">SUM($AC$14:AC22)</f>
        <v>20.2</v>
      </c>
      <c r="AF22" s="58" t="e">
        <f>IF(AD22="",NA(),SUM($AD$14:AD22))</f>
        <v>#N/A</v>
      </c>
      <c r="AG22" s="58">
        <f ca="1">WeeklyPlanned(Output_0501[[#Headers],[WP_ABC]], Output_0501[[#This Row],[Date]])</f>
        <v>20.2</v>
      </c>
      <c r="AH22" s="58"/>
      <c r="AI22" s="58" t="str">
        <f ca="1">WeeklyPlanned(Output_0501[[#Headers],[WP_ACS]], Output_0501[[#This Row],[Date]])</f>
        <v/>
      </c>
      <c r="AJ22" s="58"/>
      <c r="AK22" s="58" t="str">
        <f ca="1">WeeklyPlanned(Output_0501[[#Headers],[WP_AL1]], Output_0501[[#This Row],[Date]])</f>
        <v/>
      </c>
      <c r="AL22" s="58"/>
      <c r="AM22" s="58" t="str">
        <f ca="1">WeeklyPlanned(Output_0501[[#Headers],[WP_HBase]], Output_0501[[#This Row],[Date]])</f>
        <v/>
      </c>
      <c r="AN22" s="58"/>
      <c r="AO22" s="58" t="str">
        <f ca="1">WeeklyPlanned(Output_0501[[#Headers],[WP_HWST]], Output_0501[[#This Row],[Date]])</f>
        <v/>
      </c>
      <c r="AP22" s="58"/>
      <c r="AQ22" s="58" t="str">
        <f ca="1">WeeklyPlanned(Output_0501[[#Headers],[WP_HWSR]], Output_0501[[#This Row],[Date]])</f>
        <v/>
      </c>
      <c r="AR22" s="58"/>
      <c r="AS22" s="58" t="str">
        <f ca="1">WeeklyPlanned(Output_0501[[#Headers],[WP_HL2]], Output_0501[[#This Row],[Date]])</f>
        <v/>
      </c>
      <c r="AT22" s="58"/>
      <c r="AU22" s="58" t="str">
        <f ca="1">WeeklyPlanned(Output_0501[[#Headers],[WP_HBCeil]], Output_0501[[#This Row],[Date]])</f>
        <v/>
      </c>
      <c r="AV22" s="58"/>
    </row>
    <row r="23" spans="2:48" ht="15.5" x14ac:dyDescent="0.35">
      <c r="B23" s="37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50"/>
      <c r="AA23" s="54">
        <f t="shared" ref="AA23:AA45" si="3">IF(AA22 = "Date", $S$4, AA22+7)</f>
        <v>44048</v>
      </c>
      <c r="AB23" s="56" t="str">
        <f t="shared" ca="1" si="2"/>
        <v>ABC</v>
      </c>
      <c r="AC2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8">
        <f ca="1">SUM($AC$14:AC23)</f>
        <v>121.2</v>
      </c>
      <c r="AF23" s="58" t="e">
        <f>IF(AD23="",NA(),SUM($AD$14:AD23))</f>
        <v>#N/A</v>
      </c>
      <c r="AG23" s="58">
        <f ca="1">WeeklyPlanned(Output_0501[[#Headers],[WP_ABC]], Output_0501[[#This Row],[Date]])</f>
        <v>101</v>
      </c>
      <c r="AH23" s="58"/>
      <c r="AI23" s="58" t="str">
        <f ca="1">WeeklyPlanned(Output_0501[[#Headers],[WP_ACS]], Output_0501[[#This Row],[Date]])</f>
        <v/>
      </c>
      <c r="AJ23" s="58"/>
      <c r="AK23" s="58" t="str">
        <f ca="1">WeeklyPlanned(Output_0501[[#Headers],[WP_AL1]], Output_0501[[#This Row],[Date]])</f>
        <v/>
      </c>
      <c r="AL23" s="58"/>
      <c r="AM23" s="58" t="str">
        <f ca="1">WeeklyPlanned(Output_0501[[#Headers],[WP_HBase]], Output_0501[[#This Row],[Date]])</f>
        <v/>
      </c>
      <c r="AN23" s="58"/>
      <c r="AO23" s="58" t="str">
        <f ca="1">WeeklyPlanned(Output_0501[[#Headers],[WP_HWST]], Output_0501[[#This Row],[Date]])</f>
        <v/>
      </c>
      <c r="AP23" s="58"/>
      <c r="AQ23" s="58" t="str">
        <f ca="1">WeeklyPlanned(Output_0501[[#Headers],[WP_HWSR]], Output_0501[[#This Row],[Date]])</f>
        <v/>
      </c>
      <c r="AR23" s="58"/>
      <c r="AS23" s="58" t="str">
        <f ca="1">WeeklyPlanned(Output_0501[[#Headers],[WP_HL2]], Output_0501[[#This Row],[Date]])</f>
        <v/>
      </c>
      <c r="AT23" s="58"/>
      <c r="AU23" s="58" t="str">
        <f ca="1">WeeklyPlanned(Output_0501[[#Headers],[WP_HBCeil]], Output_0501[[#This Row],[Date]])</f>
        <v/>
      </c>
      <c r="AV23" s="58"/>
    </row>
    <row r="24" spans="2:48" ht="15.5" x14ac:dyDescent="0.35">
      <c r="B24" s="37"/>
      <c r="C24" s="76" t="s">
        <v>47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50"/>
      <c r="AA24" s="54">
        <f t="shared" si="3"/>
        <v>44055</v>
      </c>
      <c r="AB24" s="56" t="str">
        <f t="shared" ca="1" si="2"/>
        <v>ABC</v>
      </c>
      <c r="AC2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8">
        <f ca="1">SUM($AC$14:AC24)</f>
        <v>202</v>
      </c>
      <c r="AF24" s="58" t="e">
        <f>IF(AD24="",NA(),SUM($AD$14:AD24))</f>
        <v>#N/A</v>
      </c>
      <c r="AG24" s="58">
        <f ca="1">WeeklyPlanned(Output_0501[[#Headers],[WP_ABC]], Output_0501[[#This Row],[Date]])</f>
        <v>80.8</v>
      </c>
      <c r="AH24" s="58"/>
      <c r="AI24" s="58" t="str">
        <f ca="1">WeeklyPlanned(Output_0501[[#Headers],[WP_ACS]], Output_0501[[#This Row],[Date]])</f>
        <v/>
      </c>
      <c r="AJ24" s="58"/>
      <c r="AK24" s="58" t="str">
        <f ca="1">WeeklyPlanned(Output_0501[[#Headers],[WP_AL1]], Output_0501[[#This Row],[Date]])</f>
        <v/>
      </c>
      <c r="AL24" s="58"/>
      <c r="AM24" s="58" t="str">
        <f ca="1">WeeklyPlanned(Output_0501[[#Headers],[WP_HBase]], Output_0501[[#This Row],[Date]])</f>
        <v/>
      </c>
      <c r="AN24" s="58"/>
      <c r="AO24" s="58" t="str">
        <f ca="1">WeeklyPlanned(Output_0501[[#Headers],[WP_HWST]], Output_0501[[#This Row],[Date]])</f>
        <v/>
      </c>
      <c r="AP24" s="58"/>
      <c r="AQ24" s="58" t="str">
        <f ca="1">WeeklyPlanned(Output_0501[[#Headers],[WP_HWSR]], Output_0501[[#This Row],[Date]])</f>
        <v/>
      </c>
      <c r="AR24" s="58"/>
      <c r="AS24" s="58" t="str">
        <f ca="1">WeeklyPlanned(Output_0501[[#Headers],[WP_HL2]], Output_0501[[#This Row],[Date]])</f>
        <v/>
      </c>
      <c r="AT24" s="58"/>
      <c r="AU24" s="58" t="str">
        <f ca="1">WeeklyPlanned(Output_0501[[#Headers],[WP_HBCeil]], Output_0501[[#This Row],[Date]])</f>
        <v/>
      </c>
      <c r="AV24" s="58"/>
    </row>
    <row r="25" spans="2:48" ht="15.5" x14ac:dyDescent="0.35">
      <c r="B25" s="3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50"/>
      <c r="AA25" s="54">
        <f t="shared" si="3"/>
        <v>44062</v>
      </c>
      <c r="AB25" s="56">
        <f t="shared" ca="1" si="2"/>
        <v>0</v>
      </c>
      <c r="AC2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8">
        <f ca="1">SUM($AC$14:AC25)</f>
        <v>202</v>
      </c>
      <c r="AF25" s="58" t="e">
        <f>IF(AD25="",NA(),SUM($AD$14:AD25))</f>
        <v>#N/A</v>
      </c>
      <c r="AG25" s="58" t="str">
        <f ca="1">WeeklyPlanned(Output_0501[[#Headers],[WP_ABC]], Output_0501[[#This Row],[Date]])</f>
        <v/>
      </c>
      <c r="AH25" s="58"/>
      <c r="AI25" s="58" t="str">
        <f ca="1">WeeklyPlanned(Output_0501[[#Headers],[WP_ACS]], Output_0501[[#This Row],[Date]])</f>
        <v/>
      </c>
      <c r="AJ25" s="58"/>
      <c r="AK25" s="58" t="str">
        <f ca="1">WeeklyPlanned(Output_0501[[#Headers],[WP_AL1]], Output_0501[[#This Row],[Date]])</f>
        <v/>
      </c>
      <c r="AL25" s="58"/>
      <c r="AM25" s="58" t="str">
        <f ca="1">WeeklyPlanned(Output_0501[[#Headers],[WP_HBase]], Output_0501[[#This Row],[Date]])</f>
        <v/>
      </c>
      <c r="AN25" s="58"/>
      <c r="AO25" s="58" t="str">
        <f ca="1">WeeklyPlanned(Output_0501[[#Headers],[WP_HWST]], Output_0501[[#This Row],[Date]])</f>
        <v/>
      </c>
      <c r="AP25" s="58"/>
      <c r="AQ25" s="58" t="str">
        <f ca="1">WeeklyPlanned(Output_0501[[#Headers],[WP_HWSR]], Output_0501[[#This Row],[Date]])</f>
        <v/>
      </c>
      <c r="AR25" s="58"/>
      <c r="AS25" s="58" t="str">
        <f ca="1">WeeklyPlanned(Output_0501[[#Headers],[WP_HL2]], Output_0501[[#This Row],[Date]])</f>
        <v/>
      </c>
      <c r="AT25" s="58"/>
      <c r="AU25" s="58" t="str">
        <f ca="1">WeeklyPlanned(Output_0501[[#Headers],[WP_HBCeil]], Output_0501[[#This Row],[Date]])</f>
        <v/>
      </c>
      <c r="AV25" s="58"/>
    </row>
    <row r="26" spans="2:48" ht="15.5" x14ac:dyDescent="0.35">
      <c r="B26" s="3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50"/>
      <c r="S26" s="44"/>
      <c r="AA26" s="54">
        <f t="shared" si="3"/>
        <v>44069</v>
      </c>
      <c r="AB26" s="56">
        <f t="shared" ca="1" si="2"/>
        <v>0</v>
      </c>
      <c r="AC2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8">
        <f ca="1">SUM($AC$14:AC26)</f>
        <v>202</v>
      </c>
      <c r="AF26" s="58" t="e">
        <f>IF(AD26="",NA(),SUM($AD$14:AD26))</f>
        <v>#N/A</v>
      </c>
      <c r="AG26" s="58" t="str">
        <f ca="1">WeeklyPlanned(Output_0501[[#Headers],[WP_ABC]], Output_0501[[#This Row],[Date]])</f>
        <v/>
      </c>
      <c r="AH26" s="58"/>
      <c r="AI26" s="58" t="str">
        <f ca="1">WeeklyPlanned(Output_0501[[#Headers],[WP_ACS]], Output_0501[[#This Row],[Date]])</f>
        <v/>
      </c>
      <c r="AJ26" s="58"/>
      <c r="AK26" s="58" t="str">
        <f ca="1">WeeklyPlanned(Output_0501[[#Headers],[WP_AL1]], Output_0501[[#This Row],[Date]])</f>
        <v/>
      </c>
      <c r="AL26" s="58"/>
      <c r="AM26" s="58" t="str">
        <f ca="1">WeeklyPlanned(Output_0501[[#Headers],[WP_HBase]], Output_0501[[#This Row],[Date]])</f>
        <v/>
      </c>
      <c r="AN26" s="58"/>
      <c r="AO26" s="58" t="str">
        <f ca="1">WeeklyPlanned(Output_0501[[#Headers],[WP_HWST]], Output_0501[[#This Row],[Date]])</f>
        <v/>
      </c>
      <c r="AP26" s="58"/>
      <c r="AQ26" s="58" t="str">
        <f ca="1">WeeklyPlanned(Output_0501[[#Headers],[WP_HWSR]], Output_0501[[#This Row],[Date]])</f>
        <v/>
      </c>
      <c r="AR26" s="58"/>
      <c r="AS26" s="58" t="str">
        <f ca="1">WeeklyPlanned(Output_0501[[#Headers],[WP_HL2]], Output_0501[[#This Row],[Date]])</f>
        <v/>
      </c>
      <c r="AT26" s="58"/>
      <c r="AU26" s="58" t="str">
        <f ca="1">WeeklyPlanned(Output_0501[[#Headers],[WP_HBCeil]], Output_0501[[#This Row],[Date]])</f>
        <v/>
      </c>
      <c r="AV26" s="58"/>
    </row>
    <row r="27" spans="2:48" ht="15.5" x14ac:dyDescent="0.35">
      <c r="B27" s="37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50"/>
      <c r="AA27" s="54">
        <f t="shared" si="3"/>
        <v>44076</v>
      </c>
      <c r="AB27" s="56">
        <f t="shared" ca="1" si="2"/>
        <v>0</v>
      </c>
      <c r="AC2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8">
        <f ca="1">SUM($AC$14:AC27)</f>
        <v>202</v>
      </c>
      <c r="AF27" s="58" t="e">
        <f>IF(AD27="",NA(),SUM($AD$14:AD27))</f>
        <v>#N/A</v>
      </c>
      <c r="AG27" s="58" t="str">
        <f ca="1">WeeklyPlanned(Output_0501[[#Headers],[WP_ABC]], Output_0501[[#This Row],[Date]])</f>
        <v/>
      </c>
      <c r="AH27" s="58"/>
      <c r="AI27" s="58" t="str">
        <f ca="1">WeeklyPlanned(Output_0501[[#Headers],[WP_ACS]], Output_0501[[#This Row],[Date]])</f>
        <v/>
      </c>
      <c r="AJ27" s="58"/>
      <c r="AK27" s="58" t="str">
        <f ca="1">WeeklyPlanned(Output_0501[[#Headers],[WP_AL1]], Output_0501[[#This Row],[Date]])</f>
        <v/>
      </c>
      <c r="AL27" s="58"/>
      <c r="AM27" s="58" t="str">
        <f ca="1">WeeklyPlanned(Output_0501[[#Headers],[WP_HBase]], Output_0501[[#This Row],[Date]])</f>
        <v/>
      </c>
      <c r="AN27" s="58"/>
      <c r="AO27" s="58" t="str">
        <f ca="1">WeeklyPlanned(Output_0501[[#Headers],[WP_HWST]], Output_0501[[#This Row],[Date]])</f>
        <v/>
      </c>
      <c r="AP27" s="58"/>
      <c r="AQ27" s="58" t="str">
        <f ca="1">WeeklyPlanned(Output_0501[[#Headers],[WP_HWSR]], Output_0501[[#This Row],[Date]])</f>
        <v/>
      </c>
      <c r="AR27" s="58"/>
      <c r="AS27" s="58" t="str">
        <f ca="1">WeeklyPlanned(Output_0501[[#Headers],[WP_HL2]], Output_0501[[#This Row],[Date]])</f>
        <v/>
      </c>
      <c r="AT27" s="58"/>
      <c r="AU27" s="58" t="str">
        <f ca="1">WeeklyPlanned(Output_0501[[#Headers],[WP_HBCeil]], Output_0501[[#This Row],[Date]])</f>
        <v/>
      </c>
      <c r="AV27" s="58"/>
    </row>
    <row r="28" spans="2:48" ht="15.5" x14ac:dyDescent="0.35">
      <c r="B28" s="37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50"/>
      <c r="AA28" s="54">
        <f t="shared" si="3"/>
        <v>44083</v>
      </c>
      <c r="AB28" s="56">
        <f t="shared" ca="1" si="2"/>
        <v>0</v>
      </c>
      <c r="AC2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8">
        <f ca="1">SUM($AC$14:AC28)</f>
        <v>202</v>
      </c>
      <c r="AF28" s="58" t="e">
        <f>IF(AD28="",NA(),SUM($AD$14:AD28))</f>
        <v>#N/A</v>
      </c>
      <c r="AG28" s="58" t="str">
        <f ca="1">WeeklyPlanned(Output_0501[[#Headers],[WP_ABC]], Output_0501[[#This Row],[Date]])</f>
        <v/>
      </c>
      <c r="AH28" s="58"/>
      <c r="AI28" s="58" t="str">
        <f ca="1">WeeklyPlanned(Output_0501[[#Headers],[WP_ACS]], Output_0501[[#This Row],[Date]])</f>
        <v/>
      </c>
      <c r="AJ28" s="58"/>
      <c r="AK28" s="58" t="str">
        <f ca="1">WeeklyPlanned(Output_0501[[#Headers],[WP_AL1]], Output_0501[[#This Row],[Date]])</f>
        <v/>
      </c>
      <c r="AL28" s="58"/>
      <c r="AM28" s="58" t="str">
        <f ca="1">WeeklyPlanned(Output_0501[[#Headers],[WP_HBase]], Output_0501[[#This Row],[Date]])</f>
        <v/>
      </c>
      <c r="AN28" s="58"/>
      <c r="AO28" s="58" t="str">
        <f ca="1">WeeklyPlanned(Output_0501[[#Headers],[WP_HWST]], Output_0501[[#This Row],[Date]])</f>
        <v/>
      </c>
      <c r="AP28" s="58"/>
      <c r="AQ28" s="58" t="str">
        <f ca="1">WeeklyPlanned(Output_0501[[#Headers],[WP_HWSR]], Output_0501[[#This Row],[Date]])</f>
        <v/>
      </c>
      <c r="AR28" s="58"/>
      <c r="AS28" s="58" t="str">
        <f ca="1">WeeklyPlanned(Output_0501[[#Headers],[WP_HL2]], Output_0501[[#This Row],[Date]])</f>
        <v/>
      </c>
      <c r="AT28" s="58"/>
      <c r="AU28" s="58" t="str">
        <f ca="1">WeeklyPlanned(Output_0501[[#Headers],[WP_HBCeil]], Output_0501[[#This Row],[Date]])</f>
        <v/>
      </c>
      <c r="AV28" s="58"/>
    </row>
    <row r="29" spans="2:48" ht="15.5" x14ac:dyDescent="0.35">
      <c r="B29" s="37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50"/>
      <c r="AA29" s="54">
        <f t="shared" si="3"/>
        <v>44090</v>
      </c>
      <c r="AB29" s="56" t="str">
        <f t="shared" ca="1" si="2"/>
        <v>HBCeil</v>
      </c>
      <c r="AC2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8">
        <f ca="1">SUM($AC$14:AC29)</f>
        <v>204.41666666666666</v>
      </c>
      <c r="AF29" s="58" t="e">
        <f>IF(AD29="",NA(),SUM($AD$14:AD29))</f>
        <v>#N/A</v>
      </c>
      <c r="AG29" s="58" t="str">
        <f ca="1">WeeklyPlanned(Output_0501[[#Headers],[WP_ABC]], Output_0501[[#This Row],[Date]])</f>
        <v/>
      </c>
      <c r="AH29" s="58"/>
      <c r="AI29" s="58" t="str">
        <f ca="1">WeeklyPlanned(Output_0501[[#Headers],[WP_ACS]], Output_0501[[#This Row],[Date]])</f>
        <v/>
      </c>
      <c r="AJ29" s="58"/>
      <c r="AK29" s="58" t="str">
        <f ca="1">WeeklyPlanned(Output_0501[[#Headers],[WP_AL1]], Output_0501[[#This Row],[Date]])</f>
        <v/>
      </c>
      <c r="AL29" s="58"/>
      <c r="AM29" s="58" t="str">
        <f ca="1">WeeklyPlanned(Output_0501[[#Headers],[WP_HBase]], Output_0501[[#This Row],[Date]])</f>
        <v/>
      </c>
      <c r="AN29" s="58"/>
      <c r="AO29" s="58" t="str">
        <f ca="1">WeeklyPlanned(Output_0501[[#Headers],[WP_HWST]], Output_0501[[#This Row],[Date]])</f>
        <v/>
      </c>
      <c r="AP29" s="58"/>
      <c r="AQ29" s="58" t="str">
        <f ca="1">WeeklyPlanned(Output_0501[[#Headers],[WP_HWSR]], Output_0501[[#This Row],[Date]])</f>
        <v/>
      </c>
      <c r="AR29" s="58"/>
      <c r="AS29" s="58" t="str">
        <f ca="1">WeeklyPlanned(Output_0501[[#Headers],[WP_HL2]], Output_0501[[#This Row],[Date]])</f>
        <v/>
      </c>
      <c r="AT29" s="58"/>
      <c r="AU29" s="58">
        <f ca="1">WeeklyPlanned(Output_0501[[#Headers],[WP_HBCeil]], Output_0501[[#This Row],[Date]])</f>
        <v>2.4166666666666665</v>
      </c>
      <c r="AV29" s="58"/>
    </row>
    <row r="30" spans="2:48" ht="15.5" x14ac:dyDescent="0.35">
      <c r="B30" s="37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50"/>
      <c r="AA30" s="54">
        <f t="shared" si="3"/>
        <v>44097</v>
      </c>
      <c r="AB30" s="56" t="str">
        <f t="shared" ca="1" si="2"/>
        <v>HBCeil</v>
      </c>
      <c r="AC3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8">
        <f ca="1">SUM($AC$14:AC30)</f>
        <v>216.5</v>
      </c>
      <c r="AF30" s="58" t="e">
        <f>IF(AD30="",NA(),SUM($AD$14:AD30))</f>
        <v>#N/A</v>
      </c>
      <c r="AG30" s="58" t="str">
        <f ca="1">WeeklyPlanned(Output_0501[[#Headers],[WP_ABC]], Output_0501[[#This Row],[Date]])</f>
        <v/>
      </c>
      <c r="AH30" s="58"/>
      <c r="AI30" s="58" t="str">
        <f ca="1">WeeklyPlanned(Output_0501[[#Headers],[WP_ACS]], Output_0501[[#This Row],[Date]])</f>
        <v/>
      </c>
      <c r="AJ30" s="58"/>
      <c r="AK30" s="58" t="str">
        <f ca="1">WeeklyPlanned(Output_0501[[#Headers],[WP_AL1]], Output_0501[[#This Row],[Date]])</f>
        <v/>
      </c>
      <c r="AL30" s="58"/>
      <c r="AM30" s="58" t="str">
        <f ca="1">WeeklyPlanned(Output_0501[[#Headers],[WP_HBase]], Output_0501[[#This Row],[Date]])</f>
        <v/>
      </c>
      <c r="AN30" s="58"/>
      <c r="AO30" s="58" t="str">
        <f ca="1">WeeklyPlanned(Output_0501[[#Headers],[WP_HWST]], Output_0501[[#This Row],[Date]])</f>
        <v/>
      </c>
      <c r="AP30" s="58"/>
      <c r="AQ30" s="58" t="str">
        <f ca="1">WeeklyPlanned(Output_0501[[#Headers],[WP_HWSR]], Output_0501[[#This Row],[Date]])</f>
        <v/>
      </c>
      <c r="AR30" s="58"/>
      <c r="AS30" s="58" t="str">
        <f ca="1">WeeklyPlanned(Output_0501[[#Headers],[WP_HL2]], Output_0501[[#This Row],[Date]])</f>
        <v/>
      </c>
      <c r="AT30" s="58"/>
      <c r="AU30" s="58">
        <f ca="1">WeeklyPlanned(Output_0501[[#Headers],[WP_HBCeil]], Output_0501[[#This Row],[Date]])</f>
        <v>12.083333333333332</v>
      </c>
      <c r="AV30" s="58"/>
    </row>
    <row r="31" spans="2:48" ht="15.5" x14ac:dyDescent="0.35">
      <c r="B31" s="37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50"/>
      <c r="AA31" s="54">
        <f t="shared" si="3"/>
        <v>44104</v>
      </c>
      <c r="AB31" s="56" t="str">
        <f t="shared" ca="1" si="2"/>
        <v>HBCeil</v>
      </c>
      <c r="AC3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8">
        <f ca="1">SUM($AC$14:AC31)</f>
        <v>228.58333333333334</v>
      </c>
      <c r="AF31" s="58" t="e">
        <f>IF(AD31="",NA(),SUM($AD$14:AD31))</f>
        <v>#N/A</v>
      </c>
      <c r="AG31" s="58" t="str">
        <f ca="1">WeeklyPlanned(Output_0501[[#Headers],[WP_ABC]], Output_0501[[#This Row],[Date]])</f>
        <v/>
      </c>
      <c r="AH31" s="58"/>
      <c r="AI31" s="58" t="str">
        <f ca="1">WeeklyPlanned(Output_0501[[#Headers],[WP_ACS]], Output_0501[[#This Row],[Date]])</f>
        <v/>
      </c>
      <c r="AJ31" s="58"/>
      <c r="AK31" s="58" t="str">
        <f ca="1">WeeklyPlanned(Output_0501[[#Headers],[WP_AL1]], Output_0501[[#This Row],[Date]])</f>
        <v/>
      </c>
      <c r="AL31" s="58"/>
      <c r="AM31" s="58" t="str">
        <f ca="1">WeeklyPlanned(Output_0501[[#Headers],[WP_HBase]], Output_0501[[#This Row],[Date]])</f>
        <v/>
      </c>
      <c r="AN31" s="58"/>
      <c r="AO31" s="58" t="str">
        <f ca="1">WeeklyPlanned(Output_0501[[#Headers],[WP_HWST]], Output_0501[[#This Row],[Date]])</f>
        <v/>
      </c>
      <c r="AP31" s="58"/>
      <c r="AQ31" s="58" t="str">
        <f ca="1">WeeklyPlanned(Output_0501[[#Headers],[WP_HWSR]], Output_0501[[#This Row],[Date]])</f>
        <v/>
      </c>
      <c r="AR31" s="58"/>
      <c r="AS31" s="58" t="str">
        <f ca="1">WeeklyPlanned(Output_0501[[#Headers],[WP_HL2]], Output_0501[[#This Row],[Date]])</f>
        <v/>
      </c>
      <c r="AT31" s="58"/>
      <c r="AU31" s="58">
        <f ca="1">WeeklyPlanned(Output_0501[[#Headers],[WP_HBCeil]], Output_0501[[#This Row],[Date]])</f>
        <v>12.083333333333332</v>
      </c>
      <c r="AV31" s="58"/>
    </row>
    <row r="32" spans="2:48" ht="15.5" x14ac:dyDescent="0.35">
      <c r="B32" s="37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50"/>
      <c r="AA32" s="54">
        <f t="shared" si="3"/>
        <v>44111</v>
      </c>
      <c r="AB32" s="56" t="str">
        <f t="shared" ca="1" si="2"/>
        <v>ACS, HL2, HBCeil</v>
      </c>
      <c r="AC3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8">
        <f ca="1">SUM($AC$14:AC32)</f>
        <v>345.93333333333334</v>
      </c>
      <c r="AF32" s="58" t="e">
        <f>IF(AD32="",NA(),SUM($AD$14:AD32))</f>
        <v>#N/A</v>
      </c>
      <c r="AG32" s="58" t="str">
        <f ca="1">WeeklyPlanned(Output_0501[[#Headers],[WP_ABC]], Output_0501[[#This Row],[Date]])</f>
        <v/>
      </c>
      <c r="AH32" s="58"/>
      <c r="AI32" s="58">
        <f ca="1">WeeklyPlanned(Output_0501[[#Headers],[WP_ACS]], Output_0501[[#This Row],[Date]])</f>
        <v>81.599999999999994</v>
      </c>
      <c r="AJ32" s="58"/>
      <c r="AK32" s="58" t="str">
        <f ca="1">WeeklyPlanned(Output_0501[[#Headers],[WP_AL1]], Output_0501[[#This Row],[Date]])</f>
        <v/>
      </c>
      <c r="AL32" s="58"/>
      <c r="AM32" s="58" t="str">
        <f ca="1">WeeklyPlanned(Output_0501[[#Headers],[WP_HBase]], Output_0501[[#This Row],[Date]])</f>
        <v/>
      </c>
      <c r="AN32" s="58"/>
      <c r="AO32" s="58" t="str">
        <f ca="1">WeeklyPlanned(Output_0501[[#Headers],[WP_HWST]], Output_0501[[#This Row],[Date]])</f>
        <v/>
      </c>
      <c r="AP32" s="58"/>
      <c r="AQ32" s="58" t="str">
        <f ca="1">WeeklyPlanned(Output_0501[[#Headers],[WP_HWSR]], Output_0501[[#This Row],[Date]])</f>
        <v/>
      </c>
      <c r="AR32" s="58"/>
      <c r="AS32" s="58">
        <f ca="1">WeeklyPlanned(Output_0501[[#Headers],[WP_HL2]], Output_0501[[#This Row],[Date]])</f>
        <v>33.333333333333336</v>
      </c>
      <c r="AT32" s="58"/>
      <c r="AU32" s="58">
        <f ca="1">WeeklyPlanned(Output_0501[[#Headers],[WP_HBCeil]], Output_0501[[#This Row],[Date]])</f>
        <v>2.4166666666666665</v>
      </c>
      <c r="AV32" s="58"/>
    </row>
    <row r="33" spans="2:48" ht="15.5" x14ac:dyDescent="0.35">
      <c r="B33" s="3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50"/>
      <c r="AA33" s="54">
        <f t="shared" si="3"/>
        <v>44118</v>
      </c>
      <c r="AB33" s="56" t="str">
        <f t="shared" ca="1" si="2"/>
        <v>ACS, HWST, HL2</v>
      </c>
      <c r="AC3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8">
        <f ca="1">SUM($AC$14:AC33)</f>
        <v>466.38095238095241</v>
      </c>
      <c r="AF33" s="58" t="e">
        <f>IF(AD33="",NA(),SUM($AD$14:AD33))</f>
        <v>#N/A</v>
      </c>
      <c r="AG33" s="58" t="str">
        <f ca="1">WeeklyPlanned(Output_0501[[#Headers],[WP_ABC]], Output_0501[[#This Row],[Date]])</f>
        <v/>
      </c>
      <c r="AH33" s="58"/>
      <c r="AI33" s="58">
        <f ca="1">WeeklyPlanned(Output_0501[[#Headers],[WP_ACS]], Output_0501[[#This Row],[Date]])</f>
        <v>20.399999999999999</v>
      </c>
      <c r="AJ33" s="58"/>
      <c r="AK33" s="58" t="str">
        <f ca="1">WeeklyPlanned(Output_0501[[#Headers],[WP_AL1]], Output_0501[[#This Row],[Date]])</f>
        <v/>
      </c>
      <c r="AL33" s="58"/>
      <c r="AM33" s="58" t="str">
        <f ca="1">WeeklyPlanned(Output_0501[[#Headers],[WP_HBase]], Output_0501[[#This Row],[Date]])</f>
        <v/>
      </c>
      <c r="AN33" s="58"/>
      <c r="AO33" s="58">
        <f ca="1">WeeklyPlanned(Output_0501[[#Headers],[WP_HWST]], Output_0501[[#This Row],[Date]])</f>
        <v>16.714285714285715</v>
      </c>
      <c r="AP33" s="58"/>
      <c r="AQ33" s="58" t="str">
        <f ca="1">WeeklyPlanned(Output_0501[[#Headers],[WP_HWSR]], Output_0501[[#This Row],[Date]])</f>
        <v/>
      </c>
      <c r="AR33" s="58"/>
      <c r="AS33" s="58">
        <f ca="1">WeeklyPlanned(Output_0501[[#Headers],[WP_HL2]], Output_0501[[#This Row],[Date]])</f>
        <v>83.333333333333343</v>
      </c>
      <c r="AT33" s="58"/>
      <c r="AU33" s="58" t="str">
        <f ca="1">WeeklyPlanned(Output_0501[[#Headers],[WP_HBCeil]], Output_0501[[#This Row],[Date]])</f>
        <v/>
      </c>
      <c r="AV33" s="58"/>
    </row>
    <row r="34" spans="2:48" ht="15.5" x14ac:dyDescent="0.35">
      <c r="B34" s="3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50"/>
      <c r="AA34" s="54">
        <f t="shared" si="3"/>
        <v>44125</v>
      </c>
      <c r="AB34" s="56" t="str">
        <f t="shared" ca="1" si="2"/>
        <v>HWST, HL2</v>
      </c>
      <c r="AC3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8">
        <f ca="1">SUM($AC$14:AC34)</f>
        <v>577.57142857142867</v>
      </c>
      <c r="AF34" s="58" t="e">
        <f>IF(AD34="",NA(),SUM($AD$14:AD34))</f>
        <v>#N/A</v>
      </c>
      <c r="AG34" s="58" t="str">
        <f ca="1">WeeklyPlanned(Output_0501[[#Headers],[WP_ABC]], Output_0501[[#This Row],[Date]])</f>
        <v/>
      </c>
      <c r="AH34" s="58"/>
      <c r="AI34" s="58" t="str">
        <f ca="1">WeeklyPlanned(Output_0501[[#Headers],[WP_ACS]], Output_0501[[#This Row],[Date]])</f>
        <v/>
      </c>
      <c r="AJ34" s="58"/>
      <c r="AK34" s="58" t="str">
        <f ca="1">WeeklyPlanned(Output_0501[[#Headers],[WP_AL1]], Output_0501[[#This Row],[Date]])</f>
        <v/>
      </c>
      <c r="AL34" s="58"/>
      <c r="AM34" s="58" t="str">
        <f ca="1">WeeklyPlanned(Output_0501[[#Headers],[WP_HBase]], Output_0501[[#This Row],[Date]])</f>
        <v/>
      </c>
      <c r="AN34" s="58"/>
      <c r="AO34" s="58">
        <f ca="1">WeeklyPlanned(Output_0501[[#Headers],[WP_HWST]], Output_0501[[#This Row],[Date]])</f>
        <v>27.857142857142854</v>
      </c>
      <c r="AP34" s="58"/>
      <c r="AQ34" s="58" t="str">
        <f ca="1">WeeklyPlanned(Output_0501[[#Headers],[WP_HWSR]], Output_0501[[#This Row],[Date]])</f>
        <v/>
      </c>
      <c r="AR34" s="58"/>
      <c r="AS34" s="58">
        <f ca="1">WeeklyPlanned(Output_0501[[#Headers],[WP_HL2]], Output_0501[[#This Row],[Date]])</f>
        <v>83.333333333333343</v>
      </c>
      <c r="AT34" s="58"/>
      <c r="AU34" s="58" t="str">
        <f ca="1">WeeklyPlanned(Output_0501[[#Headers],[WP_HBCeil]], Output_0501[[#This Row],[Date]])</f>
        <v/>
      </c>
      <c r="AV34" s="58"/>
    </row>
    <row r="35" spans="2:48" ht="15.5" x14ac:dyDescent="0.35">
      <c r="B35" s="3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50"/>
      <c r="AA35" s="54">
        <f t="shared" si="3"/>
        <v>44132</v>
      </c>
      <c r="AB35" s="56" t="str">
        <f t="shared" ca="1" si="2"/>
        <v>HBase, HWST, HL2</v>
      </c>
      <c r="AC3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8">
        <f ca="1">SUM($AC$14:AC35)</f>
        <v>671.92857142857156</v>
      </c>
      <c r="AF35" s="58" t="e">
        <f>IF(AD35="",NA(),SUM($AD$14:AD35))</f>
        <v>#N/A</v>
      </c>
      <c r="AG35" s="58" t="str">
        <f ca="1">WeeklyPlanned(Output_0501[[#Headers],[WP_ABC]], Output_0501[[#This Row],[Date]])</f>
        <v/>
      </c>
      <c r="AH35" s="58"/>
      <c r="AI35" s="58" t="str">
        <f ca="1">WeeklyPlanned(Output_0501[[#Headers],[WP_ACS]], Output_0501[[#This Row],[Date]])</f>
        <v/>
      </c>
      <c r="AJ35" s="58"/>
      <c r="AK35" s="58" t="str">
        <f ca="1">WeeklyPlanned(Output_0501[[#Headers],[WP_AL1]], Output_0501[[#This Row],[Date]])</f>
        <v/>
      </c>
      <c r="AL35" s="58"/>
      <c r="AM35" s="58">
        <f ca="1">WeeklyPlanned(Output_0501[[#Headers],[WP_HBase]], Output_0501[[#This Row],[Date]])</f>
        <v>16.5</v>
      </c>
      <c r="AN35" s="58"/>
      <c r="AO35" s="58">
        <f ca="1">WeeklyPlanned(Output_0501[[#Headers],[WP_HWST]], Output_0501[[#This Row],[Date]])</f>
        <v>27.857142857142854</v>
      </c>
      <c r="AP35" s="58"/>
      <c r="AQ35" s="58" t="str">
        <f ca="1">WeeklyPlanned(Output_0501[[#Headers],[WP_HWSR]], Output_0501[[#This Row],[Date]])</f>
        <v/>
      </c>
      <c r="AR35" s="58"/>
      <c r="AS35" s="58">
        <f ca="1">WeeklyPlanned(Output_0501[[#Headers],[WP_HL2]], Output_0501[[#This Row],[Date]])</f>
        <v>50</v>
      </c>
      <c r="AT35" s="58"/>
      <c r="AU35" s="58" t="str">
        <f ca="1">WeeklyPlanned(Output_0501[[#Headers],[WP_HBCeil]], Output_0501[[#This Row],[Date]])</f>
        <v/>
      </c>
      <c r="AV35" s="58"/>
    </row>
    <row r="36" spans="2:48" ht="15.5" x14ac:dyDescent="0.35">
      <c r="B36" s="3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50"/>
      <c r="AA36" s="54">
        <f t="shared" si="3"/>
        <v>44139</v>
      </c>
      <c r="AB36" s="56" t="str">
        <f t="shared" ca="1" si="2"/>
        <v>AL1, HBase, HWST</v>
      </c>
      <c r="AC3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8">
        <f ca="1">SUM($AC$14:AC36)</f>
        <v>911.88571428571436</v>
      </c>
      <c r="AF36" s="58" t="e">
        <f>IF(AD36="",NA(),SUM($AD$14:AD36))</f>
        <v>#N/A</v>
      </c>
      <c r="AG36" s="58" t="str">
        <f ca="1">WeeklyPlanned(Output_0501[[#Headers],[WP_ABC]], Output_0501[[#This Row],[Date]])</f>
        <v/>
      </c>
      <c r="AH36" s="58"/>
      <c r="AI36" s="58" t="str">
        <f ca="1">WeeklyPlanned(Output_0501[[#Headers],[WP_ACS]], Output_0501[[#This Row],[Date]])</f>
        <v/>
      </c>
      <c r="AJ36" s="58"/>
      <c r="AK36" s="58">
        <f ca="1">WeeklyPlanned(Output_0501[[#Headers],[WP_AL1]], Output_0501[[#This Row],[Date]])</f>
        <v>129.6</v>
      </c>
      <c r="AL36" s="58"/>
      <c r="AM36" s="58">
        <f ca="1">WeeklyPlanned(Output_0501[[#Headers],[WP_HBase]], Output_0501[[#This Row],[Date]])</f>
        <v>82.5</v>
      </c>
      <c r="AN36" s="58"/>
      <c r="AO36" s="58">
        <f ca="1">WeeklyPlanned(Output_0501[[#Headers],[WP_HWST]], Output_0501[[#This Row],[Date]])</f>
        <v>27.857142857142854</v>
      </c>
      <c r="AP36" s="58"/>
      <c r="AQ36" s="58" t="str">
        <f ca="1">WeeklyPlanned(Output_0501[[#Headers],[WP_HWSR]], Output_0501[[#This Row],[Date]])</f>
        <v/>
      </c>
      <c r="AR36" s="58"/>
      <c r="AS36" s="58" t="str">
        <f ca="1">WeeklyPlanned(Output_0501[[#Headers],[WP_HL2]], Output_0501[[#This Row],[Date]])</f>
        <v/>
      </c>
      <c r="AT36" s="58"/>
      <c r="AU36" s="58" t="str">
        <f ca="1">WeeklyPlanned(Output_0501[[#Headers],[WP_HBCeil]], Output_0501[[#This Row],[Date]])</f>
        <v/>
      </c>
      <c r="AV36" s="58"/>
    </row>
    <row r="37" spans="2:48" ht="15.5" x14ac:dyDescent="0.35">
      <c r="B37" s="3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50"/>
      <c r="AA37" s="54">
        <f t="shared" si="3"/>
        <v>44146</v>
      </c>
      <c r="AB37" s="56" t="str">
        <f t="shared" ca="1" si="2"/>
        <v>AL1, HBase, HWST</v>
      </c>
      <c r="AC3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8">
        <f ca="1">SUM($AC$14:AC37)</f>
        <v>1134.7428571428572</v>
      </c>
      <c r="AF37" s="58" t="e">
        <f>IF(AD37="",NA(),SUM($AD$14:AD37))</f>
        <v>#N/A</v>
      </c>
      <c r="AG37" s="58" t="str">
        <f ca="1">WeeklyPlanned(Output_0501[[#Headers],[WP_ABC]], Output_0501[[#This Row],[Date]])</f>
        <v/>
      </c>
      <c r="AH37" s="58"/>
      <c r="AI37" s="58" t="str">
        <f ca="1">WeeklyPlanned(Output_0501[[#Headers],[WP_ACS]], Output_0501[[#This Row],[Date]])</f>
        <v/>
      </c>
      <c r="AJ37" s="58"/>
      <c r="AK37" s="58">
        <f ca="1">WeeklyPlanned(Output_0501[[#Headers],[WP_AL1]], Output_0501[[#This Row],[Date]])</f>
        <v>162</v>
      </c>
      <c r="AL37" s="58"/>
      <c r="AM37" s="58">
        <f ca="1">WeeklyPlanned(Output_0501[[#Headers],[WP_HBase]], Output_0501[[#This Row],[Date]])</f>
        <v>33</v>
      </c>
      <c r="AN37" s="58"/>
      <c r="AO37" s="58">
        <f ca="1">WeeklyPlanned(Output_0501[[#Headers],[WP_HWST]], Output_0501[[#This Row],[Date]])</f>
        <v>27.857142857142854</v>
      </c>
      <c r="AP37" s="58"/>
      <c r="AQ37" s="58" t="str">
        <f ca="1">WeeklyPlanned(Output_0501[[#Headers],[WP_HWSR]], Output_0501[[#This Row],[Date]])</f>
        <v/>
      </c>
      <c r="AR37" s="58"/>
      <c r="AS37" s="58" t="str">
        <f ca="1">WeeklyPlanned(Output_0501[[#Headers],[WP_HL2]], Output_0501[[#This Row],[Date]])</f>
        <v/>
      </c>
      <c r="AT37" s="58"/>
      <c r="AU37" s="58" t="str">
        <f ca="1">WeeklyPlanned(Output_0501[[#Headers],[WP_HBCeil]], Output_0501[[#This Row],[Date]])</f>
        <v/>
      </c>
      <c r="AV37" s="58"/>
    </row>
    <row r="38" spans="2:48" ht="15.5" x14ac:dyDescent="0.35">
      <c r="B38" s="3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50"/>
      <c r="AA38" s="54">
        <f t="shared" si="3"/>
        <v>44153</v>
      </c>
      <c r="AB38" s="56" t="str">
        <f t="shared" ca="1" si="2"/>
        <v>AL1, HWST</v>
      </c>
      <c r="AC3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8">
        <f ca="1">SUM($AC$14:AC38)</f>
        <v>1195</v>
      </c>
      <c r="AF38" s="58" t="e">
        <f>IF(AD38="",NA(),SUM($AD$14:AD38))</f>
        <v>#N/A</v>
      </c>
      <c r="AG38" s="58" t="str">
        <f ca="1">WeeklyPlanned(Output_0501[[#Headers],[WP_ABC]], Output_0501[[#This Row],[Date]])</f>
        <v/>
      </c>
      <c r="AH38" s="58"/>
      <c r="AI38" s="58" t="str">
        <f ca="1">WeeklyPlanned(Output_0501[[#Headers],[WP_ACS]], Output_0501[[#This Row],[Date]])</f>
        <v/>
      </c>
      <c r="AJ38" s="58"/>
      <c r="AK38" s="58">
        <f ca="1">WeeklyPlanned(Output_0501[[#Headers],[WP_AL1]], Output_0501[[#This Row],[Date]])</f>
        <v>32.4</v>
      </c>
      <c r="AL38" s="58"/>
      <c r="AM38" s="58" t="str">
        <f ca="1">WeeklyPlanned(Output_0501[[#Headers],[WP_HBase]], Output_0501[[#This Row],[Date]])</f>
        <v/>
      </c>
      <c r="AN38" s="58"/>
      <c r="AO38" s="58">
        <f ca="1">WeeklyPlanned(Output_0501[[#Headers],[WP_HWST]], Output_0501[[#This Row],[Date]])</f>
        <v>27.857142857142854</v>
      </c>
      <c r="AP38" s="58"/>
      <c r="AQ38" s="58" t="str">
        <f ca="1">WeeklyPlanned(Output_0501[[#Headers],[WP_HWSR]], Output_0501[[#This Row],[Date]])</f>
        <v/>
      </c>
      <c r="AR38" s="58"/>
      <c r="AS38" s="58" t="str">
        <f ca="1">WeeklyPlanned(Output_0501[[#Headers],[WP_HL2]], Output_0501[[#This Row],[Date]])</f>
        <v/>
      </c>
      <c r="AT38" s="58"/>
      <c r="AU38" s="58" t="str">
        <f ca="1">WeeklyPlanned(Output_0501[[#Headers],[WP_HBCeil]], Output_0501[[#This Row],[Date]])</f>
        <v/>
      </c>
      <c r="AV38" s="58"/>
    </row>
    <row r="39" spans="2:48" ht="15.5" x14ac:dyDescent="0.35">
      <c r="B39" s="3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50"/>
      <c r="AA39" s="54">
        <f t="shared" si="3"/>
        <v>44160</v>
      </c>
      <c r="AB39" s="56" t="str">
        <f t="shared" ca="1" si="2"/>
        <v>HWST</v>
      </c>
      <c r="AC3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8">
        <f ca="1">SUM($AC$14:AC39)</f>
        <v>1222.8571428571429</v>
      </c>
      <c r="AF39" s="58" t="e">
        <f>IF(AD39="",NA(),SUM($AD$14:AD39))</f>
        <v>#N/A</v>
      </c>
      <c r="AG39" s="58" t="str">
        <f ca="1">WeeklyPlanned(Output_0501[[#Headers],[WP_ABC]], Output_0501[[#This Row],[Date]])</f>
        <v/>
      </c>
      <c r="AH39" s="58"/>
      <c r="AI39" s="58" t="str">
        <f ca="1">WeeklyPlanned(Output_0501[[#Headers],[WP_ACS]], Output_0501[[#This Row],[Date]])</f>
        <v/>
      </c>
      <c r="AJ39" s="58"/>
      <c r="AK39" s="58" t="str">
        <f ca="1">WeeklyPlanned(Output_0501[[#Headers],[WP_AL1]], Output_0501[[#This Row],[Date]])</f>
        <v/>
      </c>
      <c r="AL39" s="58"/>
      <c r="AM39" s="58" t="str">
        <f ca="1">WeeklyPlanned(Output_0501[[#Headers],[WP_HBase]], Output_0501[[#This Row],[Date]])</f>
        <v/>
      </c>
      <c r="AN39" s="58"/>
      <c r="AO39" s="58">
        <f ca="1">WeeklyPlanned(Output_0501[[#Headers],[WP_HWST]], Output_0501[[#This Row],[Date]])</f>
        <v>27.857142857142854</v>
      </c>
      <c r="AP39" s="58"/>
      <c r="AQ39" s="58" t="str">
        <f ca="1">WeeklyPlanned(Output_0501[[#Headers],[WP_HWSR]], Output_0501[[#This Row],[Date]])</f>
        <v/>
      </c>
      <c r="AR39" s="58"/>
      <c r="AS39" s="58" t="str">
        <f ca="1">WeeklyPlanned(Output_0501[[#Headers],[WP_HL2]], Output_0501[[#This Row],[Date]])</f>
        <v/>
      </c>
      <c r="AT39" s="58"/>
      <c r="AU39" s="58" t="str">
        <f ca="1">WeeklyPlanned(Output_0501[[#Headers],[WP_HBCeil]], Output_0501[[#This Row],[Date]])</f>
        <v/>
      </c>
      <c r="AV39" s="58"/>
    </row>
    <row r="40" spans="2:4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44167</v>
      </c>
      <c r="AB40" s="56" t="str">
        <f t="shared" ca="1" si="2"/>
        <v>HWST</v>
      </c>
      <c r="AC4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8">
        <f ca="1">SUM($AC$14:AC40)</f>
        <v>1250.7142857142858</v>
      </c>
      <c r="AF40" s="58" t="e">
        <f>IF(AD40="",NA(),SUM($AD$14:AD40))</f>
        <v>#N/A</v>
      </c>
      <c r="AG40" s="58" t="str">
        <f ca="1">WeeklyPlanned(Output_0501[[#Headers],[WP_ABC]], Output_0501[[#This Row],[Date]])</f>
        <v/>
      </c>
      <c r="AH40" s="58"/>
      <c r="AI40" s="58" t="str">
        <f ca="1">WeeklyPlanned(Output_0501[[#Headers],[WP_ACS]], Output_0501[[#This Row],[Date]])</f>
        <v/>
      </c>
      <c r="AJ40" s="58"/>
      <c r="AK40" s="58" t="str">
        <f ca="1">WeeklyPlanned(Output_0501[[#Headers],[WP_AL1]], Output_0501[[#This Row],[Date]])</f>
        <v/>
      </c>
      <c r="AL40" s="58"/>
      <c r="AM40" s="58" t="str">
        <f ca="1">WeeklyPlanned(Output_0501[[#Headers],[WP_HBase]], Output_0501[[#This Row],[Date]])</f>
        <v/>
      </c>
      <c r="AN40" s="58"/>
      <c r="AO40" s="58">
        <f ca="1">WeeklyPlanned(Output_0501[[#Headers],[WP_HWST]], Output_0501[[#This Row],[Date]])</f>
        <v>27.857142857142854</v>
      </c>
      <c r="AP40" s="58"/>
      <c r="AQ40" s="58" t="str">
        <f ca="1">WeeklyPlanned(Output_0501[[#Headers],[WP_HWSR]], Output_0501[[#This Row],[Date]])</f>
        <v/>
      </c>
      <c r="AR40" s="58"/>
      <c r="AS40" s="58" t="str">
        <f ca="1">WeeklyPlanned(Output_0501[[#Headers],[WP_HL2]], Output_0501[[#This Row],[Date]])</f>
        <v/>
      </c>
      <c r="AT40" s="58"/>
      <c r="AU40" s="58" t="str">
        <f ca="1">WeeklyPlanned(Output_0501[[#Headers],[WP_HBCeil]], Output_0501[[#This Row],[Date]])</f>
        <v/>
      </c>
      <c r="AV40" s="58"/>
    </row>
    <row r="41" spans="2:48" ht="14.5" x14ac:dyDescent="0.35">
      <c r="AA41" s="54">
        <f t="shared" si="3"/>
        <v>44174</v>
      </c>
      <c r="AB41" s="56" t="str">
        <f t="shared" ca="1" si="2"/>
        <v>HWST</v>
      </c>
      <c r="AC4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8">
        <f ca="1">SUM($AC$14:AC41)</f>
        <v>1278.5714285714287</v>
      </c>
      <c r="AF41" s="58" t="e">
        <f>IF(AD41="",NA(),SUM($AD$14:AD41))</f>
        <v>#N/A</v>
      </c>
      <c r="AG41" s="58" t="str">
        <f ca="1">WeeklyPlanned(Output_0501[[#Headers],[WP_ABC]], Output_0501[[#This Row],[Date]])</f>
        <v/>
      </c>
      <c r="AH41" s="58"/>
      <c r="AI41" s="58" t="str">
        <f ca="1">WeeklyPlanned(Output_0501[[#Headers],[WP_ACS]], Output_0501[[#This Row],[Date]])</f>
        <v/>
      </c>
      <c r="AJ41" s="58"/>
      <c r="AK41" s="58" t="str">
        <f ca="1">WeeklyPlanned(Output_0501[[#Headers],[WP_AL1]], Output_0501[[#This Row],[Date]])</f>
        <v/>
      </c>
      <c r="AL41" s="58"/>
      <c r="AM41" s="58" t="str">
        <f ca="1">WeeklyPlanned(Output_0501[[#Headers],[WP_HBase]], Output_0501[[#This Row],[Date]])</f>
        <v/>
      </c>
      <c r="AN41" s="58"/>
      <c r="AO41" s="58">
        <f ca="1">WeeklyPlanned(Output_0501[[#Headers],[WP_HWST]], Output_0501[[#This Row],[Date]])</f>
        <v>27.857142857142854</v>
      </c>
      <c r="AP41" s="58"/>
      <c r="AQ41" s="58" t="str">
        <f ca="1">WeeklyPlanned(Output_0501[[#Headers],[WP_HWSR]], Output_0501[[#This Row],[Date]])</f>
        <v/>
      </c>
      <c r="AR41" s="58"/>
      <c r="AS41" s="58" t="str">
        <f ca="1">WeeklyPlanned(Output_0501[[#Headers],[WP_HL2]], Output_0501[[#This Row],[Date]])</f>
        <v/>
      </c>
      <c r="AT41" s="58"/>
      <c r="AU41" s="58" t="str">
        <f ca="1">WeeklyPlanned(Output_0501[[#Headers],[WP_HBCeil]], Output_0501[[#This Row],[Date]])</f>
        <v/>
      </c>
      <c r="AV41" s="58"/>
    </row>
    <row r="42" spans="2:48" ht="14.5" x14ac:dyDescent="0.35">
      <c r="AA42" s="54">
        <f t="shared" si="3"/>
        <v>44181</v>
      </c>
      <c r="AB42" s="56" t="str">
        <f t="shared" ca="1" si="2"/>
        <v>HWST</v>
      </c>
      <c r="AC4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8">
        <f ca="1">SUM($AC$14:AC42)</f>
        <v>1306.4285714285716</v>
      </c>
      <c r="AF42" s="58" t="e">
        <f>IF(AD42="",NA(),SUM($AD$14:AD42))</f>
        <v>#N/A</v>
      </c>
      <c r="AG42" s="58" t="str">
        <f ca="1">WeeklyPlanned(Output_0501[[#Headers],[WP_ABC]], Output_0501[[#This Row],[Date]])</f>
        <v/>
      </c>
      <c r="AH42" s="58"/>
      <c r="AI42" s="58" t="str">
        <f ca="1">WeeklyPlanned(Output_0501[[#Headers],[WP_ACS]], Output_0501[[#This Row],[Date]])</f>
        <v/>
      </c>
      <c r="AJ42" s="58"/>
      <c r="AK42" s="58" t="str">
        <f ca="1">WeeklyPlanned(Output_0501[[#Headers],[WP_AL1]], Output_0501[[#This Row],[Date]])</f>
        <v/>
      </c>
      <c r="AL42" s="58"/>
      <c r="AM42" s="58" t="str">
        <f ca="1">WeeklyPlanned(Output_0501[[#Headers],[WP_HBase]], Output_0501[[#This Row],[Date]])</f>
        <v/>
      </c>
      <c r="AN42" s="58"/>
      <c r="AO42" s="58">
        <f ca="1">WeeklyPlanned(Output_0501[[#Headers],[WP_HWST]], Output_0501[[#This Row],[Date]])</f>
        <v>27.857142857142854</v>
      </c>
      <c r="AP42" s="58"/>
      <c r="AQ42" s="58" t="str">
        <f ca="1">WeeklyPlanned(Output_0501[[#Headers],[WP_HWSR]], Output_0501[[#This Row],[Date]])</f>
        <v/>
      </c>
      <c r="AR42" s="58"/>
      <c r="AS42" s="58" t="str">
        <f ca="1">WeeklyPlanned(Output_0501[[#Headers],[WP_HL2]], Output_0501[[#This Row],[Date]])</f>
        <v/>
      </c>
      <c r="AT42" s="58"/>
      <c r="AU42" s="58" t="str">
        <f ca="1">WeeklyPlanned(Output_0501[[#Headers],[WP_HBCeil]], Output_0501[[#This Row],[Date]])</f>
        <v/>
      </c>
      <c r="AV42" s="58"/>
    </row>
    <row r="43" spans="2:48" ht="14.5" x14ac:dyDescent="0.35">
      <c r="AA43" s="54">
        <f t="shared" si="3"/>
        <v>44188</v>
      </c>
      <c r="AB43" s="56" t="str">
        <f t="shared" ca="1" si="2"/>
        <v>HWST, HWSR</v>
      </c>
      <c r="AC4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8">
        <f ca="1">SUM($AC$14:AC43)</f>
        <v>1326.2222222222224</v>
      </c>
      <c r="AF43" s="58" t="e">
        <f>IF(AD43="",NA(),SUM($AD$14:AD43))</f>
        <v>#N/A</v>
      </c>
      <c r="AG43" s="58" t="str">
        <f ca="1">WeeklyPlanned(Output_0501[[#Headers],[WP_ABC]], Output_0501[[#This Row],[Date]])</f>
        <v/>
      </c>
      <c r="AH43" s="58"/>
      <c r="AI43" s="58" t="str">
        <f ca="1">WeeklyPlanned(Output_0501[[#Headers],[WP_ACS]], Output_0501[[#This Row],[Date]])</f>
        <v/>
      </c>
      <c r="AJ43" s="58"/>
      <c r="AK43" s="58" t="str">
        <f ca="1">WeeklyPlanned(Output_0501[[#Headers],[WP_AL1]], Output_0501[[#This Row],[Date]])</f>
        <v/>
      </c>
      <c r="AL43" s="58"/>
      <c r="AM43" s="58" t="str">
        <f ca="1">WeeklyPlanned(Output_0501[[#Headers],[WP_HBase]], Output_0501[[#This Row],[Date]])</f>
        <v/>
      </c>
      <c r="AN43" s="58"/>
      <c r="AO43" s="58">
        <f ca="1">WeeklyPlanned(Output_0501[[#Headers],[WP_HWST]], Output_0501[[#This Row],[Date]])</f>
        <v>5.5714285714285712</v>
      </c>
      <c r="AP43" s="58"/>
      <c r="AQ43" s="58">
        <f ca="1">WeeklyPlanned(Output_0501[[#Headers],[WP_HWSR]], Output_0501[[#This Row],[Date]])</f>
        <v>14.222222222222221</v>
      </c>
      <c r="AR43" s="58"/>
      <c r="AS43" s="58" t="str">
        <f ca="1">WeeklyPlanned(Output_0501[[#Headers],[WP_HL2]], Output_0501[[#This Row],[Date]])</f>
        <v/>
      </c>
      <c r="AT43" s="58"/>
      <c r="AU43" s="58" t="str">
        <f ca="1">WeeklyPlanned(Output_0501[[#Headers],[WP_HBCeil]], Output_0501[[#This Row],[Date]])</f>
        <v/>
      </c>
      <c r="AV43" s="58"/>
    </row>
    <row r="44" spans="2:48" ht="14.5" x14ac:dyDescent="0.35">
      <c r="AA44" s="54">
        <f t="shared" si="3"/>
        <v>44195</v>
      </c>
      <c r="AB44" s="56" t="str">
        <f t="shared" ca="1" si="2"/>
        <v>HWSR</v>
      </c>
      <c r="AC4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8">
        <f ca="1">SUM($AC$14:AC44)</f>
        <v>1340.4444444444446</v>
      </c>
      <c r="AF44" s="58" t="e">
        <f>IF(AD44="",NA(),SUM($AD$14:AD44))</f>
        <v>#N/A</v>
      </c>
      <c r="AG44" s="58" t="str">
        <f ca="1">WeeklyPlanned(Output_0501[[#Headers],[WP_ABC]], Output_0501[[#This Row],[Date]])</f>
        <v/>
      </c>
      <c r="AH44" s="58"/>
      <c r="AI44" s="58" t="str">
        <f ca="1">WeeklyPlanned(Output_0501[[#Headers],[WP_ACS]], Output_0501[[#This Row],[Date]])</f>
        <v/>
      </c>
      <c r="AJ44" s="58"/>
      <c r="AK44" s="58" t="str">
        <f ca="1">WeeklyPlanned(Output_0501[[#Headers],[WP_AL1]], Output_0501[[#This Row],[Date]])</f>
        <v/>
      </c>
      <c r="AL44" s="58"/>
      <c r="AM44" s="58" t="str">
        <f ca="1">WeeklyPlanned(Output_0501[[#Headers],[WP_HBase]], Output_0501[[#This Row],[Date]])</f>
        <v/>
      </c>
      <c r="AN44" s="58"/>
      <c r="AO44" s="58" t="str">
        <f ca="1">WeeklyPlanned(Output_0501[[#Headers],[WP_HWST]], Output_0501[[#This Row],[Date]])</f>
        <v/>
      </c>
      <c r="AP44" s="58"/>
      <c r="AQ44" s="58">
        <f ca="1">WeeklyPlanned(Output_0501[[#Headers],[WP_HWSR]], Output_0501[[#This Row],[Date]])</f>
        <v>14.222222222222221</v>
      </c>
      <c r="AR44" s="58"/>
      <c r="AS44" s="58" t="str">
        <f ca="1">WeeklyPlanned(Output_0501[[#Headers],[WP_HL2]], Output_0501[[#This Row],[Date]])</f>
        <v/>
      </c>
      <c r="AT44" s="58"/>
      <c r="AU44" s="58" t="str">
        <f ca="1">WeeklyPlanned(Output_0501[[#Headers],[WP_HBCeil]], Output_0501[[#This Row],[Date]])</f>
        <v/>
      </c>
      <c r="AV44" s="58"/>
    </row>
    <row r="45" spans="2:48" ht="14.5" x14ac:dyDescent="0.35">
      <c r="AA45" s="54">
        <f t="shared" si="3"/>
        <v>44202</v>
      </c>
      <c r="AB45" s="56" t="str">
        <f t="shared" ca="1" si="2"/>
        <v>HWSR</v>
      </c>
      <c r="AC4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8">
        <f ca="1">SUM($AC$14:AC45)</f>
        <v>1344.0000000000002</v>
      </c>
      <c r="AF45" s="58" t="e">
        <f>IF(AD45="",NA(),SUM($AD$14:AD45))</f>
        <v>#N/A</v>
      </c>
      <c r="AG45" s="58" t="str">
        <f ca="1">WeeklyPlanned(Output_0501[[#Headers],[WP_ABC]], Output_0501[[#This Row],[Date]])</f>
        <v/>
      </c>
      <c r="AH45" s="58"/>
      <c r="AI45" s="58" t="str">
        <f ca="1">WeeklyPlanned(Output_0501[[#Headers],[WP_ACS]], Output_0501[[#This Row],[Date]])</f>
        <v/>
      </c>
      <c r="AJ45" s="58"/>
      <c r="AK45" s="58" t="str">
        <f ca="1">WeeklyPlanned(Output_0501[[#Headers],[WP_AL1]], Output_0501[[#This Row],[Date]])</f>
        <v/>
      </c>
      <c r="AL45" s="58"/>
      <c r="AM45" s="58" t="str">
        <f ca="1">WeeklyPlanned(Output_0501[[#Headers],[WP_HBase]], Output_0501[[#This Row],[Date]])</f>
        <v/>
      </c>
      <c r="AN45" s="58"/>
      <c r="AO45" s="58" t="str">
        <f ca="1">WeeklyPlanned(Output_0501[[#Headers],[WP_HWST]], Output_0501[[#This Row],[Date]])</f>
        <v/>
      </c>
      <c r="AP45" s="58"/>
      <c r="AQ45" s="58">
        <f ca="1">WeeklyPlanned(Output_0501[[#Headers],[WP_HWSR]], Output_0501[[#This Row],[Date]])</f>
        <v>3.5555555555555554</v>
      </c>
      <c r="AR45" s="58"/>
      <c r="AS45" s="58" t="str">
        <f ca="1">WeeklyPlanned(Output_0501[[#Headers],[WP_HL2]], Output_0501[[#This Row],[Date]])</f>
        <v/>
      </c>
      <c r="AT45" s="58"/>
      <c r="AU45" s="58" t="str">
        <f ca="1">WeeklyPlanned(Output_0501[[#Headers],[WP_HBCeil]], Output_0501[[#This Row],[Date]])</f>
        <v/>
      </c>
      <c r="AV45" s="58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38" priority="7">
      <formula>ISERROR(AF14)</formula>
    </cfRule>
  </conditionalFormatting>
  <conditionalFormatting sqref="W13:X13">
    <cfRule type="expression" dxfId="37" priority="6">
      <formula>IF(OR($S$8 = "Assemble Addin", $S$8 = "Bluebeam QL"), TRUE, FALSE)</formula>
    </cfRule>
  </conditionalFormatting>
  <conditionalFormatting sqref="N6:O6">
    <cfRule type="expression" dxfId="36" priority="5">
      <formula>IF($N$6=$O$6, FALSE, TRUE)</formula>
    </cfRule>
  </conditionalFormatting>
  <conditionalFormatting sqref="W14:X21">
    <cfRule type="expression" dxfId="35" priority="3">
      <formula>IF(OR($S$8 = "Assemble Addin", $S$8 = "Bluebeam QL"), TRUE, FALSE)</formula>
    </cfRule>
    <cfRule type="expression" dxfId="34" priority="4">
      <formula>IF(OR($S$8 = "Assemble Addin", $S$8 = "Bluebeam QL"), MOD(ROW(), 2)=0, FALSE)</formula>
    </cfRule>
  </conditionalFormatting>
  <conditionalFormatting sqref="R13">
    <cfRule type="expression" dxfId="33" priority="2">
      <formula>IF($S$8 = "Assemble Addin", TRUE, FALSE)</formula>
    </cfRule>
  </conditionalFormatting>
  <conditionalFormatting sqref="R14:R21">
    <cfRule type="expression" dxfId="32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2020-07-13T20:09:04Z</cp:lastPrinted>
  <dcterms:created xsi:type="dcterms:W3CDTF">2019-04-09T17:53:55Z</dcterms:created>
  <dcterms:modified xsi:type="dcterms:W3CDTF">2020-07-13T23:54:31Z</dcterms:modified>
</cp:coreProperties>
</file>