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30C6DEAC-1AF4-4995-A0AC-1A2BACF85BB3}" xr6:coauthVersionLast="44" xr6:coauthVersionMax="44" xr10:uidLastSave="{00000000-0000-0000-0000-000000000000}"/>
  <bookViews>
    <workbookView xWindow="-28920" yWindow="14190" windowWidth="29040" windowHeight="1764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43" i="3" l="1"/>
  <c r="AF43" i="3" s="1"/>
  <c r="AD42" i="3"/>
  <c r="AF42" i="3" s="1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F23" i="3" s="1"/>
  <c r="AD22" i="3"/>
  <c r="AF22" i="3" s="1"/>
  <c r="AD21" i="3"/>
  <c r="AF21" i="3" s="1"/>
  <c r="AD20" i="3"/>
  <c r="AF20" i="3" s="1"/>
  <c r="AD19" i="3"/>
  <c r="AF19" i="3" s="1"/>
  <c r="AD18" i="3"/>
  <c r="AF18" i="3" s="1"/>
  <c r="AD17" i="3"/>
  <c r="AF17" i="3" s="1"/>
  <c r="AD16" i="3"/>
  <c r="AF16" i="3" s="1"/>
  <c r="AD15" i="3"/>
  <c r="AD14" i="3"/>
  <c r="AF40" i="3"/>
  <c r="AF39" i="3"/>
  <c r="AF15" i="3"/>
  <c r="AE18" i="3"/>
  <c r="AK43" i="3"/>
  <c r="AK42" i="3"/>
  <c r="AK41" i="3"/>
  <c r="AK40" i="3"/>
  <c r="AK39" i="3"/>
  <c r="AK38" i="3"/>
  <c r="AK37" i="3"/>
  <c r="AK36" i="3"/>
  <c r="AK35" i="3"/>
  <c r="AK34" i="3"/>
  <c r="AK33" i="3"/>
  <c r="AK32" i="3"/>
  <c r="AK31" i="3"/>
  <c r="AK30" i="3"/>
  <c r="AK29" i="3"/>
  <c r="AK28" i="3"/>
  <c r="AK27" i="3"/>
  <c r="AK26" i="3"/>
  <c r="AK25" i="3"/>
  <c r="AK24" i="3"/>
  <c r="AK23" i="3"/>
  <c r="AK22" i="3"/>
  <c r="AK21" i="3"/>
  <c r="AK20" i="3"/>
  <c r="AK19" i="3"/>
  <c r="AK18" i="3"/>
  <c r="AK17" i="3"/>
  <c r="AK16" i="3"/>
  <c r="AK15" i="3"/>
  <c r="AK1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C42" i="3" l="1"/>
  <c r="AC18" i="3"/>
  <c r="AC41" i="3"/>
  <c r="AC29" i="3"/>
  <c r="AC17" i="3"/>
  <c r="AC40" i="3"/>
  <c r="AC28" i="3"/>
  <c r="AC16" i="3"/>
  <c r="AC39" i="3"/>
  <c r="AC27" i="3"/>
  <c r="AC15" i="3"/>
  <c r="AC38" i="3"/>
  <c r="AC26" i="3"/>
  <c r="AC14" i="3"/>
  <c r="AC37" i="3"/>
  <c r="AC25" i="3"/>
  <c r="AC30" i="3"/>
  <c r="AC36" i="3"/>
  <c r="AC24" i="3"/>
  <c r="AC35" i="3"/>
  <c r="AC23" i="3"/>
  <c r="AC34" i="3"/>
  <c r="AC22" i="3"/>
  <c r="AC33" i="3"/>
  <c r="AC21" i="3"/>
  <c r="AC32" i="3"/>
  <c r="AC20" i="3"/>
  <c r="AC43" i="3"/>
  <c r="AC31" i="3"/>
  <c r="AC19" i="3"/>
  <c r="AF41" i="3"/>
  <c r="AF37" i="3"/>
  <c r="AF38" i="3"/>
  <c r="AF31" i="3"/>
  <c r="AF29" i="3"/>
  <c r="AF33" i="3"/>
  <c r="AF34" i="3"/>
  <c r="AF32" i="3"/>
  <c r="AF36" i="3"/>
  <c r="AF35" i="3"/>
  <c r="AF28" i="3"/>
  <c r="AF26" i="3"/>
  <c r="AF27" i="3"/>
  <c r="AF30" i="3"/>
  <c r="AF25" i="3"/>
  <c r="AF24" i="3"/>
  <c r="S5" i="3"/>
  <c r="S4" i="3"/>
  <c r="AE33" i="3" l="1"/>
  <c r="AE39" i="3"/>
  <c r="AE43" i="3"/>
  <c r="AE40" i="3"/>
  <c r="AE28" i="3"/>
  <c r="AE41" i="3"/>
  <c r="AE34" i="3"/>
  <c r="AE42" i="3"/>
  <c r="AE27" i="3"/>
  <c r="AE32" i="3"/>
  <c r="AE36" i="3"/>
  <c r="AE24" i="3"/>
  <c r="AE25" i="3"/>
  <c r="AE38" i="3"/>
  <c r="AE37" i="3"/>
  <c r="AE35" i="3"/>
  <c r="AE30" i="3"/>
  <c r="AE26" i="3"/>
  <c r="AE31" i="3"/>
  <c r="AE29" i="3"/>
  <c r="AE19" i="3"/>
  <c r="AE16" i="3"/>
  <c r="AE17" i="3"/>
  <c r="AE20" i="3"/>
  <c r="AE15" i="3"/>
  <c r="AE21" i="3"/>
  <c r="AE22" i="3"/>
  <c r="AE23" i="3"/>
  <c r="AE14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N6" i="3" l="1"/>
  <c r="S7" i="3" l="1"/>
  <c r="L14" i="3" s="1"/>
  <c r="S3" i="3"/>
  <c r="B2" i="3" s="1"/>
  <c r="S2" i="3"/>
  <c r="AB43" i="3"/>
  <c r="AB42" i="3"/>
  <c r="AB41" i="3"/>
  <c r="AB40" i="3"/>
  <c r="AB39" i="3"/>
  <c r="AB38" i="3"/>
  <c r="AB37" i="3"/>
  <c r="AB36" i="3"/>
  <c r="AB35" i="3"/>
  <c r="AB34" i="3"/>
  <c r="AB33" i="3"/>
  <c r="AB32" i="3"/>
  <c r="AB31" i="3"/>
  <c r="AB30" i="3"/>
  <c r="AB29" i="3"/>
  <c r="AB28" i="3"/>
  <c r="AB27" i="3"/>
  <c r="AB26" i="3"/>
  <c r="AB25" i="3"/>
  <c r="AB24" i="3"/>
  <c r="AB23" i="3"/>
  <c r="AB22" i="3"/>
  <c r="AB21" i="3"/>
  <c r="AB20" i="3"/>
  <c r="AB19" i="3"/>
  <c r="AB18" i="3"/>
  <c r="AB17" i="3"/>
  <c r="AB16" i="3"/>
  <c r="AB15" i="3"/>
  <c r="AB14" i="3"/>
  <c r="AF14" i="3" l="1"/>
  <c r="C7" i="3"/>
  <c r="C6" i="3"/>
  <c r="C5" i="3"/>
  <c r="C4" i="3"/>
  <c r="N12" i="3"/>
  <c r="O11" i="3"/>
  <c r="O8" i="3"/>
  <c r="N8" i="3"/>
  <c r="O7" i="3"/>
  <c r="N7" i="3"/>
  <c r="N5" i="3" s="1"/>
  <c r="O6" i="3"/>
  <c r="N10" i="3"/>
  <c r="O10" i="3"/>
  <c r="N11" i="3"/>
  <c r="O9" i="3"/>
  <c r="N9" i="3"/>
  <c r="O5" i="3" l="1"/>
  <c r="N13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<sst xmlns="http://schemas.openxmlformats.org/spreadsheetml/2006/main" count="102" uniqueCount="100">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</sst>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1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7">
    <dxf>
      <numFmt numFmtId="1" formatCode="0"/>
    </dxf>
    <dxf>
      <numFmt numFmtId="1" formatCode="0"/>
    </dxf>
    <dxf>
      <numFmt numFmtId="1" formatCode="0"/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B357DCD-E9A3-45F4-BDE6-03001ECC3D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31CB4D3-9103-476A-B586-C397C5DAAE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63DC65-6F71-4E1E-93B9-524E1C24C4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79FED0-E3B9-46E5-A5BC-46557BA74D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3CCED0-F49E-4963-837D-6FADDB3CA9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E98666-034B-4645-A9F2-D1C4543357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E4D883-E6E4-4C3D-8B05-0FC435A46A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981DAB-BB91-4D96-A5D6-A308BBCC2E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492037D-02D2-456B-941B-25157FEF10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F7DA277-EABC-4B34-807A-0941D0B2D7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E9A400B-3AA4-45E5-8F54-7D02AE3DA4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F388212-72BB-4E6B-A7FF-EF9DDA295D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F85A924-3240-4D1C-98DF-08F67F78B8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E452E9-D6EC-416C-8B2B-7C84CA94BF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561C180-C787-43DB-B1E8-99E2BFD0B0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C4C058-56BE-47E3-96B4-65A23DFD81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222DA69-804F-493E-AB41-66530BACFF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3467BF-5C32-42E6-B750-D06F6F14EA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C468FD-A84A-4F77-AEB1-403B9329BF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0324DC-A722-4B70-9211-4A083AA17E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C9E64A-F153-4B19-9577-49037E6266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C70024-B64B-453B-A7D5-FDABC6138E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9D60D3-F559-4350-9AE7-3CE2750BBF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6646F1-E84E-4D3F-B7F6-7A3FE0B105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C92FC76-2A9B-4A43-83D5-65087ABB64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B64E4FA-67AE-479C-ADCB-BA4A600A3E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B64AF1-FE04-49B0-9B85-1545467321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39F716-A7BE-4D51-A1B5-0F71177D4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CE90D83-D88A-45B1-A452-F4904ABC4A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3138EE-0176-483A-875E-8D5F6D06EF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0</c:formatCode>
                <c:ptCount val="30"/>
                <c:pt idx="0">
                  <c:v>54.545454545454547</c:v>
                </c:pt>
                <c:pt idx="1">
                  <c:v>272.72727272727275</c:v>
                </c:pt>
                <c:pt idx="2">
                  <c:v>272.72727272727275</c:v>
                </c:pt>
                <c:pt idx="3">
                  <c:v>272.72727272727275</c:v>
                </c:pt>
                <c:pt idx="4">
                  <c:v>272.72727272727275</c:v>
                </c:pt>
                <c:pt idx="5">
                  <c:v>272.72727272727275</c:v>
                </c:pt>
                <c:pt idx="6">
                  <c:v>272.72727272727275</c:v>
                </c:pt>
                <c:pt idx="7">
                  <c:v>272.72727272727275</c:v>
                </c:pt>
                <c:pt idx="8">
                  <c:v>272.72727272727275</c:v>
                </c:pt>
                <c:pt idx="9">
                  <c:v>381.81818181818187</c:v>
                </c:pt>
                <c:pt idx="10">
                  <c:v>436.36363636363637</c:v>
                </c:pt>
                <c:pt idx="11">
                  <c:v>545.4545454545455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0</c:formatCode>
                <c:ptCount val="30"/>
                <c:pt idx="0">
                  <c:v>54.545454545454547</c:v>
                </c:pt>
                <c:pt idx="1">
                  <c:v>327.27272727272731</c:v>
                </c:pt>
                <c:pt idx="2">
                  <c:v>600</c:v>
                </c:pt>
                <c:pt idx="3">
                  <c:v>872.72727272727275</c:v>
                </c:pt>
                <c:pt idx="4">
                  <c:v>0</c:v>
                </c:pt>
                <c:pt idx="5">
                  <c:v>1418.1818181818182</c:v>
                </c:pt>
                <c:pt idx="6">
                  <c:v>1690.909090909091</c:v>
                </c:pt>
                <c:pt idx="7">
                  <c:v>1963.6363636363637</c:v>
                </c:pt>
                <c:pt idx="8">
                  <c:v>2236.3636363636365</c:v>
                </c:pt>
                <c:pt idx="9">
                  <c:v>2618.1818181818185</c:v>
                </c:pt>
                <c:pt idx="10">
                  <c:v>8999.9999999999982</c:v>
                </c:pt>
                <c:pt idx="11">
                  <c:v>8999.9999999999982</c:v>
                </c:pt>
                <c:pt idx="12">
                  <c:v>8999.9999999999982</c:v>
                </c:pt>
                <c:pt idx="13">
                  <c:v>8999.9999999999982</c:v>
                </c:pt>
                <c:pt idx="14">
                  <c:v>8999.9999999999982</c:v>
                </c:pt>
                <c:pt idx="15">
                  <c:v>8999.9999999999982</c:v>
                </c:pt>
                <c:pt idx="16">
                  <c:v>8999.9999999999982</c:v>
                </c:pt>
                <c:pt idx="17">
                  <c:v>8999.9999999999982</c:v>
                </c:pt>
                <c:pt idx="18">
                  <c:v>8999.9999999999982</c:v>
                </c:pt>
                <c:pt idx="19">
                  <c:v>8999.9999999999982</c:v>
                </c:pt>
                <c:pt idx="20">
                  <c:v>8999.9999999999982</c:v>
                </c:pt>
                <c:pt idx="21">
                  <c:v>8999.9999999999982</c:v>
                </c:pt>
                <c:pt idx="22">
                  <c:v>8999.9999999999982</c:v>
                </c:pt>
                <c:pt idx="23">
                  <c:v>8999.9999999999982</c:v>
                </c:pt>
                <c:pt idx="24">
                  <c:v>8999.9999999999982</c:v>
                </c:pt>
                <c:pt idx="25">
                  <c:v>8999.9999999999982</c:v>
                </c:pt>
                <c:pt idx="26">
                  <c:v>8999.9999999999982</c:v>
                </c:pt>
                <c:pt idx="27">
                  <c:v>8999.9999999999982</c:v>
                </c:pt>
                <c:pt idx="28">
                  <c:v>8999.9999999999982</c:v>
                </c:pt>
                <c:pt idx="29">
                  <c:v>8999.9999999999982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6" dataDxfId="25">
  <autoFilter ref="R13:X16" xr:uid="{FF2C9E8B-1A62-479C-AF68-79B236C0B7BB}"/>
  <tableColumns count="7">
    <tableColumn id="1" xr3:uid="{727C6146-39EA-4E15-8783-53CAA87FAF36}" name="Zone ID" dataDxfId="24"/>
    <tableColumn id="2" xr3:uid="{2CA65110-6DD7-46D8-BFC2-5EB0C0E57567}" name="Description" dataDxfId="23"/>
    <tableColumn id="3" xr3:uid="{12D64F80-6A69-494F-BF8F-E326D34A185A}" name="Short Description" dataDxfId="22"/>
    <tableColumn id="4" xr3:uid="{71F3F5B2-8F6B-4985-B1FC-5A9D60095474}" name="Start Date" dataDxfId="21"/>
    <tableColumn id="5" xr3:uid="{57258378-8FED-4727-89AC-D938CB414B7B}" name="Finish Date" dataDxfId="20"/>
    <tableColumn id="6" xr3:uid="{ED4D3C9E-A6C7-420C-BE38-7AA6F80835A2}" name="Total" dataDxfId="19"/>
    <tableColumn id="7" xr3:uid="{AC25D65C-9FB4-4F8A-9A72-57F6F2EC5CEF}" name="Completed Total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6">
      <calculatedColumnFormula>IF(AA13 = "Date", $S$4, AA13+7)</calculatedColumnFormula>
    </tableColumn>
    <tableColumn id="6" xr3:uid="{5740AC03-CF53-4345-8667-6AC0CA6843D0}" name="Primary Areas" dataDxfId="15">
      <calculatedColumnFormula>PrimaryAreas(3)</calculatedColumnFormula>
    </tableColumn>
    <tableColumn id="2" xr3:uid="{AF232D3D-EC3F-4232-BA5D-1427173C2D6A}" name="Weekly Plan" dataDxfId="9">
      <calculatedColumnFormula>IF(#REF!="", 0, #REF!)+IF(#REF!="", 0, #REF!)+IF(#REF!="", 0, #REF!)</calculatedColumnFormula>
    </tableColumn>
    <tableColumn id="3" xr3:uid="{B28103F6-7596-4848-9F0D-3E4A9E5CBEFE}" name="Weekly Actual" dataDxfId="14">
      <calculatedColumnFormula>IF(AND(ISBLANK(#REF!),ISBLANK(#REF!),ISBLANK(#REF!)), "",#REF! +#REF!+#REF!)</calculatedColumnFormula>
    </tableColumn>
    <tableColumn id="4" xr3:uid="{EF1C6009-71E6-491B-B64F-04049D2D9103}" name="Accumulated Plan" dataDxfId="13">
      <calculatedColumnFormula>SUM($AC$14:AC14)</calculatedColumnFormula>
    </tableColumn>
    <tableColumn id="5" xr3:uid="{442DAB73-1233-4C61-8DE9-3B44CE2C5D69}" name="Accumulated Actual" dataDxfId="12">
      <calculatedColumnFormula>IF(AD14="",NA(),SUM($AD$14:AD14))</calculatedColumnFormula>
    </tableColumn>
    <tableColumn id="85" xr3:uid="{C34B7ADD-B0A6-4D20-AFDE-2826DCCD255D}" name="WP_A1" dataDxfId="2">
      <calculatedColumnFormula>WeeklyPlanned(Output_Template[[#Headers],[WP_A1]], Output_Template[[#This Row],[Date]])</calculatedColumnFormula>
    </tableColumn>
    <tableColumn id="86" xr3:uid="{430F6685-6016-4347-9F9E-6C12911F33F0}" name="WA_A1" dataDxfId="8"/>
    <tableColumn id="87" xr3:uid="{AC9D3AB1-9CEF-4FE6-BC98-2D27ABF7C2BE}" name="WP_A2" dataDxfId="1">
      <calculatedColumnFormula>WeeklyPlanned(Output_Template[[#Headers],[WP_A2]], Output_Template[[#This Row],[Date]])</calculatedColumnFormula>
    </tableColumn>
    <tableColumn id="88" xr3:uid="{7D3BD435-B77A-42C7-83BE-264F9621F60E}" name="WA_A2" dataDxfId="7"/>
    <tableColumn id="89" xr3:uid="{DF4FAE4B-FE0B-476B-BB3C-BFB8F802D95B}" name="WP_A3" dataDxfId="0">
      <calculatedColumnFormula>WeeklyPlanned(Output_Template[[#Headers],[WP_A3]], Output_Template[[#This Row],[Date]])</calculatedColumnFormula>
    </tableColumn>
    <tableColumn id="90" xr3:uid="{F8EF1299-B98B-440C-8794-D56C9972977D}" name="WA_A3" dataDxfId="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1">
  <autoFilter ref="H2:H5" xr:uid="{1041DC80-58D6-4308-9DE1-A4EC8AAD3C20}"/>
  <tableColumns count="1">
    <tableColumn id="1" xr3:uid="{0E6D3E77-7CB7-40A1-BCA6-DDC8164AAEB9}" name="Holidays" dataDxfId="1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S1" zoomScale="85" zoomScaleNormal="85" workbookViewId="0">
      <selection activeCell="AE18" sqref="AE18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9" t="str">
        <f>_xlfn.CONCAT("PROGRESS REPORT ", TEXT(S3,"mm/dd/yyyy"))</f>
        <v>PROGRESS REPORT 05/20/2020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1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3">
      <c r="B3" s="72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4"/>
      <c r="R3" s="24" t="s">
        <v>18</v>
      </c>
      <c r="S3" s="27">
        <f>Report_Date</f>
        <v>43971</v>
      </c>
      <c r="T3" s="24" t="s">
        <v>73</v>
      </c>
      <c r="U3" s="34" t="b">
        <v>1</v>
      </c>
    </row>
    <row r="4" spans="2:39" ht="15" x14ac:dyDescent="0.3">
      <c r="B4" s="28" t="s">
        <v>49</v>
      </c>
      <c r="C4" s="75" t="str">
        <f>Project_Name</f>
        <v>Westland Super Cool Project</v>
      </c>
      <c r="D4" s="75"/>
      <c r="E4" s="75"/>
      <c r="F4" s="75"/>
      <c r="G4" s="75"/>
      <c r="H4" s="75"/>
      <c r="I4" s="75"/>
      <c r="J4" s="76" t="s">
        <v>50</v>
      </c>
      <c r="K4" s="76"/>
      <c r="L4" s="76"/>
      <c r="M4" s="76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5" x14ac:dyDescent="0.3">
      <c r="B5" s="28" t="s">
        <v>53</v>
      </c>
      <c r="C5" s="75" t="str">
        <f>Project_Number</f>
        <v>S000</v>
      </c>
      <c r="D5" s="75"/>
      <c r="E5" s="75"/>
      <c r="F5" s="75"/>
      <c r="G5" s="75"/>
      <c r="H5" s="75"/>
      <c r="I5" s="75"/>
      <c r="J5" s="68" t="s">
        <v>54</v>
      </c>
      <c r="K5" s="68"/>
      <c r="L5" s="68"/>
      <c r="M5" s="68"/>
      <c r="N5" s="32">
        <f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5" x14ac:dyDescent="0.3">
      <c r="B6" s="28" t="s">
        <v>55</v>
      </c>
      <c r="C6" s="75" t="str">
        <f>Main!C12</f>
        <v>XYZ Corp</v>
      </c>
      <c r="D6" s="75"/>
      <c r="E6" s="75"/>
      <c r="F6" s="75"/>
      <c r="G6" s="75"/>
      <c r="H6" s="75"/>
      <c r="I6" s="75"/>
      <c r="J6" s="68" t="str">
        <f>_xlfn.CONCAT("Overall Totals (", IF(ISBLANK($S$6),"",$S$6), ")")</f>
        <v>Overall Totals (SF)</v>
      </c>
      <c r="K6" s="68"/>
      <c r="L6" s="68"/>
      <c r="M6" s="68"/>
      <c r="N6" s="35" t="str">
        <f>$R$7</f>
        <v>Schedule Run Date: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5" x14ac:dyDescent="0.3">
      <c r="B7" s="28" t="s">
        <v>56</v>
      </c>
      <c r="C7" s="75" t="str">
        <f>RIGHT(Main!B13, LEN(Main!B13) - 4)</f>
        <v>Foundation Walls</v>
      </c>
      <c r="D7" s="75"/>
      <c r="E7" s="75"/>
      <c r="F7" s="75"/>
      <c r="G7" s="75"/>
      <c r="H7" s="75"/>
      <c r="I7" s="75"/>
      <c r="J7" s="68" t="str">
        <f>_xlfn.CONCAT("Overall Completed Totals (", IF(ISBLANK($S$6),"",$S$6), ")")</f>
        <v>Overall Completed Totals (SF)</v>
      </c>
      <c r="K7" s="68"/>
      <c r="L7" s="68"/>
      <c r="M7" s="68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8" t="str">
        <f>_xlfn.CONCAT("This Week's Production (", IF(ISBLANK($S$6),"",$S$6), ")")</f>
        <v>This Week's Production (SF)</v>
      </c>
      <c r="K8" s="68"/>
      <c r="L8" s="68"/>
      <c r="M8" s="68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8" t="str">
        <f>_xlfn.CONCAT("Weekly Average (", IF(ISBLANK($S$6),"",$S$6), ")")</f>
        <v>Weekly Average (SF)</v>
      </c>
      <c r="K9" s="68"/>
      <c r="L9" s="68"/>
      <c r="M9" s="68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8" t="str">
        <f>_xlfn.CONCAT("Average Past 4 Weeks (", IF(ISBLANK($S$6),"",$S$6), ")")</f>
        <v>Average Past 4 Weeks (SF)</v>
      </c>
      <c r="K10" s="68"/>
      <c r="L10" s="68"/>
      <c r="M10" s="68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8" t="str">
        <f>_xlfn.CONCAT("On Schedule Average (", IF(ISBLANK($S$6),"",$S$6), ")")</f>
        <v>On Schedule Average (SF)</v>
      </c>
      <c r="K11" s="68"/>
      <c r="L11" s="68"/>
      <c r="M11" s="68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60" t="s">
        <v>57</v>
      </c>
      <c r="K12" s="60"/>
      <c r="L12" s="60"/>
      <c r="M12" s="60"/>
      <c r="N12" s="61" t="str">
        <f>$T$2</f>
        <v>Works Monday:</v>
      </c>
      <c r="O12" s="62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60" t="s">
        <v>58</v>
      </c>
      <c r="K13" s="60"/>
      <c r="L13" s="60"/>
      <c r="M13" s="60"/>
      <c r="N13" s="61" t="e">
        <f ca="1">$R$3+ROUNDUP(($R$7-$R$5)/($O$10/IF($T$4="NO", 5,6)),0)+(TRUNC(ROUNDUP(($R$7-$R$5)/($O$10/IF($T$4="NO", 5,6)),0)/7)*IF($T$4="NO",2,1))</f>
        <v>#VALUE!</v>
      </c>
      <c r="O13" s="63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4"/>
      <c r="N14" s="64"/>
      <c r="O14" s="65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3000</v>
      </c>
      <c r="AA14" s="54">
        <f t="shared" ref="AA14:AA24" si="0">IF(AA13 = "Date", $S$4, AA13+7)</f>
        <v>43907</v>
      </c>
      <c r="AB14" s="57" t="str">
        <f ca="1">PrimaryAreas(3)</f>
        <v>A1</v>
      </c>
      <c r="AC1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54.545454545454547</v>
      </c>
      <c r="AD1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14" s="59">
        <f ca="1">SUM($AC$14:AC14)</f>
        <v>54.545454545454547</v>
      </c>
      <c r="AF14" s="59">
        <f>IF(AD14="",NA(),SUM($AD$14:AD14))</f>
        <v>0</v>
      </c>
      <c r="AG14" s="59">
        <f ca="1">WeeklyPlanned(Output_Template[[#Headers],[WP_A1]], Output_Template[[#This Row],[Date]])</f>
        <v>54.545454545454547</v>
      </c>
      <c r="AH14" s="59"/>
      <c r="AI14" s="59" t="str">
        <f ca="1">WeeklyPlanned(Output_Template[[#Headers],[WP_A2]], Output_Template[[#This Row],[Date]])</f>
        <v/>
      </c>
      <c r="AJ14" s="59"/>
      <c r="AK14" s="59" t="str">
        <f ca="1">WeeklyPlanned(Output_Template[[#Headers],[WP_A3]], Output_Template[[#This Row],[Date]])</f>
        <v/>
      </c>
      <c r="AL14" s="5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6"/>
      <c r="M15" s="66"/>
      <c r="N15" s="66"/>
      <c r="O15" s="67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3000</v>
      </c>
      <c r="AA15" s="54">
        <f t="shared" si="0"/>
        <v>43914</v>
      </c>
      <c r="AB15" s="57" t="str">
        <f ca="1">PrimaryAreas(3)</f>
        <v>A1</v>
      </c>
      <c r="AC1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15" s="59">
        <f ca="1">SUM($AC$14:AC15)</f>
        <v>327.27272727272731</v>
      </c>
      <c r="AF15" s="59">
        <f>IF(AD15="",NA(),SUM($AD$14:AD15))</f>
        <v>0</v>
      </c>
      <c r="AG15" s="59">
        <f ca="1">WeeklyPlanned(Output_Template[[#Headers],[WP_A1]], Output_Template[[#This Row],[Date]])</f>
        <v>272.72727272727275</v>
      </c>
      <c r="AH15" s="59"/>
      <c r="AI15" s="59" t="str">
        <f ca="1">WeeklyPlanned(Output_Template[[#Headers],[WP_A2]], Output_Template[[#This Row],[Date]])</f>
        <v/>
      </c>
      <c r="AJ15" s="59"/>
      <c r="AK15" s="59" t="str">
        <f ca="1">WeeklyPlanned(Output_Template[[#Headers],[WP_A3]], Output_Template[[#This Row],[Date]])</f>
        <v/>
      </c>
      <c r="AL15" s="5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3000</v>
      </c>
      <c r="AA16" s="54">
        <f t="shared" si="0"/>
        <v>43921</v>
      </c>
      <c r="AB16" s="57" t="str">
        <f ca="1">PrimaryAreas(3)</f>
        <v>A1</v>
      </c>
      <c r="AC1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16" s="59">
        <f ca="1">SUM($AC$14:AC16)</f>
        <v>600</v>
      </c>
      <c r="AF16" s="59">
        <f>IF(AD16="",NA(),SUM($AD$14:AD16))</f>
        <v>0</v>
      </c>
      <c r="AG16" s="59">
        <f ca="1">WeeklyPlanned(Output_Template[[#Headers],[WP_A1]], Output_Template[[#This Row],[Date]])</f>
        <v>272.72727272727275</v>
      </c>
      <c r="AH16" s="59"/>
      <c r="AI16" s="59" t="str">
        <f ca="1">WeeklyPlanned(Output_Template[[#Headers],[WP_A2]], Output_Template[[#This Row],[Date]])</f>
        <v/>
      </c>
      <c r="AJ16" s="59"/>
      <c r="AK16" s="59" t="str">
        <f ca="1">WeeklyPlanned(Output_Template[[#Headers],[WP_A3]], Output_Template[[#This Row],[Date]])</f>
        <v/>
      </c>
      <c r="AL16" s="5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0"/>
        <v>43928</v>
      </c>
      <c r="AB17" s="57" t="str">
        <f ca="1">PrimaryAreas(3)</f>
        <v>A1</v>
      </c>
      <c r="AC1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17" s="59">
        <f ca="1">SUM($AC$14:AC17)</f>
        <v>872.72727272727275</v>
      </c>
      <c r="AF17" s="59">
        <f>IF(AD17="",NA(),SUM($AD$14:AD17))</f>
        <v>0</v>
      </c>
      <c r="AG17" s="59">
        <f ca="1">WeeklyPlanned(Output_Template[[#Headers],[WP_A1]], Output_Template[[#This Row],[Date]])</f>
        <v>272.72727272727275</v>
      </c>
      <c r="AH17" s="59"/>
      <c r="AI17" s="59" t="str">
        <f ca="1">WeeklyPlanned(Output_Template[[#Headers],[WP_A2]], Output_Template[[#This Row],[Date]])</f>
        <v/>
      </c>
      <c r="AJ17" s="59"/>
      <c r="AK17" s="59" t="str">
        <f ca="1">WeeklyPlanned(Output_Template[[#Headers],[WP_A3]], Output_Template[[#This Row],[Date]])</f>
        <v/>
      </c>
      <c r="AL17" s="5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0"/>
        <v>43935</v>
      </c>
      <c r="AB18" s="57" t="str">
        <f ca="1">PrimaryAreas(3)</f>
        <v>A1</v>
      </c>
      <c r="AC1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18" s="59" t="e">
        <f ca="1">INDIRECT(SUM($AC$14:AC,ROW(),))</f>
        <v>#NAME?</v>
      </c>
      <c r="AF18" s="59">
        <f>IF(AD18="",NA(),SUM($AD$14:AD18))</f>
        <v>0</v>
      </c>
      <c r="AG18" s="59">
        <f ca="1">WeeklyPlanned(Output_Template[[#Headers],[WP_A1]], Output_Template[[#This Row],[Date]])</f>
        <v>272.72727272727275</v>
      </c>
      <c r="AH18" s="59"/>
      <c r="AI18" s="59" t="str">
        <f ca="1">WeeklyPlanned(Output_Template[[#Headers],[WP_A2]], Output_Template[[#This Row],[Date]])</f>
        <v/>
      </c>
      <c r="AJ18" s="59"/>
      <c r="AK18" s="59" t="str">
        <f ca="1">WeeklyPlanned(Output_Template[[#Headers],[WP_A3]], Output_Template[[#This Row],[Date]])</f>
        <v/>
      </c>
      <c r="AL18" s="5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0"/>
        <v>43942</v>
      </c>
      <c r="AB19" s="57" t="str">
        <f ca="1">PrimaryAreas(3)</f>
        <v>A1</v>
      </c>
      <c r="AC1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1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19" s="59">
        <f ca="1">SUM($AC$14:AC19)</f>
        <v>1418.1818181818182</v>
      </c>
      <c r="AF19" s="59">
        <f>IF(AD19="",NA(),SUM($AD$14:AD19))</f>
        <v>0</v>
      </c>
      <c r="AG19" s="59">
        <f ca="1">WeeklyPlanned(Output_Template[[#Headers],[WP_A1]], Output_Template[[#This Row],[Date]])</f>
        <v>272.72727272727275</v>
      </c>
      <c r="AH19" s="59"/>
      <c r="AI19" s="59" t="str">
        <f ca="1">WeeklyPlanned(Output_Template[[#Headers],[WP_A2]], Output_Template[[#This Row],[Date]])</f>
        <v/>
      </c>
      <c r="AJ19" s="59"/>
      <c r="AK19" s="59" t="str">
        <f ca="1">WeeklyPlanned(Output_Template[[#Headers],[WP_A3]], Output_Template[[#This Row],[Date]])</f>
        <v/>
      </c>
      <c r="AL19" s="5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0"/>
        <v>43949</v>
      </c>
      <c r="AB20" s="57" t="str">
        <f ca="1">PrimaryAreas(3)</f>
        <v>A1</v>
      </c>
      <c r="AC2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0" s="59">
        <f ca="1">SUM($AC$14:AC20)</f>
        <v>1690.909090909091</v>
      </c>
      <c r="AF20" s="59">
        <f>IF(AD20="",NA(),SUM($AD$14:AD20))</f>
        <v>0</v>
      </c>
      <c r="AG20" s="59">
        <f ca="1">WeeklyPlanned(Output_Template[[#Headers],[WP_A1]], Output_Template[[#This Row],[Date]])</f>
        <v>272.72727272727275</v>
      </c>
      <c r="AH20" s="59"/>
      <c r="AI20" s="59" t="str">
        <f ca="1">WeeklyPlanned(Output_Template[[#Headers],[WP_A2]], Output_Template[[#This Row],[Date]])</f>
        <v/>
      </c>
      <c r="AJ20" s="59"/>
      <c r="AK20" s="59" t="str">
        <f ca="1">WeeklyPlanned(Output_Template[[#Headers],[WP_A3]], Output_Template[[#This Row],[Date]])</f>
        <v/>
      </c>
      <c r="AL20" s="5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0"/>
        <v>43956</v>
      </c>
      <c r="AB21" s="57" t="str">
        <f ca="1">PrimaryAreas(3)</f>
        <v>A1</v>
      </c>
      <c r="AC2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1" s="59">
        <f ca="1">SUM($AC$14:AC21)</f>
        <v>1963.6363636363637</v>
      </c>
      <c r="AF21" s="59">
        <f>IF(AD21="",NA(),SUM($AD$14:AD21))</f>
        <v>0</v>
      </c>
      <c r="AG21" s="59">
        <f ca="1">WeeklyPlanned(Output_Template[[#Headers],[WP_A1]], Output_Template[[#This Row],[Date]])</f>
        <v>272.72727272727275</v>
      </c>
      <c r="AH21" s="59"/>
      <c r="AI21" s="59" t="str">
        <f ca="1">WeeklyPlanned(Output_Template[[#Headers],[WP_A2]], Output_Template[[#This Row],[Date]])</f>
        <v/>
      </c>
      <c r="AJ21" s="59"/>
      <c r="AK21" s="59" t="str">
        <f ca="1">WeeklyPlanned(Output_Template[[#Headers],[WP_A3]], Output_Template[[#This Row],[Date]])</f>
        <v/>
      </c>
      <c r="AL21" s="5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0"/>
        <v>43963</v>
      </c>
      <c r="AB22" s="57" t="str">
        <f ca="1">PrimaryAreas(3)</f>
        <v>A1</v>
      </c>
      <c r="AC2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2" s="59">
        <f ca="1">SUM($AC$14:AC22)</f>
        <v>2236.3636363636365</v>
      </c>
      <c r="AF22" s="59">
        <f>IF(AD22="",NA(),SUM($AD$14:AD22))</f>
        <v>0</v>
      </c>
      <c r="AG22" s="59">
        <f ca="1">WeeklyPlanned(Output_Template[[#Headers],[WP_A1]], Output_Template[[#This Row],[Date]])</f>
        <v>272.72727272727275</v>
      </c>
      <c r="AH22" s="59"/>
      <c r="AI22" s="59" t="str">
        <f ca="1">WeeklyPlanned(Output_Template[[#Headers],[WP_A2]], Output_Template[[#This Row],[Date]])</f>
        <v/>
      </c>
      <c r="AJ22" s="59"/>
      <c r="AK22" s="59" t="str">
        <f ca="1">WeeklyPlanned(Output_Template[[#Headers],[WP_A3]], Output_Template[[#This Row],[Date]])</f>
        <v/>
      </c>
      <c r="AL22" s="5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0"/>
        <v>43970</v>
      </c>
      <c r="AB23" s="57" t="str">
        <f ca="1">PrimaryAreas(3)</f>
        <v>A1, A2</v>
      </c>
      <c r="AC2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381.81818181818187</v>
      </c>
      <c r="AD2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3" s="59">
        <f ca="1">SUM($AC$14:AC23)</f>
        <v>2618.1818181818185</v>
      </c>
      <c r="AF23" s="59">
        <f>IF(AD23="",NA(),SUM($AD$14:AD23))</f>
        <v>0</v>
      </c>
      <c r="AG23" s="59">
        <f ca="1">WeeklyPlanned(Output_Template[[#Headers],[WP_A1]], Output_Template[[#This Row],[Date]])</f>
        <v>272.72727272727275</v>
      </c>
      <c r="AH23" s="59"/>
      <c r="AI23" s="59">
        <f ca="1">WeeklyPlanned(Output_Template[[#Headers],[WP_A2]], Output_Template[[#This Row],[Date]])</f>
        <v>109.09090909090909</v>
      </c>
      <c r="AJ23" s="59"/>
      <c r="AK23" s="59" t="str">
        <f ca="1">WeeklyPlanned(Output_Template[[#Headers],[WP_A3]], Output_Template[[#This Row],[Date]])</f>
        <v/>
      </c>
      <c r="AL23" s="5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0"/>
        <v>43977</v>
      </c>
      <c r="AB24" s="57" t="str">
        <f ca="1">PrimaryAreas(3)</f>
        <v>A1, A2</v>
      </c>
      <c r="AC2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436.36363636363637</v>
      </c>
      <c r="AD2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4" s="59">
        <f ca="1">SUM($AC$14:AC43)</f>
        <v>8999.9999999999982</v>
      </c>
      <c r="AF24" s="59">
        <f>IF(AD24="",NA(),SUM($AD$14:AD43))</f>
        <v>0</v>
      </c>
      <c r="AG24" s="59">
        <f ca="1">WeeklyPlanned(Output_Template[[#Headers],[WP_A1]], Output_Template[[#This Row],[Date]])</f>
        <v>218.18181818181819</v>
      </c>
      <c r="AH24" s="59"/>
      <c r="AI24" s="59">
        <f ca="1">WeeklyPlanned(Output_Template[[#Headers],[WP_A2]], Output_Template[[#This Row],[Date]])</f>
        <v>218.18181818181819</v>
      </c>
      <c r="AJ24" s="59"/>
      <c r="AK24" s="59" t="str">
        <f ca="1">WeeklyPlanned(Output_Template[[#Headers],[WP_A3]], Output_Template[[#This Row],[Date]])</f>
        <v/>
      </c>
      <c r="AL24" s="5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>IF(AA24 = "Date", $S$4, AA24+7)</f>
        <v>43984</v>
      </c>
      <c r="AB25" s="57" t="str">
        <f ca="1">PrimaryAreas(3)</f>
        <v>A1, A2</v>
      </c>
      <c r="AC2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545.4545454545455</v>
      </c>
      <c r="AD2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5" s="59">
        <f ca="1">SUM($AC$14:AC43)</f>
        <v>8999.9999999999982</v>
      </c>
      <c r="AF25" s="59">
        <f>IF(AD25="",NA(),SUM($AD$14:AD43))</f>
        <v>0</v>
      </c>
      <c r="AG25" s="59">
        <f ca="1">WeeklyPlanned(Output_Template[[#Headers],[WP_A1]], Output_Template[[#This Row],[Date]])</f>
        <v>272.72727272727275</v>
      </c>
      <c r="AH25" s="59"/>
      <c r="AI25" s="59">
        <f ca="1">WeeklyPlanned(Output_Template[[#Headers],[WP_A2]], Output_Template[[#This Row],[Date]])</f>
        <v>272.72727272727275</v>
      </c>
      <c r="AJ25" s="59"/>
      <c r="AK25" s="59" t="str">
        <f ca="1">WeeklyPlanned(Output_Template[[#Headers],[WP_A3]], Output_Template[[#This Row],[Date]])</f>
        <v/>
      </c>
      <c r="AL25" s="5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>IF(AA25 = "Date", $S$4, AA25+7)</f>
        <v>43991</v>
      </c>
      <c r="AB26" s="57" t="str">
        <f ca="1">PrimaryAreas(3)</f>
        <v>A2</v>
      </c>
      <c r="AC2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6" s="59">
        <f ca="1">SUM($AC$14:AC43)</f>
        <v>8999.9999999999982</v>
      </c>
      <c r="AF26" s="59">
        <f>IF(AD26="",NA(),SUM($AD$14:AD43))</f>
        <v>0</v>
      </c>
      <c r="AG26" s="59" t="str">
        <f ca="1">WeeklyPlanned(Output_Template[[#Headers],[WP_A1]], Output_Template[[#This Row],[Date]])</f>
        <v/>
      </c>
      <c r="AH26" s="59"/>
      <c r="AI26" s="59">
        <f ca="1">WeeklyPlanned(Output_Template[[#Headers],[WP_A2]], Output_Template[[#This Row],[Date]])</f>
        <v>272.72727272727275</v>
      </c>
      <c r="AJ26" s="59"/>
      <c r="AK26" s="59" t="str">
        <f ca="1">WeeklyPlanned(Output_Template[[#Headers],[WP_A3]], Output_Template[[#This Row],[Date]])</f>
        <v/>
      </c>
      <c r="AL26" s="5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57" t="str">
        <f ca="1">PrimaryAreas(3)</f>
        <v>A2</v>
      </c>
      <c r="AC2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7" s="59">
        <f ca="1">SUM($AC$14:AC43)</f>
        <v>8999.9999999999982</v>
      </c>
      <c r="AF27" s="59">
        <f>IF(AD27="",NA(),SUM($AD$14:AD43))</f>
        <v>0</v>
      </c>
      <c r="AG27" s="59" t="str">
        <f ca="1">WeeklyPlanned(Output_Template[[#Headers],[WP_A1]], Output_Template[[#This Row],[Date]])</f>
        <v/>
      </c>
      <c r="AH27" s="59"/>
      <c r="AI27" s="59">
        <f ca="1">WeeklyPlanned(Output_Template[[#Headers],[WP_A2]], Output_Template[[#This Row],[Date]])</f>
        <v>272.72727272727275</v>
      </c>
      <c r="AJ27" s="59"/>
      <c r="AK27" s="59" t="str">
        <f ca="1">WeeklyPlanned(Output_Template[[#Headers],[WP_A3]], Output_Template[[#This Row],[Date]])</f>
        <v/>
      </c>
      <c r="AL27" s="5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57" t="str">
        <f ca="1">PrimaryAreas(3)</f>
        <v>A2</v>
      </c>
      <c r="AC2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8" s="59">
        <f ca="1">SUM($AC$14:AC43)</f>
        <v>8999.9999999999982</v>
      </c>
      <c r="AF28" s="59">
        <f>IF(AD28="",NA(),SUM($AD$14:AD43))</f>
        <v>0</v>
      </c>
      <c r="AG28" s="59" t="str">
        <f ca="1">WeeklyPlanned(Output_Template[[#Headers],[WP_A1]], Output_Template[[#This Row],[Date]])</f>
        <v/>
      </c>
      <c r="AH28" s="59"/>
      <c r="AI28" s="59">
        <f ca="1">WeeklyPlanned(Output_Template[[#Headers],[WP_A2]], Output_Template[[#This Row],[Date]])</f>
        <v>272.72727272727275</v>
      </c>
      <c r="AJ28" s="59"/>
      <c r="AK28" s="59" t="str">
        <f ca="1">WeeklyPlanned(Output_Template[[#Headers],[WP_A3]], Output_Template[[#This Row],[Date]])</f>
        <v/>
      </c>
      <c r="AL28" s="5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57" t="str">
        <f ca="1">PrimaryAreas(3)</f>
        <v>A2</v>
      </c>
      <c r="AC2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29" s="59">
        <f ca="1">SUM($AC$14:AC43)</f>
        <v>8999.9999999999982</v>
      </c>
      <c r="AF29" s="59">
        <f>IF(AD29="",NA(),SUM($AD$14:AD43))</f>
        <v>0</v>
      </c>
      <c r="AG29" s="59" t="str">
        <f ca="1">WeeklyPlanned(Output_Template[[#Headers],[WP_A1]], Output_Template[[#This Row],[Date]])</f>
        <v/>
      </c>
      <c r="AH29" s="59"/>
      <c r="AI29" s="59">
        <f ca="1">WeeklyPlanned(Output_Template[[#Headers],[WP_A2]], Output_Template[[#This Row],[Date]])</f>
        <v>272.72727272727275</v>
      </c>
      <c r="AJ29" s="59"/>
      <c r="AK29" s="59" t="str">
        <f ca="1">WeeklyPlanned(Output_Template[[#Headers],[WP_A3]], Output_Template[[#This Row],[Date]])</f>
        <v/>
      </c>
      <c r="AL29" s="5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57" t="str">
        <f ca="1">PrimaryAreas(3)</f>
        <v>A2</v>
      </c>
      <c r="AC3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0" s="59">
        <f ca="1">SUM($AC$14:AC43)</f>
        <v>8999.9999999999982</v>
      </c>
      <c r="AF30" s="59">
        <f>IF(AD30="",NA(),SUM($AD$14:AD43))</f>
        <v>0</v>
      </c>
      <c r="AG30" s="59" t="str">
        <f ca="1">WeeklyPlanned(Output_Template[[#Headers],[WP_A1]], Output_Template[[#This Row],[Date]])</f>
        <v/>
      </c>
      <c r="AH30" s="59"/>
      <c r="AI30" s="59">
        <f ca="1">WeeklyPlanned(Output_Template[[#Headers],[WP_A2]], Output_Template[[#This Row],[Date]])</f>
        <v>272.72727272727275</v>
      </c>
      <c r="AJ30" s="59"/>
      <c r="AK30" s="59" t="str">
        <f ca="1">WeeklyPlanned(Output_Template[[#Headers],[WP_A3]], Output_Template[[#This Row],[Date]])</f>
        <v/>
      </c>
      <c r="AL30" s="5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57" t="str">
        <f ca="1">PrimaryAreas(3)</f>
        <v>A2</v>
      </c>
      <c r="AC3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1" s="59">
        <f ca="1">SUM($AC$14:AC43)</f>
        <v>8999.9999999999982</v>
      </c>
      <c r="AF31" s="59">
        <f>IF(AD31="",NA(),SUM($AD$14:AD43))</f>
        <v>0</v>
      </c>
      <c r="AG31" s="59" t="str">
        <f ca="1">WeeklyPlanned(Output_Template[[#Headers],[WP_A1]], Output_Template[[#This Row],[Date]])</f>
        <v/>
      </c>
      <c r="AH31" s="59"/>
      <c r="AI31" s="59">
        <f ca="1">WeeklyPlanned(Output_Template[[#Headers],[WP_A2]], Output_Template[[#This Row],[Date]])</f>
        <v>272.72727272727275</v>
      </c>
      <c r="AJ31" s="59"/>
      <c r="AK31" s="59" t="str">
        <f ca="1">WeeklyPlanned(Output_Template[[#Headers],[WP_A3]], Output_Template[[#This Row],[Date]])</f>
        <v/>
      </c>
      <c r="AL31" s="5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57" t="str">
        <f ca="1">PrimaryAreas(3)</f>
        <v>A2, A3</v>
      </c>
      <c r="AC3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2" s="59">
        <f ca="1">SUM($AC$14:AC43)</f>
        <v>8999.9999999999982</v>
      </c>
      <c r="AF32" s="59">
        <f>IF(AD32="",NA(),SUM($AD$14:AD43))</f>
        <v>0</v>
      </c>
      <c r="AG32" s="59" t="str">
        <f ca="1">WeeklyPlanned(Output_Template[[#Headers],[WP_A1]], Output_Template[[#This Row],[Date]])</f>
        <v/>
      </c>
      <c r="AH32" s="59"/>
      <c r="AI32" s="59">
        <f ca="1">WeeklyPlanned(Output_Template[[#Headers],[WP_A2]], Output_Template[[#This Row],[Date]])</f>
        <v>272.72727272727275</v>
      </c>
      <c r="AJ32" s="59"/>
      <c r="AK32" s="59">
        <f ca="1">WeeklyPlanned(Output_Template[[#Headers],[WP_A3]], Output_Template[[#This Row],[Date]])</f>
        <v>210.52631578947367</v>
      </c>
      <c r="AL32" s="5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57" t="str">
        <f ca="1">PrimaryAreas(3)</f>
        <v>A2, A3</v>
      </c>
      <c r="AC3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3" s="59">
        <f ca="1">SUM($AC$14:AC43)</f>
        <v>8999.9999999999982</v>
      </c>
      <c r="AF33" s="59">
        <f>IF(AD33="",NA(),SUM($AD$14:AD43))</f>
        <v>0</v>
      </c>
      <c r="AG33" s="59" t="str">
        <f ca="1">WeeklyPlanned(Output_Template[[#Headers],[WP_A1]], Output_Template[[#This Row],[Date]])</f>
        <v/>
      </c>
      <c r="AH33" s="59"/>
      <c r="AI33" s="59">
        <f ca="1">WeeklyPlanned(Output_Template[[#Headers],[WP_A2]], Output_Template[[#This Row],[Date]])</f>
        <v>272.72727272727275</v>
      </c>
      <c r="AJ33" s="59"/>
      <c r="AK33" s="59">
        <f ca="1">WeeklyPlanned(Output_Template[[#Headers],[WP_A3]], Output_Template[[#This Row],[Date]])</f>
        <v>263.15789473684208</v>
      </c>
      <c r="AL33" s="5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57" t="str">
        <f ca="1">PrimaryAreas(3)</f>
        <v>A2, A3</v>
      </c>
      <c r="AC34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4" s="59">
        <f ca="1">SUM($AC$14:AC43)</f>
        <v>8999.9999999999982</v>
      </c>
      <c r="AF34" s="59">
        <f>IF(AD34="",NA(),SUM($AD$14:AD43))</f>
        <v>0</v>
      </c>
      <c r="AG34" s="59" t="str">
        <f ca="1">WeeklyPlanned(Output_Template[[#Headers],[WP_A1]], Output_Template[[#This Row],[Date]])</f>
        <v/>
      </c>
      <c r="AH34" s="59"/>
      <c r="AI34" s="59">
        <f ca="1">WeeklyPlanned(Output_Template[[#Headers],[WP_A2]], Output_Template[[#This Row],[Date]])</f>
        <v>218.18181818181819</v>
      </c>
      <c r="AJ34" s="59"/>
      <c r="AK34" s="59">
        <f ca="1">WeeklyPlanned(Output_Template[[#Headers],[WP_A3]], Output_Template[[#This Row],[Date]])</f>
        <v>263.15789473684208</v>
      </c>
      <c r="AL34" s="59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57" t="str">
        <f ca="1">PrimaryAreas(3)</f>
        <v>A3</v>
      </c>
      <c r="AC35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5" s="59">
        <f ca="1">SUM($AC$14:AC43)</f>
        <v>8999.9999999999982</v>
      </c>
      <c r="AF35" s="59">
        <f>IF(AD35="",NA(),SUM($AD$14:AD43))</f>
        <v>0</v>
      </c>
      <c r="AG35" s="59" t="str">
        <f ca="1">WeeklyPlanned(Output_Template[[#Headers],[WP_A1]], Output_Template[[#This Row],[Date]])</f>
        <v/>
      </c>
      <c r="AH35" s="59"/>
      <c r="AI35" s="59" t="str">
        <f ca="1">WeeklyPlanned(Output_Template[[#Headers],[WP_A2]], Output_Template[[#This Row],[Date]])</f>
        <v/>
      </c>
      <c r="AJ35" s="59"/>
      <c r="AK35" s="59">
        <f ca="1">WeeklyPlanned(Output_Template[[#Headers],[WP_A3]], Output_Template[[#This Row],[Date]])</f>
        <v>263.15789473684208</v>
      </c>
      <c r="AL35" s="59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57" t="str">
        <f ca="1">PrimaryAreas(3)</f>
        <v>A3</v>
      </c>
      <c r="AC36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6" s="59">
        <f ca="1">SUM($AC$14:AC43)</f>
        <v>8999.9999999999982</v>
      </c>
      <c r="AF36" s="59">
        <f>IF(AD36="",NA(),SUM($AD$14:AD43))</f>
        <v>0</v>
      </c>
      <c r="AG36" s="59" t="str">
        <f ca="1">WeeklyPlanned(Output_Template[[#Headers],[WP_A1]], Output_Template[[#This Row],[Date]])</f>
        <v/>
      </c>
      <c r="AH36" s="59"/>
      <c r="AI36" s="59" t="str">
        <f ca="1">WeeklyPlanned(Output_Template[[#Headers],[WP_A2]], Output_Template[[#This Row],[Date]])</f>
        <v/>
      </c>
      <c r="AJ36" s="59"/>
      <c r="AK36" s="59">
        <f ca="1">WeeklyPlanned(Output_Template[[#Headers],[WP_A3]], Output_Template[[#This Row],[Date]])</f>
        <v>263.15789473684208</v>
      </c>
      <c r="AL36" s="59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57" t="str">
        <f ca="1">PrimaryAreas(3)</f>
        <v>A3</v>
      </c>
      <c r="AC37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7" s="59">
        <f ca="1">SUM($AC$14:AC43)</f>
        <v>8999.9999999999982</v>
      </c>
      <c r="AF37" s="59">
        <f>IF(AD37="",NA(),SUM($AD$14:AD43))</f>
        <v>0</v>
      </c>
      <c r="AG37" s="59" t="str">
        <f ca="1">WeeklyPlanned(Output_Template[[#Headers],[WP_A1]], Output_Template[[#This Row],[Date]])</f>
        <v/>
      </c>
      <c r="AH37" s="59"/>
      <c r="AI37" s="59" t="str">
        <f ca="1">WeeklyPlanned(Output_Template[[#Headers],[WP_A2]], Output_Template[[#This Row],[Date]])</f>
        <v/>
      </c>
      <c r="AJ37" s="59"/>
      <c r="AK37" s="59">
        <f ca="1">WeeklyPlanned(Output_Template[[#Headers],[WP_A3]], Output_Template[[#This Row],[Date]])</f>
        <v>263.15789473684208</v>
      </c>
      <c r="AL37" s="59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57" t="str">
        <f ca="1">PrimaryAreas(3)</f>
        <v>A3</v>
      </c>
      <c r="AC38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8" s="59">
        <f ca="1">SUM($AC$14:AC43)</f>
        <v>8999.9999999999982</v>
      </c>
      <c r="AF38" s="59">
        <f>IF(AD38="",NA(),SUM($AD$14:AD43))</f>
        <v>0</v>
      </c>
      <c r="AG38" s="59" t="str">
        <f ca="1">WeeklyPlanned(Output_Template[[#Headers],[WP_A1]], Output_Template[[#This Row],[Date]])</f>
        <v/>
      </c>
      <c r="AH38" s="59"/>
      <c r="AI38" s="59" t="str">
        <f ca="1">WeeklyPlanned(Output_Template[[#Headers],[WP_A2]], Output_Template[[#This Row],[Date]])</f>
        <v/>
      </c>
      <c r="AJ38" s="59"/>
      <c r="AK38" s="59">
        <f ca="1">WeeklyPlanned(Output_Template[[#Headers],[WP_A3]], Output_Template[[#This Row],[Date]])</f>
        <v>263.15789473684208</v>
      </c>
      <c r="AL38" s="59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57" t="str">
        <f ca="1">PrimaryAreas(3)</f>
        <v>A3</v>
      </c>
      <c r="AC39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39" s="59">
        <f ca="1">SUM($AC$14:AC43)</f>
        <v>8999.9999999999982</v>
      </c>
      <c r="AF39" s="59">
        <f>IF(AD39="",NA(),SUM($AD$14:AD43))</f>
        <v>0</v>
      </c>
      <c r="AG39" s="59" t="str">
        <f ca="1">WeeklyPlanned(Output_Template[[#Headers],[WP_A1]], Output_Template[[#This Row],[Date]])</f>
        <v/>
      </c>
      <c r="AH39" s="59"/>
      <c r="AI39" s="59" t="str">
        <f ca="1">WeeklyPlanned(Output_Template[[#Headers],[WP_A2]], Output_Template[[#This Row],[Date]])</f>
        <v/>
      </c>
      <c r="AJ39" s="59"/>
      <c r="AK39" s="59">
        <f ca="1">WeeklyPlanned(Output_Template[[#Headers],[WP_A3]], Output_Template[[#This Row],[Date]])</f>
        <v>263.15789473684208</v>
      </c>
      <c r="AL39" s="59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57" t="str">
        <f ca="1">PrimaryAreas(3)</f>
        <v>A3</v>
      </c>
      <c r="AC40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0" s="59">
        <f ca="1">SUM($AC$14:AC43)</f>
        <v>8999.9999999999982</v>
      </c>
      <c r="AF40" s="59">
        <f>IF(AD40="",NA(),SUM($AD$14:AD43))</f>
        <v>0</v>
      </c>
      <c r="AG40" s="59" t="str">
        <f ca="1">WeeklyPlanned(Output_Template[[#Headers],[WP_A1]], Output_Template[[#This Row],[Date]])</f>
        <v/>
      </c>
      <c r="AH40" s="59"/>
      <c r="AI40" s="59" t="str">
        <f ca="1">WeeklyPlanned(Output_Template[[#Headers],[WP_A2]], Output_Template[[#This Row],[Date]])</f>
        <v/>
      </c>
      <c r="AJ40" s="59"/>
      <c r="AK40" s="59">
        <f ca="1">WeeklyPlanned(Output_Template[[#Headers],[WP_A3]], Output_Template[[#This Row],[Date]])</f>
        <v>263.15789473684208</v>
      </c>
      <c r="AL40" s="59"/>
    </row>
    <row r="41" spans="2:38" ht="14.5" x14ac:dyDescent="0.35">
      <c r="AA41" s="54">
        <f>IF(AA40 = "Date", $S$4, AA40+7)</f>
        <v>44096</v>
      </c>
      <c r="AB41" s="57" t="str">
        <f ca="1">PrimaryAreas(3)</f>
        <v>A3</v>
      </c>
      <c r="AC41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1" s="59">
        <f ca="1">SUM($AC$14:AC43)</f>
        <v>8999.9999999999982</v>
      </c>
      <c r="AF41" s="59">
        <f>IF(AD41="",NA(),SUM($AD$14:AD43))</f>
        <v>0</v>
      </c>
      <c r="AG41" s="59" t="str">
        <f ca="1">WeeklyPlanned(Output_Template[[#Headers],[WP_A1]], Output_Template[[#This Row],[Date]])</f>
        <v/>
      </c>
      <c r="AH41" s="59"/>
      <c r="AI41" s="59" t="str">
        <f ca="1">WeeklyPlanned(Output_Template[[#Headers],[WP_A2]], Output_Template[[#This Row],[Date]])</f>
        <v/>
      </c>
      <c r="AJ41" s="59"/>
      <c r="AK41" s="59">
        <f ca="1">WeeklyPlanned(Output_Template[[#Headers],[WP_A3]], Output_Template[[#This Row],[Date]])</f>
        <v>263.15789473684208</v>
      </c>
      <c r="AL41" s="59"/>
    </row>
    <row r="42" spans="2:38" ht="14.5" x14ac:dyDescent="0.35">
      <c r="AA42" s="54">
        <f>IF(AA41 = "Date", $S$4, AA41+7)</f>
        <v>44103</v>
      </c>
      <c r="AB42" s="57" t="str">
        <f ca="1">PrimaryAreas(3)</f>
        <v>A3</v>
      </c>
      <c r="AC42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2" s="59">
        <f ca="1">SUM($AC$14:AC43)</f>
        <v>8999.9999999999982</v>
      </c>
      <c r="AF42" s="59">
        <f>IF(AD42="",NA(),SUM($AD$14:AD43))</f>
        <v>0</v>
      </c>
      <c r="AG42" s="59" t="str">
        <f ca="1">WeeklyPlanned(Output_Template[[#Headers],[WP_A1]], Output_Template[[#This Row],[Date]])</f>
        <v/>
      </c>
      <c r="AH42" s="59"/>
      <c r="AI42" s="59" t="str">
        <f ca="1">WeeklyPlanned(Output_Template[[#Headers],[WP_A2]], Output_Template[[#This Row],[Date]])</f>
        <v/>
      </c>
      <c r="AJ42" s="59"/>
      <c r="AK42" s="59">
        <f ca="1">WeeklyPlanned(Output_Template[[#Headers],[WP_A3]], Output_Template[[#This Row],[Date]])</f>
        <v>263.15789473684208</v>
      </c>
      <c r="AL42" s="59"/>
    </row>
    <row r="43" spans="2:38" ht="14.5" x14ac:dyDescent="0.35">
      <c r="AA43" s="54">
        <f>IF(AA42 = "Date", $S$4, AA42+7)</f>
        <v>44110</v>
      </c>
      <c r="AB43" s="57" t="str">
        <f ca="1">PrimaryAreas(3)</f>
        <v>A3</v>
      </c>
      <c r="AC43" s="59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9">
        <f>IF(Output_Template[[#This Row],[WA_A1]]="", 0, Output_Template[[#This Row],[WA_A1]])+IF(Output_Template[[#This Row],[WA_A2]]="", 0, Output_Template[[#This Row],[WA_A2]])+IF(Output_Template[[#This Row],[WA_A3]]="", 0, Output_Template[[#This Row],[WA_A3]])</f>
        <v>0</v>
      </c>
      <c r="AE43" s="59">
        <f ca="1">SUM($AC$14:AC43)</f>
        <v>8999.9999999999982</v>
      </c>
      <c r="AF43" s="59">
        <f>IF(AD43="",NA(),SUM($AD$14:AD43))</f>
        <v>0</v>
      </c>
      <c r="AG43" s="59" t="str">
        <f ca="1">WeeklyPlanned(Output_Template[[#Headers],[WP_A1]], Output_Template[[#This Row],[Date]])</f>
        <v/>
      </c>
      <c r="AH43" s="59"/>
      <c r="AI43" s="59" t="str">
        <f ca="1">WeeklyPlanned(Output_Template[[#Headers],[WP_A2]], Output_Template[[#This Row],[Date]])</f>
        <v/>
      </c>
      <c r="AJ43" s="59"/>
      <c r="AK43" s="59">
        <f ca="1">WeeklyPlanned(Output_Template[[#Headers],[WP_A3]], Output_Template[[#This Row],[Date]])</f>
        <v>157.89473684210526</v>
      </c>
      <c r="AL43" s="59"/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43">
    <cfRule type="containsErrors" dxfId="5" priority="1">
      <formula>ISERROR(AF14)</formula>
    </cfRule>
  </conditionalFormatting>
  <dataValidations disablePrompts="1"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H15" sqref="H15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</cols>
  <sheetData>
    <row r="1" spans="2:12" ht="15.5" x14ac:dyDescent="0.35">
      <c r="E1" s="77" t="s">
        <v>5</v>
      </c>
      <c r="F1" s="77"/>
      <c r="H1" s="2" t="s">
        <v>9</v>
      </c>
      <c r="K1" s="5" t="s">
        <v>12</v>
      </c>
      <c r="L1" s="5" t="s">
        <v>17</v>
      </c>
    </row>
    <row r="2" spans="2:12" ht="15.5" x14ac:dyDescent="0.35">
      <c r="B2" s="78" t="s">
        <v>6</v>
      </c>
      <c r="C2" s="78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98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G25" sqref="G25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80" t="str">
        <f>"PROGRESS REPORT "&amp; TEXT(Report_Date, "mm/dd/yyy")</f>
        <v>PROGRESS REPORT 05/20/2020</v>
      </c>
      <c r="C2" s="80"/>
      <c r="D2" s="80"/>
      <c r="E2" s="80"/>
    </row>
    <row r="3" spans="2:11" ht="8.1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9" t="s">
        <v>31</v>
      </c>
      <c r="C11" s="79"/>
      <c r="D11" s="79"/>
      <c r="E11" s="79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9" t="s">
        <v>32</v>
      </c>
      <c r="C15" s="79"/>
      <c r="D15" s="79"/>
      <c r="E15" s="79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9" t="s">
        <v>33</v>
      </c>
      <c r="C18" s="79"/>
      <c r="D18" s="79"/>
      <c r="E18" s="79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9" t="s">
        <v>34</v>
      </c>
      <c r="C21" s="79"/>
      <c r="D21" s="79"/>
      <c r="E21" s="79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9" t="s">
        <v>35</v>
      </c>
      <c r="C24" s="79"/>
      <c r="D24" s="79"/>
      <c r="E24" s="79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4" priority="1">
      <formula>IF(ISBLANK($D12), FALSE, IF(RedGreen_Formatting = "Enabled", $D12 &lt;= $E12 + Percent_Error, FALSE))</formula>
    </cfRule>
    <cfRule type="expression" dxfId="3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2020-05-21T04:21:27Z</cp:lastPrinted>
  <dcterms:created xsi:type="dcterms:W3CDTF">2019-04-09T17:53:55Z</dcterms:created>
  <dcterms:modified xsi:type="dcterms:W3CDTF">2020-05-21T18:24:00Z</dcterms:modified>
</cp:coreProperties>
</file>