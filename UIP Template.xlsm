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UIP\"/>
    </mc:Choice>
  </mc:AlternateContent>
  <xr:revisionPtr revIDLastSave="0" documentId="13_ncr:1_{4205347C-D0BB-4A87-B923-2F412D8E1E94}" xr6:coauthVersionLast="44" xr6:coauthVersionMax="44" xr10:uidLastSave="{00000000-0000-0000-0000-000000000000}"/>
  <bookViews>
    <workbookView xWindow="28680" yWindow="-3390" windowWidth="38640" windowHeight="212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3" l="1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F24" i="3" s="1"/>
  <c r="AD23" i="3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F15" i="3" s="1"/>
  <c r="AD14" i="3"/>
  <c r="AF14" i="3" s="1"/>
  <c r="O9" i="3"/>
  <c r="AK31" i="3"/>
  <c r="AK40" i="3"/>
  <c r="AG25" i="3"/>
  <c r="AI43" i="3"/>
  <c r="AG35" i="3"/>
  <c r="AK19" i="3"/>
  <c r="AK28" i="3"/>
  <c r="AG36" i="3"/>
  <c r="AI31" i="3"/>
  <c r="AG23" i="3"/>
  <c r="AK16" i="3"/>
  <c r="AI19" i="3"/>
  <c r="AI20" i="3"/>
  <c r="AK33" i="3"/>
  <c r="AI37" i="3"/>
  <c r="AI39" i="3"/>
  <c r="AG33" i="3"/>
  <c r="AK32" i="3"/>
  <c r="AG43" i="3"/>
  <c r="AI34" i="3"/>
  <c r="AG41" i="3"/>
  <c r="AG37" i="3"/>
  <c r="AG17" i="3"/>
  <c r="AG24" i="3"/>
  <c r="AK34" i="3"/>
  <c r="AK22" i="3"/>
  <c r="AG14" i="3"/>
  <c r="AK20" i="3"/>
  <c r="AG19" i="3"/>
  <c r="AI22" i="3"/>
  <c r="AK38" i="3"/>
  <c r="AI42" i="3"/>
  <c r="AI38" i="3"/>
  <c r="AK17" i="3"/>
  <c r="AG40" i="3"/>
  <c r="AK26" i="3"/>
  <c r="AI27" i="3"/>
  <c r="AI26" i="3"/>
  <c r="AG29" i="3"/>
  <c r="AG28" i="3"/>
  <c r="AK14" i="3"/>
  <c r="AK36" i="3"/>
  <c r="AI40" i="3"/>
  <c r="AI14" i="3"/>
  <c r="AK42" i="3"/>
  <c r="AK39" i="3"/>
  <c r="AI32" i="3"/>
  <c r="AK24" i="3"/>
  <c r="AI28" i="3"/>
  <c r="AK30" i="3"/>
  <c r="AK27" i="3"/>
  <c r="AI16" i="3"/>
  <c r="AG32" i="3"/>
  <c r="AG20" i="3"/>
  <c r="AK18" i="3"/>
  <c r="AK15" i="3"/>
  <c r="AG38" i="3"/>
  <c r="AI30" i="3"/>
  <c r="AG34" i="3"/>
  <c r="AI36" i="3"/>
  <c r="AI33" i="3"/>
  <c r="AK21" i="3"/>
  <c r="AI25" i="3"/>
  <c r="AG31" i="3"/>
  <c r="AI24" i="3"/>
  <c r="AI21" i="3"/>
  <c r="AI18" i="3"/>
  <c r="AK35" i="3"/>
  <c r="AG21" i="3"/>
  <c r="AG18" i="3"/>
  <c r="AG42" i="3"/>
  <c r="AG39" i="3"/>
  <c r="AI15" i="3"/>
  <c r="AK23" i="3"/>
  <c r="AG22" i="3"/>
  <c r="AK29" i="3"/>
  <c r="AG30" i="3"/>
  <c r="AG27" i="3"/>
  <c r="AG16" i="3"/>
  <c r="AI41" i="3"/>
  <c r="AI23" i="3"/>
  <c r="AI35" i="3"/>
  <c r="AG15" i="3"/>
  <c r="AK37" i="3"/>
  <c r="AI29" i="3"/>
  <c r="AG26" i="3"/>
  <c r="AK25" i="3"/>
  <c r="AK43" i="3"/>
  <c r="AK41" i="3"/>
  <c r="AI17" i="3"/>
  <c r="AC43" i="3" l="1"/>
  <c r="AF23" i="3"/>
  <c r="AC39" i="3"/>
  <c r="AC14" i="3"/>
  <c r="AC37" i="3"/>
  <c r="AC25" i="3"/>
  <c r="AC38" i="3"/>
  <c r="AC26" i="3"/>
  <c r="AC36" i="3"/>
  <c r="AC24" i="3"/>
  <c r="AC15" i="3"/>
  <c r="AC35" i="3"/>
  <c r="AC23" i="3"/>
  <c r="AC34" i="3"/>
  <c r="AC22" i="3"/>
  <c r="AC27" i="3"/>
  <c r="AC21" i="3"/>
  <c r="AC32" i="3"/>
  <c r="AC31" i="3"/>
  <c r="AC19" i="3"/>
  <c r="AC33" i="3"/>
  <c r="AC20" i="3"/>
  <c r="AC42" i="3"/>
  <c r="AC30" i="3"/>
  <c r="AC18" i="3"/>
  <c r="AC41" i="3"/>
  <c r="AC29" i="3"/>
  <c r="AC17" i="3"/>
  <c r="AC40" i="3"/>
  <c r="AC28" i="3"/>
  <c r="AC16" i="3"/>
  <c r="S5" i="3"/>
  <c r="S4" i="3"/>
  <c r="O6" i="3" l="1"/>
  <c r="N9" i="3"/>
  <c r="AE43" i="3"/>
  <c r="AE42" i="3"/>
  <c r="AE40" i="3"/>
  <c r="AE41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21" i="3"/>
  <c r="AE18" i="3"/>
  <c r="AE19" i="3"/>
  <c r="AE16" i="3"/>
  <c r="AE17" i="3"/>
  <c r="AE14" i="3"/>
  <c r="AE15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S7" i="3" l="1"/>
  <c r="L14" i="3" s="1"/>
  <c r="S3" i="3"/>
  <c r="S2" i="3"/>
  <c r="AB25" i="3"/>
  <c r="AB18" i="3"/>
  <c r="AB16" i="3"/>
  <c r="AB15" i="3"/>
  <c r="AB14" i="3"/>
  <c r="AB36" i="3"/>
  <c r="AB24" i="3"/>
  <c r="AB22" i="3"/>
  <c r="AB27" i="3"/>
  <c r="AB41" i="3"/>
  <c r="AB35" i="3"/>
  <c r="AB23" i="3"/>
  <c r="AB34" i="3"/>
  <c r="AB28" i="3"/>
  <c r="AB32" i="3"/>
  <c r="AB38" i="3"/>
  <c r="AB29" i="3"/>
  <c r="AB33" i="3"/>
  <c r="AB21" i="3"/>
  <c r="AB39" i="3"/>
  <c r="AB26" i="3"/>
  <c r="AB17" i="3"/>
  <c r="AB37" i="3"/>
  <c r="AB20" i="3"/>
  <c r="AB19" i="3"/>
  <c r="AB40" i="3"/>
  <c r="AB31" i="3"/>
  <c r="AB42" i="3"/>
  <c r="AB43" i="3"/>
  <c r="AB30" i="3"/>
  <c r="O7" i="3"/>
  <c r="B2" i="3" l="1"/>
  <c r="C7" i="3"/>
  <c r="C6" i="3"/>
  <c r="C5" i="3"/>
  <c r="C4" i="3"/>
  <c r="O8" i="3"/>
  <c r="N8" i="3"/>
  <c r="N7" i="3"/>
  <c r="N5" i="3" l="1"/>
  <c r="O5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<sst xmlns="http://schemas.openxmlformats.org/spreadsheetml/2006/main" count="102" uniqueCount="100">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</sst>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9">
    <dxf>
      <font>
        <b/>
        <i val="0"/>
        <color rgb="FF7E0000"/>
      </font>
      <fill>
        <patternFill>
          <bgColor rgb="FFFF9999"/>
        </patternFill>
      </fill>
    </dxf>
    <dxf>
      <font>
        <color rgb="FF3F3F76"/>
      </font>
      <fill>
        <patternFill>
          <bgColor rgb="FFFFCC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CFDDE7E-8765-4651-B9AC-688387B03A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D35E62-3B68-4D6F-81F1-B9A385BD4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A6DA7A-053E-4673-805F-72D220D6F5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D61885-E22D-43ED-BD3C-113D7B4DD0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497D59-B3AB-4488-9078-AF3FC5A4D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3262DA-4E72-4565-AB57-8DC233921E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D96862-ED65-4320-91D5-FEA285D238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B40535-6426-45B1-ACFD-7EF93A72B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DDDC09-F939-4517-AE1D-821C4D1C9A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469671-1428-43C7-86AD-425EFD6FFE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B41250-90C4-4C85-B147-F64B4A4FA4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C982D3-DC14-4485-9CD6-F922AC49AE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AD3FBA-322B-4822-82D6-6EAEE4BAE0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A101F5-CE55-44FF-BC97-FDF35095FF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610BBB-A019-4CC6-A8FC-479E91F617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1469E7-28E9-432C-98B5-6CDB635080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B07408-7703-414A-9DAB-293645F6F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9A827E-F31B-44E0-8EFE-692E45EA82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11C65D-243D-45DB-A905-7052D5603D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3FEA2D-BD5F-4AD4-BBEE-8EE1A91C07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984CD3-3B80-4A71-A261-7BCD576A0C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4F481D-8AC2-496A-AE97-BB81FBAE86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60062D-8C45-4C60-B8A6-BD3086061A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D1540C-6D78-4A2F-84EA-6A4FACCA9C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632522-BCE5-4C97-B7C6-2A1FFA1474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8FBFB8-FFB3-4633-8E44-43D09E9D03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050479-D083-420C-A3AC-C397732683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819066-EB73-4702-AFAA-8F3E2CF14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797E8C-05A9-4AD3-9E23-A8690BA3C0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B43133-A198-4420-86B0-E0417394B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444</c:v>
                </c:pt>
                <c:pt idx="9">
                  <c:v>333</c:v>
                </c:pt>
                <c:pt idx="10">
                  <c:v>250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2133</c:v>
                </c:pt>
                <c:pt idx="7">
                  <c:v>2466</c:v>
                </c:pt>
                <c:pt idx="8">
                  <c:v>2910</c:v>
                </c:pt>
                <c:pt idx="9">
                  <c:v>3243</c:v>
                </c:pt>
                <c:pt idx="10">
                  <c:v>3493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1647825</xdr:colOff>
          <xdr:row>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200025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8" dataDxfId="27">
  <autoFilter ref="R13:X16" xr:uid="{FF2C9E8B-1A62-479C-AF68-79B236C0B7BB}"/>
  <tableColumns count="7">
    <tableColumn id="1" xr3:uid="{727C6146-39EA-4E15-8783-53CAA87FAF36}" name="Zone ID" dataDxfId="3"/>
    <tableColumn id="2" xr3:uid="{2CA65110-6DD7-46D8-BFC2-5EB0C0E57567}" name="Description" dataDxfId="26"/>
    <tableColumn id="3" xr3:uid="{12D64F80-6A69-494F-BF8F-E326D34A185A}" name="Short Description" dataDxfId="25"/>
    <tableColumn id="4" xr3:uid="{71F3F5B2-8F6B-4985-B1FC-5A9D60095474}" name="Start Date" dataDxfId="24"/>
    <tableColumn id="5" xr3:uid="{57258378-8FED-4727-89AC-D938CB414B7B}" name="Finish Date" dataDxfId="23"/>
    <tableColumn id="6" xr3:uid="{ED4D3C9E-A6C7-420C-BE38-7AA6F80835A2}" name="Total" dataDxfId="22"/>
    <tableColumn id="7" xr3:uid="{AC25D65C-9FB4-4F8A-9A72-57F6F2EC5CEF}" name="Completed Total" dataDxfId="2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20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9">
      <calculatedColumnFormula>IF(AA13 = "Date", $S$4, AA13+7)</calculatedColumnFormula>
    </tableColumn>
    <tableColumn id="6" xr3:uid="{5740AC03-CF53-4345-8667-6AC0CA6843D0}" name="Primary Areas" dataDxfId="18">
      <calculatedColumnFormula>PrimaryAreas(3)</calculatedColumnFormula>
    </tableColumn>
    <tableColumn id="2" xr3:uid="{AF232D3D-EC3F-4232-BA5D-1427173C2D6A}" name="Weekly Plan" dataDxfId="17">
      <calculatedColumnFormula xml:space="preserve"> IF(#REF!="", 0,#REF!)+ IF(#REF!="", 0,#REF!)+ IF(#REF!="", 0,#REF!)</calculatedColumnFormula>
    </tableColumn>
    <tableColumn id="3" xr3:uid="{B28103F6-7596-4848-9F0D-3E4A9E5CBEFE}" name="Weekly Actual" dataDxfId="16">
      <calculatedColumnFormula>IF(AND(ISBLANK(#REF!),ISBLANK(#REF!),ISBLANK(#REF!)), "",#REF! +#REF!+#REF!)</calculatedColumnFormula>
    </tableColumn>
    <tableColumn id="4" xr3:uid="{EF1C6009-71E6-491B-B64F-04049D2D9103}" name="Accumulated Plan" dataDxfId="15">
      <calculatedColumnFormula>SUM($AC$14:AC14)</calculatedColumnFormula>
    </tableColumn>
    <tableColumn id="5" xr3:uid="{442DAB73-1233-4C61-8DE9-3B44CE2C5D69}" name="Accumulated Actual" dataDxfId="14">
      <calculatedColumnFormula>IF(AD14=0,NA(),SUM($AD$14:AD14))</calculatedColumnFormula>
    </tableColumn>
    <tableColumn id="19" xr3:uid="{495756A6-E987-4666-BF6F-496E33FA9D61}" name="WP_A1" dataDxfId="13">
      <calculatedColumnFormula>WeeklyPlanned(Output_Template[[#Headers],[WP_A1]], Output_Template[[#This Row],[Date]])</calculatedColumnFormula>
    </tableColumn>
    <tableColumn id="20" xr3:uid="{2C075E83-1C10-4744-A980-166BA7BE4857}" name="WA_A1" dataDxfId="12"/>
    <tableColumn id="21" xr3:uid="{E3575C9E-E210-489C-AFDF-693C0177490E}" name="WP_A2" dataDxfId="11">
      <calculatedColumnFormula>WeeklyPlanned(Output_Template[[#Headers],[WP_A2]], Output_Template[[#This Row],[Date]])</calculatedColumnFormula>
    </tableColumn>
    <tableColumn id="22" xr3:uid="{6FE0AA40-9DE5-470B-9BAA-EC0415A37CB0}" name="WA_A2" dataDxfId="10"/>
    <tableColumn id="23" xr3:uid="{DE2148A7-80CA-4424-9C9E-54264C75EC8F}" name="WP_A3" dataDxfId="9">
      <calculatedColumnFormula>WeeklyPlanned(Output_Template[[#Headers],[WP_A3]], Output_Template[[#This Row],[Date]])</calculatedColumnFormula>
    </tableColumn>
    <tableColumn id="24" xr3:uid="{C4434836-C212-4E9C-8B05-89DB05443A26}" name="WA_A3" dataDxfId="8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7">
  <autoFilter ref="H2:H5" xr:uid="{1041DC80-58D6-4308-9DE1-A4EC8AAD3C20}"/>
  <tableColumns count="1">
    <tableColumn id="1" xr3:uid="{0E6D3E77-7CB7-40A1-BCA6-DDC8164AAEB9}" name="Holidays" dataDxfId="6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zoomScale="85" zoomScaleNormal="85" workbookViewId="0">
      <selection activeCell="S26" sqref="S26"/>
    </sheetView>
  </sheetViews>
  <sheetFormatPr defaultColWidth="8.7109375" defaultRowHeight="14.25"/>
  <cols>
    <col min="1" max="1" width="2.5703125" style="8" customWidth="1"/>
    <col min="2" max="2" width="18.28515625" style="8" customWidth="1"/>
    <col min="3" max="3" width="9.140625" style="8" customWidth="1"/>
    <col min="4" max="8" width="9.140625" style="8"/>
    <col min="9" max="9" width="6.28515625" style="8" customWidth="1"/>
    <col min="10" max="11" width="9.140625" style="8"/>
    <col min="12" max="13" width="9.42578125" style="8" customWidth="1"/>
    <col min="14" max="15" width="10.5703125" style="8" customWidth="1"/>
    <col min="16" max="17" width="2.5703125" style="8" customWidth="1"/>
    <col min="18" max="18" width="18.42578125" style="24" customWidth="1"/>
    <col min="19" max="19" width="24.7109375" style="8" customWidth="1"/>
    <col min="20" max="20" width="20.7109375" style="8" customWidth="1"/>
    <col min="21" max="21" width="15.5703125" style="8" bestFit="1" customWidth="1"/>
    <col min="22" max="22" width="14.5703125" style="8" customWidth="1"/>
    <col min="23" max="24" width="17.28515625" style="8" customWidth="1"/>
    <col min="25" max="26" width="2.5703125" style="8" customWidth="1"/>
    <col min="27" max="27" width="14.85546875" style="8" customWidth="1"/>
    <col min="28" max="28" width="16.5703125" style="58" customWidth="1"/>
    <col min="29" max="29" width="16" style="8" customWidth="1"/>
    <col min="30" max="30" width="19.28515625" style="8" customWidth="1"/>
    <col min="31" max="31" width="20.28515625" style="8" customWidth="1"/>
    <col min="32" max="32" width="22.140625" style="8" customWidth="1"/>
    <col min="33" max="16384" width="8.7109375" style="8"/>
  </cols>
  <sheetData>
    <row r="1" spans="2:39" ht="15" thickBot="1"/>
    <row r="2" spans="2:39" ht="15">
      <c r="B2" s="61" t="str">
        <f>_xlfn.CONCAT("PROGRESS REPORT ", TEXT(S3,"mm/dd/yyyy"))</f>
        <v>PROGRESS REPORT 05/19/2020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ht="15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43970</v>
      </c>
      <c r="T3" s="24" t="s">
        <v>73</v>
      </c>
      <c r="U3" s="34" t="b">
        <v>1</v>
      </c>
    </row>
    <row r="4" spans="2:39" ht="15.75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0.29090909090909095</v>
      </c>
      <c r="O5" s="33">
        <f ca="1">IF(ISERROR(O7/O6), 0, O7/O6)</f>
        <v>0.36033333333333339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>SUM(Input_Template[Total])</f>
        <v>9000</v>
      </c>
      <c r="O6" s="36">
        <f ca="1">SUM(Output_Template[Weekly Plan])</f>
        <v>8999.9999999999982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>
        <f ca="1">VLOOKUP($S$3, INDIRECT("Output_"&amp;$S$2), 5, FALSE)</f>
        <v>2618.1818181818185</v>
      </c>
      <c r="O7" s="36">
        <f ca="1">VLOOKUP($S$3, INDIRECT("Output_"&amp;$S$2), 6, FALSE)</f>
        <v>3243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>
        <f ca="1">VLOOKUP($S$3, INDIRECT("Output_"&amp;$S$2), 3, FALSE)</f>
        <v>381.81818181818187</v>
      </c>
      <c r="O8" s="36">
        <f ca="1">VLOOKUP($S$3, INDIRECT("Output_"&amp;$S$2), 4, FALSE)</f>
        <v>333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>
        <f ca="1">AVERAGE(Output_Template[Weekly Plan])</f>
        <v>299.99999999999994</v>
      </c>
      <c r="O9" s="40">
        <f ca="1">AVERAGE(INDIRECT("AD14:AD" &amp;MATCH($S$3,Output_Template[Date],0)+14))</f>
        <v>317.54545454545456</v>
      </c>
    </row>
    <row r="10" spans="2:39" ht="15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/>
      <c r="O10" s="40"/>
    </row>
    <row r="11" spans="2:39" ht="15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/>
      <c r="O11" s="40"/>
    </row>
    <row r="12" spans="2:39" ht="15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/>
      <c r="O12" s="71"/>
    </row>
    <row r="13" spans="2:39" ht="15.75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/>
      <c r="O13" s="72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7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24" si="0">IF(AA13 = "Date", $S$4, AA13+7)</f>
        <v>43907</v>
      </c>
      <c r="AB14" s="57" t="str">
        <f t="shared" ref="AB14:AB43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.5" thickBot="1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7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7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7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8" s="59">
        <f ca="1">SUM($AC$14:AC18)</f>
        <v>1145.4545454545455</v>
      </c>
      <c r="AF18" s="59">
        <f>IF(AD18=0,NA(),SUM($AD$14:AD18))</f>
        <v>1500</v>
      </c>
      <c r="AG18" s="59">
        <f ca="1">WeeklyPlanned(Output_Template[[#Headers],[WP_A1]], Output_Template[[#This Row],[Date]])</f>
        <v>272.72727272727275</v>
      </c>
      <c r="AH18" s="59">
        <v>300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7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1800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7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2133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7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2466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7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444</v>
      </c>
      <c r="AE22" s="59">
        <f ca="1">SUM($AC$14:AC22)</f>
        <v>2236.3636363636365</v>
      </c>
      <c r="AF22" s="59">
        <f>IF(AD22=0,NA(),SUM($AD$14:AD22))</f>
        <v>2910</v>
      </c>
      <c r="AG22" s="59">
        <f ca="1">WeeklyPlanned(Output_Template[[#Headers],[WP_A1]], Output_Template[[#This Row],[Date]])</f>
        <v>272.72727272727275</v>
      </c>
      <c r="AH22" s="59">
        <v>444</v>
      </c>
      <c r="AI22" s="59" t="str">
        <f ca="1">WeeklyPlanned(Output_Template[[#Headers],[WP_A2]], Output_Template[[#This Row],[Date]])</f>
        <v/>
      </c>
      <c r="AJ22" s="59"/>
      <c r="AK22" s="59" t="str">
        <f ca="1">WeeklyPlanned(Output_Template[[#Headers],[WP_A3]], Output_Template[[#This Row],[Date]])</f>
        <v/>
      </c>
      <c r="AL22" s="59"/>
    </row>
    <row r="23" spans="2:38" ht="15.7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3" s="59">
        <f ca="1">SUM($AC$14:AC23)</f>
        <v>2618.1818181818185</v>
      </c>
      <c r="AF23" s="59">
        <f>IF(AD23=0,NA(),SUM($AD$14:AD23))</f>
        <v>3243</v>
      </c>
      <c r="AG23" s="59">
        <f ca="1">WeeklyPlanned(Output_Template[[#Headers],[WP_A1]], Output_Template[[#This Row],[Date]])</f>
        <v>272.72727272727275</v>
      </c>
      <c r="AH23" s="59">
        <v>333</v>
      </c>
      <c r="AI23" s="59">
        <f ca="1">WeeklyPlanned(Output_Template[[#Headers],[WP_A2]], Output_Template[[#This Row],[Date]])</f>
        <v>109.09090909090909</v>
      </c>
      <c r="AJ23" s="59"/>
      <c r="AK23" s="59" t="str">
        <f ca="1">WeeklyPlanned(Output_Template[[#Headers],[WP_A3]], Output_Template[[#This Row],[Date]])</f>
        <v/>
      </c>
      <c r="AL23" s="59"/>
    </row>
    <row r="24" spans="2:38" ht="15.7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250</v>
      </c>
      <c r="AE24" s="59">
        <f ca="1">SUM($AC$14:AC24)</f>
        <v>3054.545454545455</v>
      </c>
      <c r="AF24" s="59">
        <f>IF(AD24=0,NA(),SUM($AD$14:AD24))</f>
        <v>3493</v>
      </c>
      <c r="AG24" s="59">
        <f ca="1">WeeklyPlanned(Output_Template[[#Headers],[WP_A1]], Output_Template[[#This Row],[Date]])</f>
        <v>218.18181818181819</v>
      </c>
      <c r="AH24" s="59">
        <v>250</v>
      </c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7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7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7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7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7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7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7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7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7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7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7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7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7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7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7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.5" thickBot="1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5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5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5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2" priority="4">
      <formula>ISERROR(AF14)</formula>
    </cfRule>
  </conditionalFormatting>
  <conditionalFormatting sqref="R14:R16">
    <cfRule type="expression" dxfId="1" priority="2">
      <formula>IF($S$8 = "Manual", TRUE, FALSE)</formula>
    </cfRule>
  </conditionalFormatting>
  <conditionalFormatting sqref="N6:O6">
    <cfRule type="expression" dxfId="0" priority="1">
      <formula>IF($N$6=$O$6, FALSE, TRUE)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5"/>
  <cols>
    <col min="1" max="1" width="2.5703125" customWidth="1"/>
    <col min="2" max="2" width="18.42578125" bestFit="1" customWidth="1"/>
    <col min="3" max="3" width="35.5703125" customWidth="1"/>
    <col min="4" max="4" width="2.42578125" customWidth="1"/>
    <col min="5" max="5" width="17.85546875" bestFit="1" customWidth="1"/>
    <col min="6" max="6" width="14.42578125" customWidth="1"/>
    <col min="7" max="7" width="2.5703125" customWidth="1"/>
    <col min="8" max="8" width="17.42578125" customWidth="1"/>
    <col min="9" max="10" width="2.5703125" customWidth="1"/>
    <col min="11" max="11" width="23.140625" bestFit="1" customWidth="1"/>
    <col min="12" max="12" width="86.5703125" bestFit="1" customWidth="1"/>
  </cols>
  <sheetData>
    <row r="1" spans="2:12" ht="15.7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75">
      <c r="B2" s="78" t="s">
        <v>6</v>
      </c>
      <c r="C2" s="78"/>
      <c r="E2" t="s">
        <v>0</v>
      </c>
      <c r="F2" t="s">
        <v>7</v>
      </c>
      <c r="H2" t="s">
        <v>3</v>
      </c>
    </row>
    <row r="3" spans="2:12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>
      <c r="B7" t="s">
        <v>19</v>
      </c>
      <c r="C7" s="4" t="s">
        <v>98</v>
      </c>
      <c r="H7" s="1"/>
    </row>
    <row r="8" spans="2:12">
      <c r="B8" t="s">
        <v>21</v>
      </c>
      <c r="C8" s="4" t="s">
        <v>23</v>
      </c>
      <c r="H8" s="1"/>
    </row>
    <row r="9" spans="2:12">
      <c r="B9" t="s">
        <v>22</v>
      </c>
      <c r="C9" s="4" t="s">
        <v>24</v>
      </c>
      <c r="H9" s="1"/>
    </row>
    <row r="10" spans="2:12">
      <c r="B10" t="s">
        <v>26</v>
      </c>
      <c r="C10" s="4" t="s">
        <v>25</v>
      </c>
      <c r="H10" s="1"/>
    </row>
    <row r="11" spans="2:12">
      <c r="H11" s="1"/>
    </row>
    <row r="12" spans="2:12">
      <c r="H12" s="1"/>
    </row>
    <row r="13" spans="2:12">
      <c r="H13" s="1"/>
    </row>
    <row r="14" spans="2:12">
      <c r="H14" s="1"/>
    </row>
    <row r="15" spans="2:12">
      <c r="H15" s="1"/>
    </row>
    <row r="16" spans="2:12">
      <c r="H16" s="1"/>
    </row>
    <row r="17" spans="8:8">
      <c r="H17" s="1"/>
    </row>
    <row r="18" spans="8:8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1647825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C30" sqref="C30"/>
    </sheetView>
  </sheetViews>
  <sheetFormatPr defaultRowHeight="15"/>
  <cols>
    <col min="1" max="1" width="2.140625" customWidth="1"/>
    <col min="2" max="2" width="45.140625" style="8" customWidth="1"/>
    <col min="3" max="3" width="27.42578125" style="8" customWidth="1"/>
    <col min="4" max="5" width="10.85546875" style="10" customWidth="1"/>
    <col min="6" max="6" width="2.28515625" customWidth="1"/>
    <col min="7" max="7" width="21.5703125" style="19" bestFit="1" customWidth="1"/>
    <col min="8" max="8" width="15.140625" customWidth="1"/>
    <col min="9" max="10" width="14.140625" customWidth="1"/>
  </cols>
  <sheetData>
    <row r="2" spans="2:11" ht="27.95" customHeight="1">
      <c r="B2" s="80" t="str">
        <f>"PROGRESS REPORT "&amp; TEXT(Report_Date, "mm/dd/yyy")</f>
        <v>PROGRESS REPORT 05/19/2020</v>
      </c>
      <c r="C2" s="80"/>
      <c r="D2" s="80"/>
      <c r="E2" s="80"/>
    </row>
    <row r="3" spans="2:11" ht="8.25" customHeight="1"/>
    <row r="4" spans="2:11" ht="18">
      <c r="B4" s="7" t="str">
        <f>Project_Number &amp; " - " &amp; Project_Name</f>
        <v>S000 - Westland Super Cool Project</v>
      </c>
    </row>
    <row r="5" spans="2:11" ht="6" customHeight="1"/>
    <row r="6" spans="2:11">
      <c r="B6" s="8" t="str">
        <f>"Project Manager(s): " &amp; Project_Manager</f>
        <v>Project Manager(s): Default 1</v>
      </c>
      <c r="G6" s="20" t="s">
        <v>18</v>
      </c>
      <c r="H6" s="14">
        <v>43970</v>
      </c>
    </row>
    <row r="7" spans="2:11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9.9499999999999993" customHeight="1"/>
    <row r="10" spans="2:11" ht="16.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>
      <c r="B14" s="13"/>
      <c r="G14" s="1"/>
      <c r="H14" s="17"/>
    </row>
    <row r="15" spans="2:11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>
      <c r="G16" s="1"/>
      <c r="H16" s="17"/>
    </row>
    <row r="17" spans="2:10">
      <c r="G17" s="1"/>
      <c r="H17" s="17"/>
    </row>
    <row r="18" spans="2:10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>
      <c r="G19" s="1"/>
      <c r="H19" s="17"/>
    </row>
    <row r="20" spans="2:10">
      <c r="G20" s="1"/>
      <c r="H20" s="17"/>
    </row>
    <row r="21" spans="2:10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>
      <c r="G22" s="1"/>
      <c r="H22" s="17"/>
    </row>
    <row r="23" spans="2:10">
      <c r="G23" s="1"/>
      <c r="H23" s="17"/>
    </row>
    <row r="24" spans="2:10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>
      <c r="G25" s="1"/>
      <c r="H25" s="17"/>
    </row>
    <row r="26" spans="2:10">
      <c r="G26" s="1"/>
      <c r="H26" s="17"/>
    </row>
    <row r="27" spans="2:10">
      <c r="G27" s="1"/>
      <c r="H27" s="17"/>
    </row>
    <row r="28" spans="2:10">
      <c r="G28" s="1"/>
      <c r="H28" s="17"/>
    </row>
    <row r="29" spans="2:10">
      <c r="G29" s="1"/>
      <c r="H29" s="17"/>
    </row>
    <row r="30" spans="2:10">
      <c r="G30" s="1"/>
      <c r="H30" s="17"/>
    </row>
    <row r="31" spans="2:10">
      <c r="G31" s="1"/>
      <c r="H31" s="17"/>
    </row>
    <row r="32" spans="2:10">
      <c r="G32" s="1"/>
      <c r="H32" s="17"/>
    </row>
    <row r="33" spans="7:8">
      <c r="G33" s="1"/>
      <c r="H33" s="17"/>
    </row>
    <row r="34" spans="7:8">
      <c r="G34" s="1"/>
      <c r="H34" s="17"/>
    </row>
    <row r="35" spans="7:8">
      <c r="G35" s="1"/>
      <c r="H35" s="17"/>
    </row>
    <row r="36" spans="7:8">
      <c r="G36" s="1"/>
      <c r="H36" s="17"/>
    </row>
    <row r="37" spans="7:8">
      <c r="G37" s="1"/>
      <c r="H37" s="17"/>
    </row>
    <row r="38" spans="7:8">
      <c r="G38" s="1"/>
      <c r="H38" s="17"/>
    </row>
    <row r="39" spans="7:8">
      <c r="G39" s="1"/>
      <c r="H39" s="17"/>
    </row>
    <row r="40" spans="7:8">
      <c r="G40" s="1"/>
      <c r="H40" s="17"/>
    </row>
    <row r="41" spans="7:8">
      <c r="G41" s="1"/>
      <c r="H41" s="17"/>
    </row>
    <row r="42" spans="7:8">
      <c r="G42" s="1"/>
      <c r="H42" s="17"/>
    </row>
    <row r="43" spans="7:8">
      <c r="G43" s="1"/>
      <c r="H43" s="17"/>
    </row>
    <row r="44" spans="7:8">
      <c r="G44" s="1"/>
      <c r="H44" s="17"/>
    </row>
    <row r="45" spans="7:8">
      <c r="G45" s="1"/>
      <c r="H45" s="17"/>
    </row>
    <row r="46" spans="7:8">
      <c r="G46" s="1"/>
      <c r="H46" s="17"/>
    </row>
    <row r="47" spans="7:8">
      <c r="G47" s="1"/>
      <c r="H47" s="17"/>
    </row>
    <row r="48" spans="7:8">
      <c r="G48" s="1"/>
      <c r="H48" s="17"/>
    </row>
    <row r="49" spans="7:8">
      <c r="G49" s="1"/>
      <c r="H49" s="17"/>
    </row>
    <row r="50" spans="7:8">
      <c r="G50" s="1"/>
      <c r="H50" s="17"/>
    </row>
    <row r="51" spans="7:8">
      <c r="G51" s="1"/>
      <c r="H51" s="17"/>
    </row>
    <row r="52" spans="7:8">
      <c r="G52" s="1"/>
      <c r="H52" s="17"/>
    </row>
    <row r="53" spans="7:8">
      <c r="G53" s="1"/>
      <c r="H53" s="17"/>
    </row>
    <row r="54" spans="7:8">
      <c r="G54" s="1"/>
      <c r="H54" s="17"/>
    </row>
    <row r="55" spans="7:8">
      <c r="G55" s="1"/>
      <c r="H55" s="17"/>
    </row>
    <row r="56" spans="7:8">
      <c r="G56" s="1"/>
      <c r="H56" s="17"/>
    </row>
    <row r="57" spans="7:8">
      <c r="G57" s="1"/>
      <c r="H57" s="17"/>
    </row>
    <row r="58" spans="7:8">
      <c r="G58" s="1"/>
      <c r="H58" s="17"/>
    </row>
    <row r="59" spans="7:8">
      <c r="G59" s="1"/>
      <c r="H59" s="17"/>
    </row>
    <row r="60" spans="7:8">
      <c r="G60" s="1"/>
      <c r="H60" s="17"/>
    </row>
    <row r="61" spans="7:8">
      <c r="G61" s="1"/>
      <c r="H61" s="17"/>
    </row>
    <row r="62" spans="7:8">
      <c r="G62" s="1"/>
      <c r="H62" s="17"/>
    </row>
    <row r="63" spans="7:8">
      <c r="G63" s="1"/>
      <c r="H63" s="17"/>
    </row>
    <row r="64" spans="7:8">
      <c r="G64" s="1"/>
      <c r="H64" s="17"/>
    </row>
    <row r="65" spans="7:8">
      <c r="G65" s="1"/>
      <c r="H65" s="17"/>
    </row>
    <row r="66" spans="7:8">
      <c r="G66" s="1"/>
      <c r="H66" s="17"/>
    </row>
    <row r="67" spans="7:8">
      <c r="G67" s="1"/>
      <c r="H67" s="17"/>
    </row>
    <row r="68" spans="7:8">
      <c r="G68" s="1"/>
      <c r="H68" s="17"/>
    </row>
    <row r="69" spans="7:8">
      <c r="G69" s="1"/>
      <c r="H69" s="17"/>
    </row>
    <row r="70" spans="7:8">
      <c r="G70" s="1"/>
      <c r="H70" s="17"/>
    </row>
    <row r="71" spans="7:8">
      <c r="G71" s="1"/>
      <c r="H71" s="17"/>
    </row>
    <row r="72" spans="7:8">
      <c r="G72" s="1"/>
      <c r="H72" s="17"/>
    </row>
    <row r="73" spans="7:8">
      <c r="G73" s="1"/>
      <c r="H73" s="17"/>
    </row>
    <row r="74" spans="7:8">
      <c r="G74" s="1"/>
      <c r="H74" s="17"/>
    </row>
    <row r="75" spans="7:8">
      <c r="G75" s="1"/>
      <c r="H75" s="17"/>
    </row>
    <row r="76" spans="7:8">
      <c r="G76" s="1"/>
      <c r="H76" s="17"/>
    </row>
    <row r="77" spans="7:8">
      <c r="G77" s="1"/>
      <c r="H77" s="17"/>
    </row>
    <row r="78" spans="7:8">
      <c r="G78" s="1"/>
      <c r="H78" s="17"/>
    </row>
    <row r="79" spans="7:8">
      <c r="G79" s="1"/>
      <c r="H79" s="17"/>
    </row>
    <row r="80" spans="7:8">
      <c r="G80" s="1"/>
      <c r="H80" s="17"/>
    </row>
    <row r="81" spans="7:8">
      <c r="G81" s="1"/>
      <c r="H81" s="17"/>
    </row>
    <row r="82" spans="7:8">
      <c r="G82" s="1"/>
      <c r="H82" s="17"/>
    </row>
    <row r="83" spans="7:8">
      <c r="G83" s="1"/>
      <c r="H83" s="17"/>
    </row>
    <row r="84" spans="7:8">
      <c r="G84" s="1"/>
      <c r="H84" s="17"/>
    </row>
    <row r="85" spans="7:8">
      <c r="G85" s="1"/>
      <c r="H85" s="17"/>
    </row>
    <row r="86" spans="7:8">
      <c r="G86" s="1"/>
      <c r="H86" s="17"/>
    </row>
    <row r="87" spans="7:8">
      <c r="G87" s="1"/>
      <c r="H87" s="17"/>
    </row>
    <row r="88" spans="7:8">
      <c r="G88" s="1"/>
      <c r="H88" s="17"/>
    </row>
    <row r="89" spans="7:8">
      <c r="G89" s="1"/>
      <c r="H89" s="17"/>
    </row>
    <row r="90" spans="7:8">
      <c r="G90" s="1"/>
      <c r="H90" s="17"/>
    </row>
    <row r="91" spans="7:8">
      <c r="G91" s="1"/>
      <c r="H91" s="17"/>
    </row>
    <row r="92" spans="7:8">
      <c r="G92" s="1"/>
      <c r="H92" s="17"/>
    </row>
    <row r="93" spans="7:8">
      <c r="G93" s="1"/>
      <c r="H93" s="17"/>
    </row>
    <row r="94" spans="7:8">
      <c r="G94" s="1"/>
      <c r="H94" s="17"/>
    </row>
    <row r="95" spans="7:8">
      <c r="G95" s="1"/>
      <c r="H95" s="17"/>
    </row>
    <row r="96" spans="7:8">
      <c r="G96" s="1"/>
      <c r="H96" s="17"/>
    </row>
    <row r="97" spans="7:8">
      <c r="G97" s="1"/>
      <c r="H97" s="17"/>
    </row>
    <row r="98" spans="7:8">
      <c r="G98" s="1"/>
      <c r="H98" s="17"/>
    </row>
    <row r="99" spans="7:8">
      <c r="G99" s="1"/>
      <c r="H99" s="17"/>
    </row>
    <row r="100" spans="7:8">
      <c r="G100" s="1"/>
      <c r="H100" s="17"/>
    </row>
    <row r="101" spans="7:8">
      <c r="G101" s="1"/>
      <c r="H101" s="17"/>
    </row>
    <row r="102" spans="7:8">
      <c r="G102" s="1"/>
      <c r="H102" s="17"/>
    </row>
    <row r="103" spans="7:8">
      <c r="G103" s="1"/>
      <c r="H103" s="17"/>
    </row>
    <row r="104" spans="7:8">
      <c r="G104" s="1"/>
      <c r="H104" s="17"/>
    </row>
    <row r="105" spans="7:8">
      <c r="G105" s="1"/>
      <c r="H105" s="17"/>
    </row>
    <row r="106" spans="7:8">
      <c r="G106" s="1"/>
      <c r="H106" s="17"/>
    </row>
    <row r="107" spans="7:8">
      <c r="G107" s="1"/>
      <c r="H107" s="17"/>
    </row>
    <row r="108" spans="7:8">
      <c r="G108" s="1"/>
      <c r="H108" s="17"/>
    </row>
    <row r="109" spans="7:8">
      <c r="G109" s="1"/>
      <c r="H109" s="17"/>
    </row>
    <row r="110" spans="7:8">
      <c r="G110" s="1"/>
      <c r="H110" s="17"/>
    </row>
    <row r="111" spans="7:8">
      <c r="G111" s="1"/>
      <c r="H111" s="17"/>
    </row>
    <row r="112" spans="7:8">
      <c r="G112" s="1"/>
      <c r="H112" s="17"/>
    </row>
    <row r="113" spans="7:8">
      <c r="G113" s="1"/>
      <c r="H113" s="17"/>
    </row>
    <row r="114" spans="7:8">
      <c r="G114" s="1"/>
      <c r="H114" s="17"/>
    </row>
    <row r="115" spans="7:8">
      <c r="G115" s="1"/>
      <c r="H115" s="17"/>
    </row>
    <row r="116" spans="7:8">
      <c r="G116" s="1"/>
      <c r="H116" s="17"/>
    </row>
    <row r="117" spans="7:8">
      <c r="G117" s="1"/>
      <c r="H117" s="17"/>
    </row>
    <row r="118" spans="7:8">
      <c r="G118" s="1"/>
      <c r="H118" s="17"/>
    </row>
    <row r="119" spans="7:8">
      <c r="G119" s="1"/>
      <c r="H119" s="17"/>
    </row>
    <row r="120" spans="7:8">
      <c r="G120" s="1"/>
      <c r="H120" s="17"/>
    </row>
    <row r="121" spans="7:8">
      <c r="G121" s="1"/>
      <c r="H121" s="17"/>
    </row>
    <row r="122" spans="7:8">
      <c r="G122" s="1"/>
      <c r="H122" s="17"/>
    </row>
    <row r="123" spans="7:8">
      <c r="G123" s="1"/>
      <c r="H123" s="17"/>
    </row>
    <row r="124" spans="7:8">
      <c r="G124" s="1"/>
      <c r="H124" s="17"/>
    </row>
    <row r="125" spans="7:8">
      <c r="G125" s="1"/>
      <c r="H125" s="17"/>
    </row>
    <row r="126" spans="7:8">
      <c r="G126" s="1"/>
      <c r="H126" s="17"/>
    </row>
    <row r="127" spans="7:8">
      <c r="G127" s="1"/>
      <c r="H127" s="17"/>
    </row>
    <row r="128" spans="7:8">
      <c r="G128" s="1"/>
      <c r="H128" s="17"/>
    </row>
    <row r="129" spans="7:8">
      <c r="G129" s="1"/>
      <c r="H129" s="17"/>
    </row>
    <row r="130" spans="7:8">
      <c r="G130" s="1"/>
      <c r="H130" s="17"/>
    </row>
    <row r="131" spans="7:8">
      <c r="G131" s="1"/>
      <c r="H131" s="17"/>
    </row>
    <row r="132" spans="7:8">
      <c r="G132" s="1"/>
      <c r="H132" s="17"/>
    </row>
    <row r="133" spans="7:8">
      <c r="G133" s="1"/>
      <c r="H133" s="17"/>
    </row>
    <row r="134" spans="7:8">
      <c r="G134" s="1"/>
      <c r="H134" s="17"/>
    </row>
    <row r="135" spans="7:8">
      <c r="G135" s="1"/>
      <c r="H135" s="17"/>
    </row>
    <row r="136" spans="7:8">
      <c r="G136" s="1"/>
      <c r="H136" s="17"/>
    </row>
    <row r="137" spans="7:8">
      <c r="G137" s="1"/>
      <c r="H137" s="17"/>
    </row>
    <row r="138" spans="7:8">
      <c r="G138" s="1"/>
      <c r="H138" s="17"/>
    </row>
    <row r="139" spans="7:8">
      <c r="G139" s="1"/>
      <c r="H139" s="17"/>
    </row>
    <row r="140" spans="7:8">
      <c r="G140" s="1"/>
      <c r="H140" s="17"/>
    </row>
    <row r="141" spans="7:8">
      <c r="G141" s="1"/>
      <c r="H141" s="17"/>
    </row>
    <row r="142" spans="7:8">
      <c r="G142" s="1"/>
      <c r="H142" s="17"/>
    </row>
    <row r="143" spans="7:8">
      <c r="G143" s="1"/>
      <c r="H143" s="17"/>
    </row>
    <row r="144" spans="7:8">
      <c r="G144" s="1"/>
      <c r="H144" s="17"/>
    </row>
    <row r="145" spans="7:8">
      <c r="G145" s="1"/>
      <c r="H145" s="17"/>
    </row>
    <row r="146" spans="7:8">
      <c r="G146" s="1"/>
      <c r="H146" s="17"/>
    </row>
    <row r="147" spans="7:8">
      <c r="G147" s="1"/>
      <c r="H147" s="17"/>
    </row>
    <row r="148" spans="7:8">
      <c r="G148" s="1"/>
      <c r="H148" s="17"/>
    </row>
    <row r="149" spans="7:8">
      <c r="G149" s="1"/>
      <c r="H149" s="17"/>
    </row>
    <row r="150" spans="7:8">
      <c r="G150" s="1"/>
      <c r="H150" s="17"/>
    </row>
    <row r="151" spans="7:8">
      <c r="G151" s="1"/>
      <c r="H151" s="17"/>
    </row>
    <row r="152" spans="7:8">
      <c r="G152" s="1"/>
      <c r="H152" s="17"/>
    </row>
    <row r="153" spans="7:8">
      <c r="G153" s="1"/>
      <c r="H153" s="17"/>
    </row>
    <row r="154" spans="7:8">
      <c r="G154" s="1"/>
      <c r="H154" s="17"/>
    </row>
    <row r="155" spans="7:8">
      <c r="G155" s="1"/>
      <c r="H155" s="17"/>
    </row>
    <row r="156" spans="7:8">
      <c r="G156" s="1"/>
      <c r="H156" s="17"/>
    </row>
    <row r="157" spans="7:8">
      <c r="G157" s="1"/>
      <c r="H157" s="17"/>
    </row>
    <row r="158" spans="7:8">
      <c r="G158" s="1"/>
      <c r="H158" s="17"/>
    </row>
    <row r="159" spans="7:8">
      <c r="G159" s="1"/>
      <c r="H159" s="17"/>
    </row>
    <row r="160" spans="7:8">
      <c r="G160" s="1"/>
      <c r="H160" s="17"/>
    </row>
    <row r="161" spans="7:8">
      <c r="G161" s="1"/>
      <c r="H161" s="17"/>
    </row>
    <row r="162" spans="7:8">
      <c r="G162" s="1"/>
      <c r="H162" s="17"/>
    </row>
    <row r="163" spans="7:8">
      <c r="G163" s="1"/>
      <c r="H163" s="17"/>
    </row>
    <row r="164" spans="7:8">
      <c r="G164" s="1"/>
      <c r="H164" s="17"/>
    </row>
    <row r="165" spans="7:8">
      <c r="G165" s="1"/>
      <c r="H165" s="17"/>
    </row>
    <row r="166" spans="7:8">
      <c r="G166" s="1"/>
      <c r="H166" s="17"/>
    </row>
    <row r="167" spans="7:8">
      <c r="G167" s="1"/>
      <c r="H167" s="17"/>
    </row>
    <row r="168" spans="7:8">
      <c r="G168" s="1"/>
      <c r="H168" s="17"/>
    </row>
    <row r="169" spans="7:8">
      <c r="G169" s="1"/>
      <c r="H169" s="17"/>
    </row>
    <row r="170" spans="7:8">
      <c r="G170" s="1"/>
      <c r="H170" s="17"/>
    </row>
    <row r="171" spans="7:8">
      <c r="G171" s="1"/>
      <c r="H171" s="17"/>
    </row>
    <row r="172" spans="7:8">
      <c r="G172" s="1"/>
      <c r="H172" s="17"/>
    </row>
    <row r="173" spans="7:8">
      <c r="G173" s="1"/>
      <c r="H173" s="17"/>
    </row>
    <row r="174" spans="7:8">
      <c r="G174" s="1"/>
      <c r="H174" s="17"/>
    </row>
    <row r="175" spans="7:8">
      <c r="G175" s="1"/>
      <c r="H175" s="17"/>
    </row>
    <row r="176" spans="7:8">
      <c r="G176" s="1"/>
      <c r="H176" s="17"/>
    </row>
    <row r="177" spans="7:8">
      <c r="G177" s="1"/>
      <c r="H177" s="17"/>
    </row>
    <row r="178" spans="7:8">
      <c r="G178" s="1"/>
      <c r="H178" s="17"/>
    </row>
    <row r="179" spans="7:8">
      <c r="G179" s="1"/>
      <c r="H179" s="17"/>
    </row>
    <row r="180" spans="7:8">
      <c r="G180" s="1"/>
      <c r="H180" s="17"/>
    </row>
    <row r="181" spans="7:8">
      <c r="G181" s="1"/>
      <c r="H181" s="17"/>
    </row>
    <row r="182" spans="7:8">
      <c r="G182" s="1"/>
      <c r="H182" s="17"/>
    </row>
    <row r="183" spans="7:8">
      <c r="G183" s="1"/>
      <c r="H183" s="17"/>
    </row>
    <row r="184" spans="7:8">
      <c r="G184" s="1"/>
      <c r="H184" s="17"/>
    </row>
    <row r="185" spans="7:8">
      <c r="G185" s="1"/>
      <c r="H185" s="17"/>
    </row>
    <row r="186" spans="7:8">
      <c r="G186" s="1"/>
      <c r="H186" s="17"/>
    </row>
    <row r="187" spans="7:8">
      <c r="G187" s="1"/>
      <c r="H187" s="17"/>
    </row>
    <row r="188" spans="7:8">
      <c r="G188" s="1"/>
      <c r="H188" s="17"/>
    </row>
    <row r="189" spans="7:8">
      <c r="G189" s="1"/>
      <c r="H189" s="17"/>
    </row>
    <row r="190" spans="7:8">
      <c r="G190" s="1"/>
      <c r="H190" s="17"/>
    </row>
    <row r="191" spans="7:8">
      <c r="G191" s="1"/>
      <c r="H191" s="17"/>
    </row>
    <row r="192" spans="7:8">
      <c r="G192" s="1"/>
      <c r="H192" s="17"/>
    </row>
    <row r="193" spans="7:8">
      <c r="G193" s="1"/>
      <c r="H193" s="17"/>
    </row>
    <row r="194" spans="7:8">
      <c r="G194" s="1"/>
      <c r="H194" s="17"/>
    </row>
    <row r="195" spans="7:8">
      <c r="G195" s="1"/>
      <c r="H195" s="17"/>
    </row>
    <row r="196" spans="7:8">
      <c r="G196" s="1"/>
      <c r="H196" s="17"/>
    </row>
    <row r="197" spans="7:8">
      <c r="G197" s="1"/>
      <c r="H197" s="17"/>
    </row>
    <row r="198" spans="7:8">
      <c r="G198" s="1"/>
      <c r="H198" s="17"/>
    </row>
    <row r="199" spans="7:8">
      <c r="G199" s="1"/>
      <c r="H199" s="17"/>
    </row>
    <row r="200" spans="7:8">
      <c r="G200" s="1"/>
      <c r="H200" s="17"/>
    </row>
    <row r="201" spans="7:8">
      <c r="G201" s="1"/>
      <c r="H201" s="17"/>
    </row>
    <row r="202" spans="7:8">
      <c r="G202" s="1"/>
      <c r="H202" s="17"/>
    </row>
    <row r="203" spans="7:8">
      <c r="G203" s="1"/>
      <c r="H203" s="17"/>
    </row>
    <row r="204" spans="7:8">
      <c r="G204" s="1"/>
      <c r="H204" s="17"/>
    </row>
    <row r="205" spans="7:8">
      <c r="G205" s="1"/>
      <c r="H205" s="17"/>
    </row>
    <row r="206" spans="7:8">
      <c r="G206" s="1"/>
      <c r="H206" s="17"/>
    </row>
    <row r="207" spans="7:8">
      <c r="G207" s="1"/>
      <c r="H207" s="17"/>
    </row>
    <row r="208" spans="7:8">
      <c r="G208" s="1"/>
      <c r="H208" s="17"/>
    </row>
    <row r="209" spans="7:8">
      <c r="G209" s="1"/>
      <c r="H209" s="17"/>
    </row>
    <row r="210" spans="7:8">
      <c r="G210" s="1"/>
      <c r="H210" s="17"/>
    </row>
    <row r="211" spans="7:8">
      <c r="G211" s="1"/>
      <c r="H211" s="17"/>
    </row>
    <row r="212" spans="7:8">
      <c r="G212" s="1"/>
      <c r="H212" s="17"/>
    </row>
    <row r="213" spans="7:8">
      <c r="G213" s="1"/>
      <c r="H213" s="17"/>
    </row>
    <row r="214" spans="7:8">
      <c r="G214" s="1"/>
      <c r="H214" s="17"/>
    </row>
    <row r="215" spans="7:8">
      <c r="G215" s="1"/>
      <c r="H215" s="17"/>
    </row>
    <row r="216" spans="7:8">
      <c r="G216" s="1"/>
      <c r="H216" s="17"/>
    </row>
    <row r="217" spans="7:8">
      <c r="G217" s="1"/>
      <c r="H217" s="17"/>
    </row>
    <row r="218" spans="7:8">
      <c r="G218" s="1"/>
      <c r="H218" s="17"/>
    </row>
    <row r="219" spans="7:8">
      <c r="G219" s="1"/>
      <c r="H219" s="17"/>
    </row>
    <row r="220" spans="7:8">
      <c r="G220" s="1"/>
      <c r="H220" s="17"/>
    </row>
    <row r="221" spans="7:8">
      <c r="G221" s="1"/>
      <c r="H221" s="17"/>
    </row>
    <row r="222" spans="7:8">
      <c r="G222" s="1"/>
      <c r="H222" s="17"/>
    </row>
    <row r="223" spans="7:8">
      <c r="G223" s="1"/>
      <c r="H223" s="17"/>
    </row>
    <row r="224" spans="7:8">
      <c r="G224" s="1"/>
      <c r="H224" s="17"/>
    </row>
    <row r="225" spans="7:8">
      <c r="G225" s="1"/>
      <c r="H225" s="17"/>
    </row>
    <row r="226" spans="7:8">
      <c r="G226" s="1"/>
      <c r="H226" s="17"/>
    </row>
    <row r="227" spans="7:8">
      <c r="G227" s="1"/>
      <c r="H227" s="17"/>
    </row>
    <row r="228" spans="7:8">
      <c r="G228" s="1"/>
      <c r="H228" s="17"/>
    </row>
    <row r="229" spans="7:8">
      <c r="G229" s="1"/>
      <c r="H229" s="17"/>
    </row>
    <row r="230" spans="7:8">
      <c r="G230" s="1"/>
      <c r="H230" s="17"/>
    </row>
    <row r="231" spans="7:8">
      <c r="G231" s="1"/>
      <c r="H231" s="17"/>
    </row>
    <row r="232" spans="7:8">
      <c r="G232" s="1"/>
      <c r="H232" s="17"/>
    </row>
    <row r="233" spans="7:8">
      <c r="G233" s="1"/>
      <c r="H233" s="17"/>
    </row>
    <row r="234" spans="7:8">
      <c r="G234" s="1"/>
      <c r="H234" s="17"/>
    </row>
    <row r="235" spans="7:8">
      <c r="G235" s="1"/>
      <c r="H235" s="17"/>
    </row>
    <row r="236" spans="7:8">
      <c r="G236" s="1"/>
      <c r="H236" s="17"/>
    </row>
    <row r="237" spans="7:8">
      <c r="G237" s="1"/>
      <c r="H237" s="17"/>
    </row>
    <row r="238" spans="7:8">
      <c r="G238" s="1"/>
      <c r="H238" s="17"/>
    </row>
    <row r="239" spans="7:8">
      <c r="G239" s="1"/>
      <c r="H239" s="17"/>
    </row>
    <row r="240" spans="7:8">
      <c r="G240" s="1"/>
      <c r="H240" s="17"/>
    </row>
    <row r="241" spans="7:8">
      <c r="G241" s="1"/>
      <c r="H241" s="17"/>
    </row>
    <row r="242" spans="7:8">
      <c r="G242" s="1"/>
      <c r="H242" s="17"/>
    </row>
    <row r="243" spans="7:8">
      <c r="G243" s="1"/>
      <c r="H243" s="17"/>
    </row>
    <row r="244" spans="7:8">
      <c r="G244" s="1"/>
      <c r="H244" s="17"/>
    </row>
    <row r="245" spans="7:8">
      <c r="G245" s="1"/>
      <c r="H245" s="17"/>
    </row>
    <row r="246" spans="7:8">
      <c r="G246" s="1"/>
      <c r="H246" s="17"/>
    </row>
    <row r="247" spans="7:8">
      <c r="G247" s="1"/>
      <c r="H247" s="17"/>
    </row>
    <row r="248" spans="7:8">
      <c r="G248" s="1"/>
      <c r="H248" s="17"/>
    </row>
    <row r="249" spans="7:8">
      <c r="G249" s="1"/>
      <c r="H249" s="17"/>
    </row>
    <row r="250" spans="7:8">
      <c r="G250" s="1"/>
      <c r="H250" s="17"/>
    </row>
    <row r="251" spans="7:8">
      <c r="G251" s="1"/>
      <c r="H251" s="17"/>
    </row>
    <row r="252" spans="7:8">
      <c r="G252" s="1"/>
      <c r="H252" s="17"/>
    </row>
    <row r="253" spans="7:8">
      <c r="G253" s="1"/>
      <c r="H253" s="17"/>
    </row>
    <row r="254" spans="7:8">
      <c r="G254" s="1"/>
      <c r="H254" s="17"/>
    </row>
    <row r="255" spans="7:8">
      <c r="G255" s="1"/>
      <c r="H255" s="17"/>
    </row>
    <row r="256" spans="7:8">
      <c r="G256" s="1"/>
      <c r="H256" s="17"/>
    </row>
    <row r="257" spans="7:8">
      <c r="G257" s="1"/>
      <c r="H257" s="17"/>
    </row>
    <row r="258" spans="7:8">
      <c r="G258" s="1"/>
      <c r="H258" s="17"/>
    </row>
    <row r="259" spans="7:8">
      <c r="G259" s="1"/>
      <c r="H259" s="17"/>
    </row>
    <row r="260" spans="7:8">
      <c r="G260" s="1"/>
      <c r="H260" s="17"/>
    </row>
    <row r="261" spans="7:8">
      <c r="G261" s="1"/>
      <c r="H261" s="17"/>
    </row>
    <row r="262" spans="7:8">
      <c r="G262" s="1"/>
      <c r="H262" s="17"/>
    </row>
    <row r="263" spans="7:8">
      <c r="G263" s="1"/>
      <c r="H263" s="17"/>
    </row>
    <row r="264" spans="7:8">
      <c r="G264" s="1"/>
      <c r="H264" s="17"/>
    </row>
    <row r="265" spans="7:8">
      <c r="G265" s="1"/>
      <c r="H265" s="17"/>
    </row>
    <row r="266" spans="7:8">
      <c r="G266" s="1"/>
      <c r="H266" s="17"/>
    </row>
    <row r="267" spans="7:8">
      <c r="G267" s="1"/>
      <c r="H267" s="17"/>
    </row>
    <row r="268" spans="7:8">
      <c r="G268" s="1"/>
      <c r="H268" s="17"/>
    </row>
    <row r="269" spans="7:8">
      <c r="G269" s="1"/>
      <c r="H269" s="17"/>
    </row>
    <row r="270" spans="7:8">
      <c r="G270" s="1"/>
      <c r="H270" s="17"/>
    </row>
    <row r="271" spans="7:8">
      <c r="G271" s="1"/>
      <c r="H271" s="17"/>
    </row>
    <row r="272" spans="7:8">
      <c r="G272" s="1"/>
      <c r="H272" s="17"/>
    </row>
    <row r="273" spans="7:8">
      <c r="G273" s="1"/>
      <c r="H273" s="17"/>
    </row>
    <row r="274" spans="7:8">
      <c r="G274" s="1"/>
      <c r="H274" s="17"/>
    </row>
    <row r="275" spans="7:8">
      <c r="G275" s="1"/>
      <c r="H275" s="17"/>
    </row>
    <row r="276" spans="7:8">
      <c r="G276" s="1"/>
      <c r="H276" s="17"/>
    </row>
    <row r="277" spans="7:8">
      <c r="G277" s="1"/>
      <c r="H277" s="17"/>
    </row>
    <row r="278" spans="7:8">
      <c r="G278" s="1"/>
      <c r="H278" s="17"/>
    </row>
    <row r="279" spans="7:8">
      <c r="H279" s="17"/>
    </row>
    <row r="280" spans="7:8">
      <c r="H280" s="17"/>
    </row>
    <row r="281" spans="7:8">
      <c r="H281" s="17"/>
    </row>
    <row r="282" spans="7:8">
      <c r="H282" s="17"/>
    </row>
    <row r="283" spans="7:8">
      <c r="H283" s="17"/>
    </row>
    <row r="284" spans="7:8">
      <c r="H284" s="17"/>
    </row>
    <row r="285" spans="7:8">
      <c r="H285" s="17"/>
    </row>
    <row r="286" spans="7:8">
      <c r="H286" s="17"/>
    </row>
    <row r="287" spans="7:8">
      <c r="H287" s="17"/>
    </row>
    <row r="288" spans="7:8">
      <c r="H288" s="17"/>
    </row>
    <row r="289" spans="8:8">
      <c r="H289" s="17"/>
    </row>
    <row r="290" spans="8:8">
      <c r="H290" s="17"/>
    </row>
    <row r="291" spans="8:8">
      <c r="H291" s="17"/>
    </row>
    <row r="292" spans="8:8">
      <c r="H292" s="17"/>
    </row>
    <row r="293" spans="8:8">
      <c r="H293" s="17"/>
    </row>
    <row r="294" spans="8:8">
      <c r="H294" s="17"/>
    </row>
    <row r="295" spans="8:8">
      <c r="H295" s="17"/>
    </row>
    <row r="296" spans="8:8">
      <c r="H296" s="17"/>
    </row>
    <row r="297" spans="8:8">
      <c r="H297" s="17"/>
    </row>
    <row r="298" spans="8:8">
      <c r="H298" s="17"/>
    </row>
    <row r="299" spans="8:8">
      <c r="H299" s="17"/>
    </row>
    <row r="300" spans="8:8">
      <c r="H300" s="17"/>
    </row>
    <row r="301" spans="8:8">
      <c r="H301" s="17"/>
    </row>
    <row r="302" spans="8:8">
      <c r="H302" s="17"/>
    </row>
    <row r="303" spans="8:8">
      <c r="H303" s="17"/>
    </row>
    <row r="304" spans="8:8">
      <c r="H304" s="17"/>
    </row>
    <row r="305" spans="8:8">
      <c r="H305" s="17"/>
    </row>
    <row r="306" spans="8:8">
      <c r="H306" s="17"/>
    </row>
    <row r="307" spans="8:8">
      <c r="H307" s="17"/>
    </row>
    <row r="308" spans="8:8">
      <c r="H308" s="17"/>
    </row>
    <row r="309" spans="8:8">
      <c r="H309" s="17"/>
    </row>
    <row r="310" spans="8:8">
      <c r="H310" s="17"/>
    </row>
    <row r="311" spans="8:8">
      <c r="H311" s="17"/>
    </row>
    <row r="312" spans="8:8">
      <c r="H312" s="17"/>
    </row>
    <row r="313" spans="8:8">
      <c r="H313" s="17"/>
    </row>
    <row r="314" spans="8:8">
      <c r="H314" s="17"/>
    </row>
    <row r="315" spans="8:8">
      <c r="H315" s="17"/>
    </row>
    <row r="316" spans="8:8">
      <c r="H316" s="17"/>
    </row>
    <row r="317" spans="8:8">
      <c r="H317" s="17"/>
    </row>
    <row r="318" spans="8:8">
      <c r="H318" s="17"/>
    </row>
    <row r="319" spans="8:8">
      <c r="H319" s="17"/>
    </row>
    <row r="320" spans="8:8">
      <c r="H320" s="17"/>
    </row>
    <row r="321" spans="8:8">
      <c r="H321" s="17"/>
    </row>
    <row r="322" spans="8:8">
      <c r="H322" s="17"/>
    </row>
    <row r="323" spans="8:8">
      <c r="H323" s="17"/>
    </row>
    <row r="324" spans="8:8">
      <c r="H324" s="17"/>
    </row>
    <row r="325" spans="8:8">
      <c r="H325" s="17"/>
    </row>
    <row r="326" spans="8:8">
      <c r="H326" s="17"/>
    </row>
    <row r="327" spans="8:8">
      <c r="H327" s="17"/>
    </row>
    <row r="328" spans="8:8">
      <c r="H328" s="17"/>
    </row>
    <row r="329" spans="8:8">
      <c r="H329" s="17"/>
    </row>
    <row r="330" spans="8:8">
      <c r="H330" s="17"/>
    </row>
    <row r="331" spans="8:8">
      <c r="H331" s="17"/>
    </row>
    <row r="332" spans="8:8">
      <c r="H332" s="17"/>
    </row>
    <row r="333" spans="8:8">
      <c r="H333" s="17"/>
    </row>
    <row r="334" spans="8:8">
      <c r="H334" s="17"/>
    </row>
    <row r="335" spans="8:8">
      <c r="H335" s="17"/>
    </row>
    <row r="336" spans="8:8">
      <c r="H336" s="17"/>
    </row>
    <row r="337" spans="8:8">
      <c r="H337" s="17"/>
    </row>
    <row r="338" spans="8:8">
      <c r="H338" s="17"/>
    </row>
    <row r="339" spans="8:8">
      <c r="H339" s="17"/>
    </row>
    <row r="340" spans="8:8">
      <c r="H340" s="17"/>
    </row>
    <row r="341" spans="8:8">
      <c r="H341" s="17"/>
    </row>
    <row r="342" spans="8:8">
      <c r="H342" s="17"/>
    </row>
    <row r="343" spans="8:8">
      <c r="H343" s="17"/>
    </row>
    <row r="344" spans="8:8">
      <c r="H344" s="17"/>
    </row>
    <row r="345" spans="8:8">
      <c r="H345" s="17"/>
    </row>
    <row r="346" spans="8:8">
      <c r="H346" s="17"/>
    </row>
    <row r="347" spans="8:8">
      <c r="H347" s="17"/>
    </row>
    <row r="348" spans="8:8">
      <c r="H348" s="17"/>
    </row>
    <row r="349" spans="8:8">
      <c r="H349" s="17"/>
    </row>
    <row r="350" spans="8:8">
      <c r="H350" s="17"/>
    </row>
    <row r="351" spans="8:8">
      <c r="H351" s="17"/>
    </row>
    <row r="352" spans="8:8">
      <c r="H352" s="17"/>
    </row>
    <row r="353" spans="8:8">
      <c r="H353" s="17"/>
    </row>
    <row r="354" spans="8:8">
      <c r="H354" s="17"/>
    </row>
    <row r="355" spans="8:8">
      <c r="H355" s="17"/>
    </row>
    <row r="356" spans="8:8">
      <c r="H356" s="17"/>
    </row>
    <row r="357" spans="8:8">
      <c r="H357" s="17"/>
    </row>
    <row r="358" spans="8:8">
      <c r="H358" s="17"/>
    </row>
    <row r="359" spans="8:8">
      <c r="H359" s="17"/>
    </row>
    <row r="360" spans="8:8">
      <c r="H360" s="17"/>
    </row>
    <row r="361" spans="8:8">
      <c r="H361" s="17"/>
    </row>
    <row r="362" spans="8:8">
      <c r="H362" s="17"/>
    </row>
    <row r="363" spans="8:8">
      <c r="H363" s="17"/>
    </row>
    <row r="364" spans="8:8">
      <c r="H364" s="17"/>
    </row>
    <row r="365" spans="8:8">
      <c r="H365" s="17"/>
    </row>
    <row r="366" spans="8:8">
      <c r="H366" s="17"/>
    </row>
    <row r="367" spans="8:8">
      <c r="H367" s="17"/>
    </row>
    <row r="368" spans="8:8">
      <c r="H368" s="17"/>
    </row>
    <row r="369" spans="8:8">
      <c r="H369" s="17"/>
    </row>
    <row r="370" spans="8:8">
      <c r="H370" s="17"/>
    </row>
    <row r="371" spans="8:8">
      <c r="H371" s="17"/>
    </row>
    <row r="372" spans="8:8">
      <c r="H372" s="17"/>
    </row>
    <row r="373" spans="8:8">
      <c r="H373" s="17"/>
    </row>
    <row r="374" spans="8:8">
      <c r="H374" s="17"/>
    </row>
    <row r="375" spans="8:8">
      <c r="H375" s="17"/>
    </row>
    <row r="376" spans="8:8">
      <c r="H376" s="17"/>
    </row>
    <row r="377" spans="8:8">
      <c r="H377" s="17"/>
    </row>
    <row r="378" spans="8:8">
      <c r="H378" s="17"/>
    </row>
    <row r="379" spans="8:8">
      <c r="H379" s="17"/>
    </row>
    <row r="380" spans="8:8">
      <c r="H380" s="17"/>
    </row>
    <row r="381" spans="8:8">
      <c r="H381" s="17"/>
    </row>
    <row r="382" spans="8:8">
      <c r="H382" s="17"/>
    </row>
    <row r="383" spans="8:8">
      <c r="H383" s="17"/>
    </row>
    <row r="384" spans="8:8">
      <c r="H384" s="17"/>
    </row>
    <row r="385" spans="8:8">
      <c r="H385" s="17"/>
    </row>
    <row r="386" spans="8:8">
      <c r="H386" s="17"/>
    </row>
    <row r="387" spans="8:8">
      <c r="H387" s="17"/>
    </row>
    <row r="388" spans="8:8">
      <c r="H388" s="17"/>
    </row>
    <row r="389" spans="8:8">
      <c r="H389" s="17"/>
    </row>
    <row r="390" spans="8:8">
      <c r="H390" s="17"/>
    </row>
    <row r="391" spans="8:8">
      <c r="H391" s="17"/>
    </row>
    <row r="392" spans="8:8">
      <c r="H392" s="17"/>
    </row>
    <row r="393" spans="8:8">
      <c r="H393" s="17"/>
    </row>
    <row r="394" spans="8:8">
      <c r="H394" s="17"/>
    </row>
    <row r="395" spans="8:8">
      <c r="H395" s="17"/>
    </row>
    <row r="396" spans="8:8">
      <c r="H396" s="17"/>
    </row>
    <row r="397" spans="8:8">
      <c r="H397" s="17"/>
    </row>
    <row r="398" spans="8:8">
      <c r="H398" s="17"/>
    </row>
    <row r="399" spans="8:8">
      <c r="H399" s="17"/>
    </row>
    <row r="400" spans="8:8">
      <c r="H400" s="17"/>
    </row>
    <row r="401" spans="8:8">
      <c r="H401" s="17"/>
    </row>
    <row r="402" spans="8:8">
      <c r="H402" s="17"/>
    </row>
    <row r="403" spans="8:8">
      <c r="H403" s="17"/>
    </row>
    <row r="404" spans="8:8">
      <c r="H404" s="17"/>
    </row>
    <row r="405" spans="8:8">
      <c r="H405" s="17"/>
    </row>
    <row r="406" spans="8:8">
      <c r="H406" s="17"/>
    </row>
    <row r="407" spans="8:8">
      <c r="H407" s="17"/>
    </row>
    <row r="408" spans="8:8">
      <c r="H408" s="17"/>
    </row>
    <row r="409" spans="8:8">
      <c r="H409" s="17"/>
    </row>
    <row r="410" spans="8:8">
      <c r="H410" s="17"/>
    </row>
    <row r="411" spans="8:8">
      <c r="H411" s="17"/>
    </row>
    <row r="412" spans="8:8">
      <c r="H412" s="17"/>
    </row>
    <row r="413" spans="8:8">
      <c r="H413" s="17"/>
    </row>
    <row r="414" spans="8:8">
      <c r="H414" s="17"/>
    </row>
    <row r="415" spans="8:8">
      <c r="H415" s="17"/>
    </row>
    <row r="416" spans="8:8">
      <c r="H416" s="17"/>
    </row>
    <row r="417" spans="8:8">
      <c r="H417" s="17"/>
    </row>
    <row r="418" spans="8:8">
      <c r="H418" s="17"/>
    </row>
    <row r="419" spans="8:8">
      <c r="H419" s="17"/>
    </row>
    <row r="420" spans="8:8">
      <c r="H420" s="17"/>
    </row>
    <row r="421" spans="8:8">
      <c r="H421" s="17"/>
    </row>
    <row r="422" spans="8:8">
      <c r="H422" s="17"/>
    </row>
    <row r="423" spans="8:8">
      <c r="H423" s="17"/>
    </row>
    <row r="424" spans="8:8">
      <c r="H424" s="17"/>
    </row>
    <row r="425" spans="8:8">
      <c r="H425" s="17"/>
    </row>
    <row r="426" spans="8:8">
      <c r="H426" s="17"/>
    </row>
    <row r="427" spans="8:8">
      <c r="H427" s="17"/>
    </row>
    <row r="428" spans="8:8">
      <c r="H428" s="17"/>
    </row>
    <row r="429" spans="8:8">
      <c r="H429" s="17"/>
    </row>
    <row r="430" spans="8:8">
      <c r="H430" s="17"/>
    </row>
    <row r="431" spans="8:8">
      <c r="H431" s="17"/>
    </row>
    <row r="432" spans="8:8">
      <c r="H432" s="17"/>
    </row>
    <row r="433" spans="8:8">
      <c r="H433" s="17"/>
    </row>
    <row r="434" spans="8:8">
      <c r="H434" s="17"/>
    </row>
    <row r="435" spans="8:8">
      <c r="H435" s="17"/>
    </row>
    <row r="436" spans="8:8">
      <c r="H436" s="17"/>
    </row>
    <row r="437" spans="8:8">
      <c r="H437" s="17"/>
    </row>
    <row r="438" spans="8:8">
      <c r="H438" s="17"/>
    </row>
    <row r="439" spans="8:8">
      <c r="H439" s="17"/>
    </row>
    <row r="440" spans="8:8">
      <c r="H440" s="17"/>
    </row>
    <row r="441" spans="8:8">
      <c r="H441" s="17"/>
    </row>
    <row r="442" spans="8:8">
      <c r="H442" s="17"/>
    </row>
    <row r="443" spans="8:8">
      <c r="H443" s="17"/>
    </row>
    <row r="444" spans="8:8">
      <c r="H444" s="17"/>
    </row>
    <row r="445" spans="8:8">
      <c r="H445" s="17"/>
    </row>
    <row r="446" spans="8:8">
      <c r="H446" s="17"/>
    </row>
    <row r="447" spans="8:8">
      <c r="H447" s="17"/>
    </row>
    <row r="448" spans="8:8">
      <c r="H448" s="17"/>
    </row>
    <row r="449" spans="8:8">
      <c r="H449" s="17"/>
    </row>
    <row r="450" spans="8:8">
      <c r="H450" s="17"/>
    </row>
    <row r="451" spans="8:8">
      <c r="H451" s="17"/>
    </row>
    <row r="452" spans="8:8">
      <c r="H452" s="17"/>
    </row>
    <row r="453" spans="8:8">
      <c r="H453" s="17"/>
    </row>
    <row r="454" spans="8:8">
      <c r="H454" s="17"/>
    </row>
    <row r="455" spans="8:8">
      <c r="H455" s="17"/>
    </row>
    <row r="456" spans="8:8">
      <c r="H456" s="17"/>
    </row>
    <row r="457" spans="8:8">
      <c r="H457" s="17"/>
    </row>
    <row r="458" spans="8:8">
      <c r="H458" s="17"/>
    </row>
    <row r="459" spans="8:8">
      <c r="H459" s="17"/>
    </row>
    <row r="460" spans="8:8">
      <c r="H460" s="17"/>
    </row>
    <row r="461" spans="8:8">
      <c r="H461" s="17"/>
    </row>
    <row r="462" spans="8:8">
      <c r="H462" s="17"/>
    </row>
    <row r="463" spans="8:8">
      <c r="H463" s="17"/>
    </row>
    <row r="464" spans="8:8">
      <c r="H464" s="17"/>
    </row>
    <row r="465" spans="8:8">
      <c r="H465" s="17"/>
    </row>
    <row r="466" spans="8:8">
      <c r="H466" s="17"/>
    </row>
    <row r="467" spans="8:8">
      <c r="H467" s="17"/>
    </row>
    <row r="468" spans="8:8">
      <c r="H468" s="17"/>
    </row>
    <row r="469" spans="8:8">
      <c r="H469" s="17"/>
    </row>
    <row r="470" spans="8:8">
      <c r="H470" s="17"/>
    </row>
    <row r="471" spans="8:8">
      <c r="H471" s="17"/>
    </row>
    <row r="472" spans="8:8">
      <c r="H472" s="17"/>
    </row>
    <row r="473" spans="8:8">
      <c r="H473" s="17"/>
    </row>
    <row r="474" spans="8:8">
      <c r="H474" s="17"/>
    </row>
    <row r="475" spans="8:8">
      <c r="H475" s="17"/>
    </row>
    <row r="476" spans="8:8">
      <c r="H476" s="17"/>
    </row>
    <row r="477" spans="8:8">
      <c r="H477" s="17"/>
    </row>
    <row r="478" spans="8:8">
      <c r="H478" s="17"/>
    </row>
    <row r="479" spans="8:8">
      <c r="H479" s="17"/>
    </row>
    <row r="480" spans="8:8">
      <c r="H480" s="17"/>
    </row>
    <row r="481" spans="8:8">
      <c r="H481" s="17"/>
    </row>
    <row r="482" spans="8:8">
      <c r="H482" s="17"/>
    </row>
    <row r="483" spans="8:8">
      <c r="H483" s="17"/>
    </row>
    <row r="484" spans="8:8">
      <c r="H484" s="17"/>
    </row>
    <row r="485" spans="8:8">
      <c r="H485" s="17"/>
    </row>
    <row r="486" spans="8:8">
      <c r="H486" s="17"/>
    </row>
    <row r="487" spans="8:8">
      <c r="H487" s="17"/>
    </row>
    <row r="488" spans="8:8">
      <c r="H488" s="17"/>
    </row>
    <row r="489" spans="8:8">
      <c r="H489" s="17"/>
    </row>
    <row r="490" spans="8:8">
      <c r="H490" s="17"/>
    </row>
    <row r="491" spans="8:8">
      <c r="H491" s="17"/>
    </row>
    <row r="492" spans="8:8">
      <c r="H492" s="17"/>
    </row>
    <row r="493" spans="8:8">
      <c r="H493" s="17"/>
    </row>
    <row r="494" spans="8:8">
      <c r="H494" s="17"/>
    </row>
    <row r="495" spans="8:8">
      <c r="H495" s="17"/>
    </row>
    <row r="496" spans="8:8">
      <c r="H496" s="17"/>
    </row>
    <row r="497" spans="8:8">
      <c r="H497" s="17"/>
    </row>
    <row r="498" spans="8:8">
      <c r="H498" s="17"/>
    </row>
    <row r="499" spans="8:8">
      <c r="H499" s="17"/>
    </row>
    <row r="500" spans="8:8">
      <c r="H500" s="17"/>
    </row>
    <row r="501" spans="8:8">
      <c r="H501" s="17"/>
    </row>
    <row r="502" spans="8:8">
      <c r="H502" s="17"/>
    </row>
    <row r="503" spans="8:8">
      <c r="H503" s="17"/>
    </row>
    <row r="504" spans="8:8">
      <c r="H504" s="17"/>
    </row>
    <row r="505" spans="8:8">
      <c r="H505" s="17"/>
    </row>
    <row r="506" spans="8:8">
      <c r="H506" s="17"/>
    </row>
    <row r="507" spans="8:8">
      <c r="H507" s="17"/>
    </row>
    <row r="508" spans="8:8">
      <c r="H508" s="17"/>
    </row>
    <row r="509" spans="8:8">
      <c r="H509" s="17"/>
    </row>
    <row r="510" spans="8:8">
      <c r="H510" s="17"/>
    </row>
    <row r="511" spans="8:8">
      <c r="H511" s="17"/>
    </row>
    <row r="512" spans="8:8">
      <c r="H512" s="17"/>
    </row>
    <row r="513" spans="8:8">
      <c r="H513" s="17"/>
    </row>
    <row r="514" spans="8:8">
      <c r="H514" s="17"/>
    </row>
    <row r="515" spans="8:8">
      <c r="H515" s="17"/>
    </row>
    <row r="516" spans="8:8">
      <c r="H516" s="17"/>
    </row>
    <row r="517" spans="8:8">
      <c r="H517" s="17"/>
    </row>
    <row r="518" spans="8:8">
      <c r="H518" s="17"/>
    </row>
    <row r="519" spans="8:8">
      <c r="H519" s="17"/>
    </row>
    <row r="520" spans="8:8">
      <c r="H520" s="17"/>
    </row>
    <row r="521" spans="8:8">
      <c r="H521" s="17"/>
    </row>
    <row r="522" spans="8:8">
      <c r="H522" s="17"/>
    </row>
    <row r="523" spans="8:8">
      <c r="H523" s="17"/>
    </row>
    <row r="524" spans="8:8">
      <c r="H524" s="17"/>
    </row>
    <row r="525" spans="8:8">
      <c r="H525" s="17"/>
    </row>
    <row r="526" spans="8:8">
      <c r="H526" s="17"/>
    </row>
    <row r="527" spans="8:8">
      <c r="H527" s="17"/>
    </row>
    <row r="528" spans="8:8">
      <c r="H528" s="17"/>
    </row>
    <row r="529" spans="8:8">
      <c r="H529" s="17"/>
    </row>
    <row r="530" spans="8:8">
      <c r="H530" s="17"/>
    </row>
    <row r="531" spans="8:8">
      <c r="H531" s="17"/>
    </row>
    <row r="532" spans="8:8">
      <c r="H532" s="17"/>
    </row>
    <row r="533" spans="8:8">
      <c r="H533" s="17"/>
    </row>
    <row r="534" spans="8:8">
      <c r="H534" s="17"/>
    </row>
    <row r="535" spans="8:8">
      <c r="H535" s="17"/>
    </row>
    <row r="536" spans="8:8">
      <c r="H536" s="17"/>
    </row>
    <row r="537" spans="8:8">
      <c r="H537" s="17"/>
    </row>
    <row r="538" spans="8:8">
      <c r="H538" s="17"/>
    </row>
    <row r="539" spans="8:8">
      <c r="H539" s="17"/>
    </row>
    <row r="540" spans="8:8">
      <c r="H540" s="17"/>
    </row>
    <row r="541" spans="8:8">
      <c r="H541" s="17"/>
    </row>
    <row r="542" spans="8:8">
      <c r="H542" s="17"/>
    </row>
    <row r="543" spans="8:8">
      <c r="H543" s="17"/>
    </row>
    <row r="544" spans="8:8">
      <c r="H544" s="17"/>
    </row>
    <row r="545" spans="8:8">
      <c r="H545" s="17"/>
    </row>
    <row r="546" spans="8:8">
      <c r="H546" s="17"/>
    </row>
    <row r="547" spans="8:8">
      <c r="H547" s="17"/>
    </row>
    <row r="548" spans="8:8">
      <c r="H548" s="17"/>
    </row>
    <row r="549" spans="8:8">
      <c r="H549" s="17"/>
    </row>
    <row r="550" spans="8:8">
      <c r="H550" s="17"/>
    </row>
    <row r="551" spans="8:8">
      <c r="H551" s="17"/>
    </row>
    <row r="552" spans="8:8">
      <c r="H552" s="17"/>
    </row>
    <row r="553" spans="8:8">
      <c r="H553" s="17"/>
    </row>
    <row r="554" spans="8:8">
      <c r="H554" s="17"/>
    </row>
    <row r="555" spans="8:8">
      <c r="H555" s="17"/>
    </row>
    <row r="556" spans="8:8">
      <c r="H556" s="17"/>
    </row>
    <row r="557" spans="8:8">
      <c r="H557" s="17"/>
    </row>
    <row r="558" spans="8:8">
      <c r="H558" s="17"/>
    </row>
    <row r="559" spans="8:8">
      <c r="H559" s="17"/>
    </row>
    <row r="560" spans="8:8">
      <c r="H560" s="17"/>
    </row>
    <row r="561" spans="8:8">
      <c r="H561" s="17"/>
    </row>
    <row r="562" spans="8:8">
      <c r="H562" s="17"/>
    </row>
    <row r="563" spans="8:8">
      <c r="H563" s="17"/>
    </row>
    <row r="564" spans="8:8">
      <c r="H564" s="17"/>
    </row>
    <row r="565" spans="8:8">
      <c r="H565" s="17"/>
    </row>
    <row r="566" spans="8:8">
      <c r="H566" s="17"/>
    </row>
    <row r="567" spans="8:8">
      <c r="H567" s="17"/>
    </row>
    <row r="568" spans="8:8">
      <c r="H568" s="17"/>
    </row>
    <row r="569" spans="8:8">
      <c r="H569" s="17"/>
    </row>
    <row r="570" spans="8:8">
      <c r="H570" s="17"/>
    </row>
    <row r="571" spans="8:8">
      <c r="H571" s="17"/>
    </row>
    <row r="572" spans="8:8">
      <c r="H572" s="17"/>
    </row>
    <row r="573" spans="8:8">
      <c r="H573" s="17"/>
    </row>
    <row r="574" spans="8:8">
      <c r="H574" s="17"/>
    </row>
    <row r="575" spans="8:8">
      <c r="H575" s="17"/>
    </row>
    <row r="576" spans="8:8">
      <c r="H576" s="17"/>
    </row>
    <row r="577" spans="8:8">
      <c r="H577" s="17"/>
    </row>
    <row r="578" spans="8:8">
      <c r="H578" s="17"/>
    </row>
    <row r="579" spans="8:8">
      <c r="H579" s="17"/>
    </row>
    <row r="580" spans="8:8">
      <c r="H580" s="17"/>
    </row>
    <row r="581" spans="8:8">
      <c r="H581" s="17"/>
    </row>
    <row r="582" spans="8:8">
      <c r="H582" s="17"/>
    </row>
    <row r="583" spans="8:8">
      <c r="H583" s="17"/>
    </row>
    <row r="584" spans="8:8">
      <c r="H584" s="17"/>
    </row>
    <row r="585" spans="8:8">
      <c r="H585" s="17"/>
    </row>
    <row r="586" spans="8:8">
      <c r="H586" s="17"/>
    </row>
    <row r="587" spans="8:8">
      <c r="H587" s="17"/>
    </row>
    <row r="588" spans="8:8">
      <c r="H588" s="17"/>
    </row>
    <row r="589" spans="8:8">
      <c r="H589" s="17"/>
    </row>
    <row r="590" spans="8:8">
      <c r="H590" s="17"/>
    </row>
    <row r="591" spans="8:8">
      <c r="H591" s="17"/>
    </row>
    <row r="592" spans="8:8">
      <c r="H592" s="17"/>
    </row>
    <row r="593" spans="8:8">
      <c r="H593" s="17"/>
    </row>
    <row r="594" spans="8:8">
      <c r="H594" s="17"/>
    </row>
    <row r="595" spans="8:8">
      <c r="H595" s="17"/>
    </row>
    <row r="596" spans="8:8">
      <c r="H596" s="17"/>
    </row>
    <row r="597" spans="8:8">
      <c r="H597" s="17"/>
    </row>
    <row r="598" spans="8:8">
      <c r="H598" s="17"/>
    </row>
    <row r="599" spans="8:8">
      <c r="H599" s="17"/>
    </row>
    <row r="600" spans="8:8">
      <c r="H600" s="17"/>
    </row>
    <row r="601" spans="8:8">
      <c r="H601" s="17"/>
    </row>
    <row r="602" spans="8:8">
      <c r="H602" s="17"/>
    </row>
    <row r="603" spans="8:8">
      <c r="H603" s="17"/>
    </row>
    <row r="604" spans="8:8">
      <c r="H604" s="17"/>
    </row>
    <row r="605" spans="8:8">
      <c r="H605" s="17"/>
    </row>
    <row r="606" spans="8:8">
      <c r="H606" s="17"/>
    </row>
    <row r="607" spans="8:8">
      <c r="H607" s="17"/>
    </row>
    <row r="608" spans="8:8">
      <c r="H608" s="17"/>
    </row>
    <row r="609" spans="8:8">
      <c r="H609" s="17"/>
    </row>
    <row r="610" spans="8:8">
      <c r="H610" s="17"/>
    </row>
    <row r="611" spans="8:8">
      <c r="H611" s="17"/>
    </row>
    <row r="612" spans="8:8">
      <c r="H612" s="17"/>
    </row>
    <row r="613" spans="8:8">
      <c r="H613" s="17"/>
    </row>
    <row r="614" spans="8:8">
      <c r="H614" s="17"/>
    </row>
    <row r="615" spans="8:8">
      <c r="H615" s="17"/>
    </row>
    <row r="616" spans="8:8">
      <c r="H616" s="17"/>
    </row>
    <row r="617" spans="8:8">
      <c r="H617" s="17"/>
    </row>
    <row r="618" spans="8:8">
      <c r="H618" s="17"/>
    </row>
    <row r="619" spans="8:8">
      <c r="H619" s="17"/>
    </row>
    <row r="620" spans="8:8">
      <c r="H620" s="17"/>
    </row>
    <row r="621" spans="8:8">
      <c r="H621" s="17"/>
    </row>
    <row r="622" spans="8:8">
      <c r="H622" s="17"/>
    </row>
    <row r="623" spans="8:8">
      <c r="H623" s="17"/>
    </row>
    <row r="624" spans="8:8">
      <c r="H624" s="17"/>
    </row>
    <row r="625" spans="8:8">
      <c r="H625" s="17"/>
    </row>
    <row r="626" spans="8:8">
      <c r="H626" s="17"/>
    </row>
    <row r="627" spans="8:8">
      <c r="H627" s="17"/>
    </row>
    <row r="628" spans="8:8">
      <c r="H628" s="17"/>
    </row>
    <row r="629" spans="8:8">
      <c r="H629" s="17"/>
    </row>
    <row r="630" spans="8:8">
      <c r="H630" s="17"/>
    </row>
    <row r="631" spans="8:8">
      <c r="H631" s="17"/>
    </row>
    <row r="632" spans="8:8">
      <c r="H632" s="17"/>
    </row>
    <row r="633" spans="8:8">
      <c r="H633" s="17"/>
    </row>
    <row r="634" spans="8:8">
      <c r="H634" s="17"/>
    </row>
    <row r="635" spans="8:8">
      <c r="H635" s="17"/>
    </row>
    <row r="636" spans="8:8">
      <c r="H636" s="17"/>
    </row>
    <row r="637" spans="8:8">
      <c r="H637" s="17"/>
    </row>
    <row r="638" spans="8:8">
      <c r="H638" s="17"/>
    </row>
    <row r="639" spans="8:8">
      <c r="H639" s="17"/>
    </row>
    <row r="640" spans="8:8">
      <c r="H640" s="17"/>
    </row>
    <row r="641" spans="8:8">
      <c r="H641" s="17"/>
    </row>
    <row r="642" spans="8:8">
      <c r="H642" s="17"/>
    </row>
    <row r="643" spans="8:8">
      <c r="H643" s="17"/>
    </row>
    <row r="644" spans="8:8">
      <c r="H644" s="17"/>
    </row>
    <row r="645" spans="8:8">
      <c r="H645" s="17"/>
    </row>
    <row r="646" spans="8:8">
      <c r="H646" s="17"/>
    </row>
    <row r="647" spans="8:8">
      <c r="H647" s="17"/>
    </row>
    <row r="648" spans="8:8">
      <c r="H648" s="17"/>
    </row>
    <row r="649" spans="8:8">
      <c r="H649" s="17"/>
    </row>
    <row r="650" spans="8:8">
      <c r="H650" s="17"/>
    </row>
    <row r="651" spans="8:8">
      <c r="H651" s="17"/>
    </row>
    <row r="652" spans="8:8">
      <c r="H652" s="17"/>
    </row>
    <row r="653" spans="8:8">
      <c r="H653" s="17"/>
    </row>
    <row r="654" spans="8:8">
      <c r="H654" s="17"/>
    </row>
    <row r="655" spans="8:8">
      <c r="H655" s="17"/>
    </row>
    <row r="656" spans="8:8">
      <c r="H656" s="17"/>
    </row>
    <row r="657" spans="8:8">
      <c r="H657" s="17"/>
    </row>
    <row r="658" spans="8:8">
      <c r="H658" s="17"/>
    </row>
    <row r="659" spans="8:8">
      <c r="H659" s="17"/>
    </row>
    <row r="660" spans="8:8">
      <c r="H660" s="17"/>
    </row>
    <row r="661" spans="8:8">
      <c r="H661" s="17"/>
    </row>
    <row r="662" spans="8:8">
      <c r="H662" s="17"/>
    </row>
    <row r="663" spans="8:8">
      <c r="H663" s="17"/>
    </row>
    <row r="664" spans="8:8">
      <c r="H664" s="17"/>
    </row>
    <row r="665" spans="8:8">
      <c r="H665" s="17"/>
    </row>
    <row r="666" spans="8:8">
      <c r="H666" s="17"/>
    </row>
    <row r="667" spans="8:8">
      <c r="H667" s="17"/>
    </row>
    <row r="668" spans="8:8">
      <c r="H668" s="17"/>
    </row>
    <row r="669" spans="8:8">
      <c r="H669" s="17"/>
    </row>
    <row r="670" spans="8:8">
      <c r="H670" s="17"/>
    </row>
    <row r="671" spans="8:8">
      <c r="H671" s="17"/>
    </row>
    <row r="672" spans="8:8">
      <c r="H672" s="17"/>
    </row>
    <row r="673" spans="8:8">
      <c r="H673" s="17"/>
    </row>
    <row r="674" spans="8:8">
      <c r="H674" s="17"/>
    </row>
    <row r="675" spans="8:8">
      <c r="H675" s="17"/>
    </row>
    <row r="676" spans="8:8">
      <c r="H676" s="17"/>
    </row>
    <row r="677" spans="8:8">
      <c r="H677" s="17"/>
    </row>
    <row r="678" spans="8:8">
      <c r="H678" s="17"/>
    </row>
    <row r="679" spans="8:8">
      <c r="H679" s="17"/>
    </row>
    <row r="680" spans="8:8">
      <c r="H680" s="17"/>
    </row>
    <row r="681" spans="8:8">
      <c r="H681" s="17"/>
    </row>
    <row r="682" spans="8:8">
      <c r="H682" s="17"/>
    </row>
    <row r="683" spans="8:8">
      <c r="H683" s="17"/>
    </row>
    <row r="684" spans="8:8">
      <c r="H684" s="17"/>
    </row>
    <row r="685" spans="8:8">
      <c r="H685" s="17"/>
    </row>
    <row r="686" spans="8:8">
      <c r="H686" s="17"/>
    </row>
    <row r="687" spans="8:8">
      <c r="H687" s="17"/>
    </row>
    <row r="688" spans="8:8">
      <c r="H688" s="17"/>
    </row>
    <row r="689" spans="8:8">
      <c r="H689" s="17"/>
    </row>
    <row r="690" spans="8:8">
      <c r="H690" s="17"/>
    </row>
    <row r="691" spans="8:8">
      <c r="H691" s="17"/>
    </row>
    <row r="692" spans="8:8">
      <c r="H692" s="17"/>
    </row>
    <row r="693" spans="8:8">
      <c r="H693" s="17"/>
    </row>
    <row r="694" spans="8:8">
      <c r="H694" s="17"/>
    </row>
    <row r="695" spans="8:8">
      <c r="H695" s="17"/>
    </row>
    <row r="696" spans="8:8">
      <c r="H696" s="17"/>
    </row>
    <row r="697" spans="8:8">
      <c r="H697" s="17"/>
    </row>
    <row r="698" spans="8:8">
      <c r="H698" s="17"/>
    </row>
    <row r="699" spans="8:8">
      <c r="H699" s="17"/>
    </row>
    <row r="700" spans="8:8">
      <c r="H700" s="17"/>
    </row>
    <row r="701" spans="8:8">
      <c r="H701" s="17"/>
    </row>
    <row r="702" spans="8:8">
      <c r="H702" s="17"/>
    </row>
    <row r="703" spans="8:8">
      <c r="H703" s="17"/>
    </row>
    <row r="704" spans="8:8">
      <c r="H704" s="17"/>
    </row>
    <row r="705" spans="8:8">
      <c r="H705" s="17"/>
    </row>
    <row r="706" spans="8:8">
      <c r="H706" s="17"/>
    </row>
    <row r="707" spans="8:8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5" priority="1">
      <formula>IF(ISBLANK($D12), FALSE, IF(RedGreen_Formatting = "Enabled", $D12 &lt;= $E12 + Percent_Error, FALSE))</formula>
    </cfRule>
    <cfRule type="expression" dxfId="4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2020-05-26T02:05:29Z</cp:lastPrinted>
  <dcterms:created xsi:type="dcterms:W3CDTF">2019-04-09T17:53:55Z</dcterms:created>
  <dcterms:modified xsi:type="dcterms:W3CDTF">2020-05-26T02:40:46Z</dcterms:modified>
</cp:coreProperties>
</file>