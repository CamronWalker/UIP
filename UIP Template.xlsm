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94096D54-D25E-427E-AAC0-4BBD00B4D616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  <sheet name="0000" sheetId="4" r:id="rId4"/>
  </sheets>
  <functionGroups builtInGroupCount="19"/>
  <definedNames>
    <definedName name="AssembleConnection">Settings!$C$11</definedName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3">'0000'!$B$2:$O$40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20" i="3" l="1"/>
  <c r="AI24" i="3"/>
  <c r="AD43" i="3" l="1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F15" i="3" l="1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U34" i="4"/>
  <c r="AU22" i="4"/>
  <c r="AS33" i="4"/>
  <c r="AS21" i="4"/>
  <c r="AQ32" i="4"/>
  <c r="AQ20" i="4"/>
  <c r="AO31" i="4"/>
  <c r="AO19" i="4"/>
  <c r="AM30" i="4"/>
  <c r="AM18" i="4"/>
  <c r="AK29" i="4"/>
  <c r="AK17" i="4"/>
  <c r="AI28" i="4"/>
  <c r="AI16" i="4"/>
  <c r="AG27" i="4"/>
  <c r="AG15" i="4"/>
  <c r="AU21" i="4"/>
  <c r="AS32" i="4"/>
  <c r="AS20" i="4"/>
  <c r="AQ31" i="4"/>
  <c r="AQ19" i="4"/>
  <c r="AO18" i="4"/>
  <c r="AM29" i="4"/>
  <c r="AK28" i="4"/>
  <c r="AI27" i="4"/>
  <c r="AG26" i="4"/>
  <c r="AG14" i="4"/>
  <c r="AS17" i="4"/>
  <c r="AO27" i="4"/>
  <c r="AM14" i="4"/>
  <c r="AI24" i="4"/>
  <c r="AU17" i="4"/>
  <c r="AO26" i="4"/>
  <c r="AM25" i="4"/>
  <c r="AI23" i="4"/>
  <c r="AG30" i="4"/>
  <c r="AU33" i="4"/>
  <c r="AO30" i="4"/>
  <c r="AM17" i="4"/>
  <c r="AK16" i="4"/>
  <c r="AI15" i="4"/>
  <c r="AS29" i="4"/>
  <c r="AQ16" i="4"/>
  <c r="AK25" i="4"/>
  <c r="AG35" i="4"/>
  <c r="AS28" i="4"/>
  <c r="AQ15" i="4"/>
  <c r="AK24" i="4"/>
  <c r="AK20" i="4"/>
  <c r="AU32" i="4"/>
  <c r="AU20" i="4"/>
  <c r="AS31" i="4"/>
  <c r="AS19" i="4"/>
  <c r="AQ30" i="4"/>
  <c r="AQ18" i="4"/>
  <c r="AO29" i="4"/>
  <c r="AO17" i="4"/>
  <c r="AM28" i="4"/>
  <c r="AM16" i="4"/>
  <c r="AK27" i="4"/>
  <c r="AK15" i="4"/>
  <c r="AI26" i="4"/>
  <c r="AI14" i="4"/>
  <c r="AG25" i="4"/>
  <c r="AU19" i="4"/>
  <c r="AS30" i="4"/>
  <c r="AS18" i="4"/>
  <c r="AQ29" i="4"/>
  <c r="AQ17" i="4"/>
  <c r="AO28" i="4"/>
  <c r="AO16" i="4"/>
  <c r="AM27" i="4"/>
  <c r="AM15" i="4"/>
  <c r="AK26" i="4"/>
  <c r="AK14" i="4"/>
  <c r="AI25" i="4"/>
  <c r="AG36" i="4"/>
  <c r="AG24" i="4"/>
  <c r="AU18" i="4"/>
  <c r="AQ28" i="4"/>
  <c r="AO15" i="4"/>
  <c r="AM26" i="4"/>
  <c r="AI36" i="4"/>
  <c r="AG23" i="4"/>
  <c r="AS16" i="4"/>
  <c r="AQ27" i="4"/>
  <c r="AO14" i="4"/>
  <c r="AK36" i="4"/>
  <c r="AI35" i="4"/>
  <c r="AG22" i="4"/>
  <c r="AI19" i="4"/>
  <c r="AU31" i="4"/>
  <c r="AU30" i="4"/>
  <c r="AU29" i="4"/>
  <c r="AU28" i="4"/>
  <c r="AU16" i="4"/>
  <c r="AS27" i="4"/>
  <c r="AS15" i="4"/>
  <c r="AQ26" i="4"/>
  <c r="AQ14" i="4"/>
  <c r="AO25" i="4"/>
  <c r="AM36" i="4"/>
  <c r="AM24" i="4"/>
  <c r="AK35" i="4"/>
  <c r="AK23" i="4"/>
  <c r="AI34" i="4"/>
  <c r="AI22" i="4"/>
  <c r="AG33" i="4"/>
  <c r="AG21" i="4"/>
  <c r="AK34" i="4"/>
  <c r="AK22" i="4"/>
  <c r="AI21" i="4"/>
  <c r="AU26" i="4"/>
  <c r="AS25" i="4"/>
  <c r="AQ24" i="4"/>
  <c r="AO23" i="4"/>
  <c r="AK33" i="4"/>
  <c r="AI32" i="4"/>
  <c r="AG31" i="4"/>
  <c r="AU27" i="4"/>
  <c r="AU15" i="4"/>
  <c r="AS26" i="4"/>
  <c r="AS14" i="4"/>
  <c r="AQ25" i="4"/>
  <c r="AO36" i="4"/>
  <c r="AO24" i="4"/>
  <c r="AM35" i="4"/>
  <c r="AM23" i="4"/>
  <c r="AI33" i="4"/>
  <c r="AG32" i="4"/>
  <c r="AG20" i="4"/>
  <c r="AU14" i="4"/>
  <c r="AQ36" i="4"/>
  <c r="AO35" i="4"/>
  <c r="AM34" i="4"/>
  <c r="AM22" i="4"/>
  <c r="AK21" i="4"/>
  <c r="AI20" i="4"/>
  <c r="AG19" i="4"/>
  <c r="AU25" i="4"/>
  <c r="AS36" i="4"/>
  <c r="AS24" i="4"/>
  <c r="AQ35" i="4"/>
  <c r="AQ23" i="4"/>
  <c r="AO34" i="4"/>
  <c r="AO22" i="4"/>
  <c r="AM33" i="4"/>
  <c r="AK32" i="4"/>
  <c r="AI31" i="4"/>
  <c r="AM21" i="4"/>
  <c r="AU36" i="4"/>
  <c r="AU24" i="4"/>
  <c r="AS35" i="4"/>
  <c r="AS23" i="4"/>
  <c r="AQ34" i="4"/>
  <c r="AQ22" i="4"/>
  <c r="AO33" i="4"/>
  <c r="AO21" i="4"/>
  <c r="AM32" i="4"/>
  <c r="AM20" i="4"/>
  <c r="AK31" i="4"/>
  <c r="AK19" i="4"/>
  <c r="AI30" i="4"/>
  <c r="AI18" i="4"/>
  <c r="AG29" i="4"/>
  <c r="AG17" i="4"/>
  <c r="AU23" i="4"/>
  <c r="AS34" i="4"/>
  <c r="AS22" i="4"/>
  <c r="AQ33" i="4"/>
  <c r="AQ21" i="4"/>
  <c r="AO32" i="4"/>
  <c r="AO20" i="4"/>
  <c r="AM31" i="4"/>
  <c r="AM19" i="4"/>
  <c r="AK30" i="4"/>
  <c r="AK18" i="4"/>
  <c r="AI29" i="4"/>
  <c r="AI17" i="4"/>
  <c r="AG28" i="4"/>
  <c r="AG16" i="4"/>
  <c r="AG34" i="4"/>
  <c r="AG18" i="4"/>
  <c r="AU35" i="4"/>
  <c r="AC30" i="4" l="1"/>
  <c r="AC18" i="4"/>
  <c r="AC29" i="4"/>
  <c r="AC17" i="4"/>
  <c r="AC28" i="4"/>
  <c r="AC16" i="4"/>
  <c r="AC27" i="4"/>
  <c r="AC15" i="4"/>
  <c r="AC26" i="4"/>
  <c r="AC14" i="4"/>
  <c r="AC25" i="4"/>
  <c r="AC36" i="4"/>
  <c r="AC24" i="4"/>
  <c r="AC35" i="4"/>
  <c r="AC23" i="4"/>
  <c r="AC34" i="4"/>
  <c r="AC22" i="4"/>
  <c r="AC33" i="4"/>
  <c r="AC21" i="4"/>
  <c r="AC32" i="4"/>
  <c r="AC20" i="4"/>
  <c r="AC31" i="4"/>
  <c r="AC19" i="4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B27" i="4"/>
  <c r="AB15" i="4"/>
  <c r="AB34" i="4"/>
  <c r="AB26" i="4"/>
  <c r="AB14" i="4"/>
  <c r="AB25" i="4"/>
  <c r="AB22" i="4"/>
  <c r="AB36" i="4"/>
  <c r="AB24" i="4"/>
  <c r="AB33" i="4"/>
  <c r="AB21" i="4"/>
  <c r="AB32" i="4"/>
  <c r="AB20" i="4"/>
  <c r="AB17" i="4"/>
  <c r="AB31" i="4"/>
  <c r="AB19" i="4"/>
  <c r="AB35" i="4"/>
  <c r="AB30" i="4"/>
  <c r="AB18" i="4"/>
  <c r="AB23" i="4"/>
  <c r="AB29" i="4"/>
  <c r="AB28" i="4"/>
  <c r="AB16" i="4"/>
  <c r="AE35" i="4" l="1"/>
  <c r="AE36" i="4"/>
  <c r="AE34" i="4"/>
  <c r="AE33" i="4"/>
  <c r="AE32" i="4"/>
  <c r="AE31" i="4"/>
  <c r="AE30" i="4"/>
  <c r="AE29" i="4"/>
  <c r="AE28" i="4"/>
  <c r="AE26" i="4"/>
  <c r="AE27" i="4"/>
  <c r="AE25" i="4"/>
  <c r="AE24" i="4"/>
  <c r="AE23" i="4"/>
  <c r="AE22" i="4"/>
  <c r="AE21" i="4"/>
  <c r="AE20" i="4"/>
  <c r="AE19" i="4"/>
  <c r="AE18" i="4"/>
  <c r="AE16" i="4"/>
  <c r="AE17" i="4"/>
  <c r="AE14" i="4"/>
  <c r="AE15" i="4"/>
  <c r="AA15" i="4"/>
  <c r="S4" i="3"/>
  <c r="N6" i="4"/>
  <c r="N12" i="4"/>
  <c r="AA16" i="4" l="1"/>
  <c r="S5" i="3"/>
  <c r="AA17" i="4" l="1"/>
  <c r="AA14" i="3"/>
  <c r="J11" i="3"/>
  <c r="J10" i="3"/>
  <c r="J9" i="3"/>
  <c r="J8" i="3"/>
  <c r="J7" i="3"/>
  <c r="J6" i="3"/>
  <c r="AI14" i="3"/>
  <c r="AG14" i="3"/>
  <c r="AK14" i="3"/>
  <c r="AC14" i="3" l="1"/>
  <c r="AA18" i="4"/>
  <c r="AA15" i="3"/>
  <c r="S7" i="3"/>
  <c r="L14" i="3" s="1"/>
  <c r="S3" i="3"/>
  <c r="S2" i="3"/>
  <c r="AB14" i="3"/>
  <c r="AI15" i="3"/>
  <c r="AK15" i="3"/>
  <c r="AG15" i="3"/>
  <c r="AB15" i="3" s="1"/>
  <c r="N12" i="3"/>
  <c r="AC15" i="3" l="1"/>
  <c r="AE15" i="3" s="1"/>
  <c r="AE14" i="3"/>
  <c r="AA16" i="3"/>
  <c r="AA19" i="4"/>
  <c r="B2" i="3"/>
  <c r="C7" i="3"/>
  <c r="C6" i="3"/>
  <c r="C5" i="3"/>
  <c r="C4" i="3"/>
  <c r="N6" i="3"/>
  <c r="AI16" i="3"/>
  <c r="AG16" i="3"/>
  <c r="AK16" i="3"/>
  <c r="AB16" i="3" s="1"/>
  <c r="AC16" i="3" l="1"/>
  <c r="AA17" i="3"/>
  <c r="AA20" i="4"/>
  <c r="AG17" i="3"/>
  <c r="AI17" i="3"/>
  <c r="AK17" i="3"/>
  <c r="AB17" i="3" s="1"/>
  <c r="AC17" i="3" l="1"/>
  <c r="AE16" i="3"/>
  <c r="AA18" i="3"/>
  <c r="AA21" i="4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B8" i="2"/>
  <c r="B7" i="2"/>
  <c r="B6" i="2"/>
  <c r="AG18" i="3"/>
  <c r="AI18" i="3"/>
  <c r="AK18" i="3"/>
  <c r="AB18" i="3" s="1"/>
  <c r="AC18" i="3" l="1"/>
  <c r="AA19" i="3"/>
  <c r="AE17" i="3"/>
  <c r="B2" i="2"/>
  <c r="B4" i="2"/>
  <c r="AI19" i="3"/>
  <c r="AG19" i="3"/>
  <c r="AK19" i="3"/>
  <c r="AB19" i="3" s="1"/>
  <c r="AC19" i="3" l="1"/>
  <c r="AE18" i="3"/>
  <c r="AA20" i="3"/>
  <c r="C6" i="1"/>
  <c r="N10" i="4"/>
  <c r="N7" i="4"/>
  <c r="N8" i="4"/>
  <c r="O10" i="4"/>
  <c r="O7" i="4"/>
  <c r="AK20" i="3"/>
  <c r="O8" i="4"/>
  <c r="AI20" i="3"/>
  <c r="AB20" i="3" s="1"/>
  <c r="O9" i="4"/>
  <c r="AC20" i="3" l="1"/>
  <c r="AE20" i="3" s="1"/>
  <c r="AA21" i="3"/>
  <c r="AE19" i="3"/>
  <c r="N5" i="4"/>
  <c r="N9" i="4"/>
  <c r="O6" i="4"/>
  <c r="AI21" i="3"/>
  <c r="AK21" i="3"/>
  <c r="AG21" i="3"/>
  <c r="AB21" i="3" s="1"/>
  <c r="AC21" i="3" l="1"/>
  <c r="AA22" i="3"/>
  <c r="O5" i="4"/>
  <c r="AG22" i="3"/>
  <c r="AI22" i="3"/>
  <c r="AK22" i="3"/>
  <c r="AB22" i="3" s="1"/>
  <c r="AC22" i="3" l="1"/>
  <c r="AE22" i="3" s="1"/>
  <c r="AA23" i="3"/>
  <c r="AE21" i="3"/>
  <c r="AK23" i="3"/>
  <c r="AG23" i="3"/>
  <c r="AI23" i="3"/>
  <c r="AB23" i="3" s="1"/>
  <c r="AC23" i="3" l="1"/>
  <c r="AA24" i="3"/>
  <c r="O10" i="3"/>
  <c r="AK24" i="3"/>
  <c r="O7" i="3"/>
  <c r="O8" i="3"/>
  <c r="O9" i="3"/>
  <c r="AG24" i="3"/>
  <c r="AB24" i="3" s="1"/>
  <c r="AC24" i="3" l="1"/>
  <c r="AE23" i="3"/>
  <c r="AA25" i="3"/>
  <c r="AK25" i="3"/>
  <c r="AG25" i="3"/>
  <c r="N8" i="3"/>
  <c r="AI25" i="3"/>
  <c r="AB25" i="3" s="1"/>
  <c r="N10" i="3"/>
  <c r="AC25" i="3" l="1"/>
  <c r="AA26" i="3"/>
  <c r="AE24" i="3"/>
  <c r="AI26" i="3"/>
  <c r="AG26" i="3"/>
  <c r="AK26" i="3"/>
  <c r="AB26" i="3" s="1"/>
  <c r="N7" i="3"/>
  <c r="N5" i="3" l="1"/>
  <c r="AC26" i="3"/>
  <c r="AA27" i="3"/>
  <c r="AE25" i="3"/>
  <c r="AI27" i="3"/>
  <c r="AK27" i="3"/>
  <c r="AG27" i="3"/>
  <c r="AB27" i="3" s="1"/>
  <c r="AC27" i="3" l="1"/>
  <c r="AA28" i="3"/>
  <c r="AE26" i="3"/>
  <c r="AK28" i="3"/>
  <c r="AI28" i="3"/>
  <c r="AG28" i="3"/>
  <c r="AB28" i="3" s="1"/>
  <c r="AC28" i="3" l="1"/>
  <c r="AA29" i="3"/>
  <c r="AE27" i="3"/>
  <c r="AK29" i="3"/>
  <c r="AI29" i="3"/>
  <c r="AG29" i="3"/>
  <c r="AB29" i="3" s="1"/>
  <c r="AC29" i="3" l="1"/>
  <c r="AA30" i="3"/>
  <c r="AE28" i="3"/>
  <c r="AG30" i="3"/>
  <c r="AK30" i="3"/>
  <c r="AI30" i="3"/>
  <c r="AB30" i="3" s="1"/>
  <c r="AC30" i="3" l="1"/>
  <c r="AA31" i="3"/>
  <c r="AE29" i="3"/>
  <c r="AI31" i="3"/>
  <c r="AG31" i="3"/>
  <c r="AK31" i="3"/>
  <c r="AB31" i="3" s="1"/>
  <c r="AC31" i="3" l="1"/>
  <c r="AA32" i="3"/>
  <c r="AE30" i="3"/>
  <c r="AG32" i="3"/>
  <c r="AI32" i="3"/>
  <c r="AK32" i="3"/>
  <c r="AB32" i="3" s="1"/>
  <c r="AC32" i="3" l="1"/>
  <c r="AA33" i="3"/>
  <c r="AE31" i="3"/>
  <c r="AG33" i="3"/>
  <c r="AK33" i="3"/>
  <c r="AI33" i="3"/>
  <c r="AB33" i="3" s="1"/>
  <c r="AC33" i="3" l="1"/>
  <c r="AA34" i="3"/>
  <c r="AE32" i="3"/>
  <c r="AG34" i="3"/>
  <c r="AK34" i="3"/>
  <c r="AI34" i="3"/>
  <c r="AB34" i="3" s="1"/>
  <c r="AC34" i="3" l="1"/>
  <c r="AA35" i="3"/>
  <c r="AE33" i="3"/>
  <c r="AK35" i="3"/>
  <c r="AI35" i="3"/>
  <c r="AG35" i="3"/>
  <c r="AB35" i="3" s="1"/>
  <c r="AC35" i="3" l="1"/>
  <c r="AA36" i="3"/>
  <c r="AE34" i="3"/>
  <c r="AI36" i="3"/>
  <c r="AK36" i="3"/>
  <c r="AG36" i="3"/>
  <c r="AB36" i="3" s="1"/>
  <c r="AC36" i="3" l="1"/>
  <c r="AA37" i="3"/>
  <c r="AE35" i="3"/>
  <c r="AG37" i="3"/>
  <c r="AK37" i="3"/>
  <c r="AI37" i="3"/>
  <c r="AB37" i="3" s="1"/>
  <c r="AC37" i="3" l="1"/>
  <c r="AA38" i="3"/>
  <c r="AE36" i="3"/>
  <c r="AI38" i="3"/>
  <c r="AG38" i="3"/>
  <c r="AK38" i="3"/>
  <c r="AB38" i="3" s="1"/>
  <c r="AC38" i="3" l="1"/>
  <c r="AA39" i="3"/>
  <c r="AE37" i="3"/>
  <c r="AG39" i="3"/>
  <c r="AK39" i="3"/>
  <c r="AI39" i="3"/>
  <c r="AB39" i="3" s="1"/>
  <c r="AC39" i="3" l="1"/>
  <c r="AA40" i="3"/>
  <c r="AE38" i="3"/>
  <c r="AK40" i="3"/>
  <c r="AI40" i="3"/>
  <c r="AG40" i="3"/>
  <c r="AB40" i="3" s="1"/>
  <c r="AC40" i="3" l="1"/>
  <c r="AA41" i="3"/>
  <c r="AE39" i="3"/>
  <c r="AI41" i="3"/>
  <c r="AG41" i="3"/>
  <c r="AK41" i="3"/>
  <c r="AB41" i="3" s="1"/>
  <c r="AC41" i="3" l="1"/>
  <c r="AA42" i="3"/>
  <c r="AE40" i="3"/>
  <c r="AI42" i="3"/>
  <c r="AG42" i="3"/>
  <c r="AK42" i="3"/>
  <c r="AB42" i="3" s="1"/>
  <c r="AC42" i="3" l="1"/>
  <c r="AA43" i="3"/>
  <c r="AE41" i="3"/>
  <c r="AG43" i="3"/>
  <c r="AK43" i="3"/>
  <c r="AI43" i="3"/>
  <c r="AB43" i="3" s="1"/>
  <c r="AC43" i="3" l="1"/>
  <c r="AE42" i="3"/>
  <c r="N11" i="3"/>
  <c r="O6" i="3"/>
  <c r="N9" i="3"/>
  <c r="O5" i="3" l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48E7C7-A24B-4DA3-8542-2B27250AC2CA}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<sst xmlns="http://schemas.openxmlformats.org/spreadsheetml/2006/main" count="182" uniqueCount="138">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</sst>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10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2" fillId="2" borderId="1" xfId="1" applyFont="1" applyAlignment="1">
      <alignment horizontal="center"/>
    </xf>
    <xf numFmtId="0" fontId="23" fillId="6" borderId="1" xfId="2" applyFont="1" applyAlignment="1">
      <alignment horizontal="center" wrapText="1"/>
    </xf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70"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FE259D0-9B24-4A14-8D31-65EE60237D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AC841C-2230-4FA8-972D-02EE6FA475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CA9B02-6232-41FB-8CF7-0BE265DF5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2FE354-7206-4D22-8111-6729AF0791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61BC88-A7A3-4DA3-BB20-23BBA9A393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4D533A-6155-4B25-AF02-49C8F82FF3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EC43DA-87DE-41DA-B157-58D9F8C0A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1D7B83-EAA2-43F1-A4AD-A404E37BD0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9DE186-ECEB-4772-ADE9-A28DE6E63D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3CD14C-9385-40DA-A8AC-C667262583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DC61EC-61D6-45D8-8A94-F2FBD39E1D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A03D26-6459-4158-B620-3FD073B3CF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C79119-22DC-4AB0-A06B-3198CCC27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1DF119-BE78-4ED4-9E59-4A0163CA9F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921649-BB17-4F14-B9EF-F153CD246C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D18908-5CCD-4822-9FB5-7C32397DE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9B765E-6656-41CA-82F3-B3C5D3CDCE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5B8EB2-F5D7-4B9D-9318-656A3F237A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5A7E90-8FBC-4B5A-8049-350D2A9A2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50AFFB-BBC5-494E-AFCB-827378FD17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ACA066-6309-45E8-BFF0-0E75CCE256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682F5A-FE35-48E0-A384-49120BD41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A768AF7-4E2F-4B2F-966E-2629336C2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D6B2BD-0287-4D0D-9E31-9068CB31E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F98AC4-912A-4E9A-98E2-6AF173EA2E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DB41D6-4A12-4735-9F0B-E099FD5912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D0E6B2-8DC9-45AB-8721-B687DD097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480BEF-096C-4A96-A7B8-240C3A53DC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E0444F-FD1A-4B46-8095-839B1C561F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D0367C-4BF3-4B48-9A91-2BA4638206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85.714285714285708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342.85714285714283</c:v>
                </c:pt>
                <c:pt idx="8">
                  <c:v>0</c:v>
                </c:pt>
                <c:pt idx="9">
                  <c:v>109.09090909090909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85.714285714285708</c:v>
                </c:pt>
                <c:pt idx="1">
                  <c:v>514.28571428571422</c:v>
                </c:pt>
                <c:pt idx="2">
                  <c:v>942.85714285714278</c:v>
                </c:pt>
                <c:pt idx="3">
                  <c:v>1371.4285714285713</c:v>
                </c:pt>
                <c:pt idx="4">
                  <c:v>1800</c:v>
                </c:pt>
                <c:pt idx="5">
                  <c:v>2228.5714285714284</c:v>
                </c:pt>
                <c:pt idx="6">
                  <c:v>2657.1428571428569</c:v>
                </c:pt>
                <c:pt idx="7">
                  <c:v>2999.9999999999995</c:v>
                </c:pt>
                <c:pt idx="8">
                  <c:v>2999.9999999999995</c:v>
                </c:pt>
                <c:pt idx="9">
                  <c:v>3109.0909090909086</c:v>
                </c:pt>
                <c:pt idx="10">
                  <c:v>3327.2727272727266</c:v>
                </c:pt>
                <c:pt idx="11">
                  <c:v>3599.9999999999991</c:v>
                </c:pt>
                <c:pt idx="12">
                  <c:v>3872.7272727272721</c:v>
                </c:pt>
                <c:pt idx="13">
                  <c:v>4145.454545454545</c:v>
                </c:pt>
                <c:pt idx="14">
                  <c:v>4418.181818181818</c:v>
                </c:pt>
                <c:pt idx="15">
                  <c:v>4690.909090909091</c:v>
                </c:pt>
                <c:pt idx="16">
                  <c:v>4963.636363636364</c:v>
                </c:pt>
                <c:pt idx="17">
                  <c:v>5236.3636363636369</c:v>
                </c:pt>
                <c:pt idx="18">
                  <c:v>5719.6172248803832</c:v>
                </c:pt>
                <c:pt idx="19">
                  <c:v>6255.5023923444978</c:v>
                </c:pt>
                <c:pt idx="20">
                  <c:v>6736.8421052631584</c:v>
                </c:pt>
                <c:pt idx="21">
                  <c:v>7000</c:v>
                </c:pt>
                <c:pt idx="22">
                  <c:v>7263.1578947368416</c:v>
                </c:pt>
                <c:pt idx="23">
                  <c:v>7526.3157894736833</c:v>
                </c:pt>
                <c:pt idx="24">
                  <c:v>7789.4736842105249</c:v>
                </c:pt>
                <c:pt idx="25">
                  <c:v>8052.6315789473665</c:v>
                </c:pt>
                <c:pt idx="26">
                  <c:v>8315.7894736842081</c:v>
                </c:pt>
                <c:pt idx="27">
                  <c:v>8578.9473684210498</c:v>
                </c:pt>
                <c:pt idx="28">
                  <c:v>8842.1052631578914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FD963C7-4616-4CF9-84BB-4582692FFA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F01DCF-8BAC-4E16-8912-0D25F5461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A13F4F-65F6-4260-8C78-0824C3736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A7FA99-FED9-4695-BDF8-99C0957387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2FADF6-8DC3-4A34-91F3-B3535FEE2B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EF7C6F-38AD-4F3B-9858-0BEA9086C2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68F162-D383-4DAD-8C75-34DF398391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9183F4-6C88-4E01-A96C-91B21AED6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388D9F-6188-421D-89D1-4CD6679A45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596386-4BB1-44A6-B7B5-A207A0129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60E138-D828-42DA-8EEB-31CD7A8E6F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9658D5-9237-4ED6-B991-B5C9A44C11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5C3287-9B96-4F04-9F52-4EC48B58F2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E5163A-8E85-49CE-A0C4-4D538D5394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79CC5E-96BE-4803-A112-1E804F79FD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5A2FB5-72FA-4021-80D9-EE2410D0F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9005C9-7B2E-4148-B727-A23515AB3C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4D9C8A-4DD6-4FBB-916E-F2C1F1BD18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489245-0AD7-4C7D-8582-23417C159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84F555-5417-4BB2-BD07-A041EFCFC4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C0BE3E-9275-4527-AB97-A115145F1E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F34F17-1498-476A-A2CC-0486A25BE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B7E3A8-C96E-4F4E-B71A-55F0529DF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7939</xdr:colOff>
          <xdr:row>10</xdr:row>
          <xdr:rowOff>11114</xdr:rowOff>
        </xdr:from>
        <xdr:to>
          <xdr:col>19</xdr:col>
          <xdr:colOff>1535907</xdr:colOff>
          <xdr:row>10</xdr:row>
          <xdr:rowOff>174626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2779AE64-7BE0-44D0-AA89-9BBD0CD4A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2" dataDxfId="61">
  <autoFilter ref="R13:X16" xr:uid="{FF2C9E8B-1A62-479C-AF68-79B236C0B7BB}"/>
  <tableColumns count="7">
    <tableColumn id="1" xr3:uid="{727C6146-39EA-4E15-8783-53CAA87FAF36}" name="Zone ID" dataDxfId="60"/>
    <tableColumn id="2" xr3:uid="{2CA65110-6DD7-46D8-BFC2-5EB0C0E57567}" name="Description" dataDxfId="59"/>
    <tableColumn id="3" xr3:uid="{12D64F80-6A69-494F-BF8F-E326D34A185A}" name="Short Description" dataDxfId="58"/>
    <tableColumn id="4" xr3:uid="{71F3F5B2-8F6B-4985-B1FC-5A9D60095474}" name="Start Date" dataDxfId="57"/>
    <tableColumn id="5" xr3:uid="{57258378-8FED-4727-89AC-D938CB414B7B}" name="Finish Date" dataDxfId="56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5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54">
      <calculatedColumnFormula>IF(AA13 = "Date", $S$4, AA13+7)</calculatedColumnFormula>
    </tableColumn>
    <tableColumn id="6" xr3:uid="{5740AC03-CF53-4345-8667-6AC0CA6843D0}" name="Primary Areas" dataDxfId="0">
      <calculatedColumnFormula>PrimaryAreas(3)</calculatedColumnFormula>
    </tableColumn>
    <tableColumn id="2" xr3:uid="{AF232D3D-EC3F-4232-BA5D-1427173C2D6A}" name="Weekly Plan" dataDxfId="53">
      <calculatedColumnFormula xml:space="preserve"> IF(#REF!="", 0,#REF!)+ IF(#REF!="", 0,#REF!)+ IF(#REF!="", 0,#REF!)</calculatedColumnFormula>
    </tableColumn>
    <tableColumn id="3" xr3:uid="{B28103F6-7596-4848-9F0D-3E4A9E5CBEFE}" name="Weekly Actual" dataDxfId="52">
      <calculatedColumnFormula>IF(AND(ISBLANK(#REF!),ISBLANK(#REF!),ISBLANK(#REF!)),"",#REF! +#REF!+#REF!)</calculatedColumnFormula>
    </tableColumn>
    <tableColumn id="4" xr3:uid="{EF1C6009-71E6-491B-B64F-04049D2D9103}" name="Accumulated Plan" dataDxfId="51">
      <calculatedColumnFormula>SUM($AC$14:AC14)</calculatedColumnFormula>
    </tableColumn>
    <tableColumn id="5" xr3:uid="{442DAB73-1233-4C61-8DE9-3B44CE2C5D69}" name="Accumulated Actual" dataDxfId="50">
      <calculatedColumnFormula>IF(AD14="",NA(),SUM($AD$14:AD14))</calculatedColumnFormula>
    </tableColumn>
    <tableColumn id="43" xr3:uid="{CE31DBAF-57B0-4D4D-852A-B07516A73A41}" name="WP_A1" dataDxfId="49">
      <calculatedColumnFormula>WeeklyPlanned(Output_Template[[#Headers],[WP_A1]], Output_Template[[#This Row],[Date]])</calculatedColumnFormula>
    </tableColumn>
    <tableColumn id="44" xr3:uid="{A0857F89-2BC6-42D6-B02F-90D9272451CA}" name="WA_A1" dataDxfId="48"/>
    <tableColumn id="45" xr3:uid="{2A74D439-B21B-40DD-BB55-7D2C2B18629E}" name="WP_A2" dataDxfId="47">
      <calculatedColumnFormula>WeeklyPlanned(Output_Template[[#Headers],[WP_A2]], Output_Template[[#This Row],[Date]])</calculatedColumnFormula>
    </tableColumn>
    <tableColumn id="46" xr3:uid="{670DB326-434A-466C-9E3C-6A8FE180F21F}" name="WA_A2" dataDxfId="46"/>
    <tableColumn id="47" xr3:uid="{B6798EC6-DE2D-49BB-961E-220FED1F6F10}" name="WP_A3" dataDxfId="45">
      <calculatedColumnFormula>WeeklyPlanned(Output_Template[[#Headers],[WP_A3]], Output_Template[[#This Row],[Date]])</calculatedColumnFormula>
    </tableColumn>
    <tableColumn id="48" xr3:uid="{B2CB6DA2-6E53-4BAC-881B-229E451DFCE0}" name="WA_A3" dataDxfId="4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3">
  <autoFilter ref="H2:H5" xr:uid="{1041DC80-58D6-4308-9DE1-A4EC8AAD3C20}"/>
  <tableColumns count="1">
    <tableColumn id="1" xr3:uid="{0E6D3E77-7CB7-40A1-BCA6-DDC8164AAEB9}" name="Holidays" dataDxfId="4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32" dataDxfId="31">
  <autoFilter ref="R13:X21" xr:uid="{FF2C9E8B-1A62-479C-AF68-79B236C0B7BB}"/>
  <tableColumns count="7">
    <tableColumn id="1" xr3:uid="{5AA37268-DD16-498C-9169-AE2EA9DA526A}" name="Zone ID" dataDxfId="30"/>
    <tableColumn id="2" xr3:uid="{0E3A0621-3CBD-40FC-B7C1-86ED2397BCEE}" name="Description" dataDxfId="29"/>
    <tableColumn id="3" xr3:uid="{5A73CD5C-5126-40F4-B5B3-C7A438ED4F4F}" name="Short Description" dataDxfId="28"/>
    <tableColumn id="4" xr3:uid="{CDB025F5-BA1E-4D3D-9F16-1E7E8B24997A}" name="Start Date" dataDxfId="27"/>
    <tableColumn id="5" xr3:uid="{A32C4534-D094-4392-BDFF-D9E6184B332E}" name="Finish Date" dataDxfId="26"/>
    <tableColumn id="6" xr3:uid="{4EBF5FA0-D78E-4850-9053-2FD3D4DF8DDF}" name="Total" dataDxfId="25" dataCellStyle="Linked Cell"/>
    <tableColumn id="7" xr3:uid="{2024E4D3-6ED3-428B-AA0E-731077A47B05}" name="Completed Total" dataDxfId="24" dataCellStyle="Linked Cell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23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22">
      <calculatedColumnFormula>IF(AA13 = "Date", $S$4, AA13+7)</calculatedColumnFormula>
    </tableColumn>
    <tableColumn id="6" xr3:uid="{001A0E6C-64CB-4894-8C22-5853E33F6BB2}" name="Primary Areas" dataDxfId="21">
      <calculatedColumnFormula>PrimaryAreas(8)</calculatedColumnFormula>
    </tableColumn>
    <tableColumn id="2" xr3:uid="{1360E334-97F5-432E-BB23-793619A14458}" name="Weekly Plan" dataDxfId="20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19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18">
      <calculatedColumnFormula>SUM($AC$14:AC14)</calculatedColumnFormula>
    </tableColumn>
    <tableColumn id="5" xr3:uid="{1924FD4A-42CB-49CF-B4A5-079079B5D0F3}" name="Accumulated Actual" dataDxfId="17">
      <calculatedColumnFormula>IF(AD14="",NA(),SUM($AD$14:AD14))</calculatedColumnFormula>
    </tableColumn>
    <tableColumn id="23" xr3:uid="{9D909FAC-40FF-4109-8EAE-74DFABFF8319}" name="WP_ABC" dataDxfId="16">
      <calculatedColumnFormula>WeeklyPlanned(Output_0000[[#Headers],[WP_ABC]], Output_0000[[#This Row],[Date]])</calculatedColumnFormula>
    </tableColumn>
    <tableColumn id="24" xr3:uid="{92ADE5B7-CAEC-41A0-B928-8F7F4344FE26}" name="WA_ABC" dataDxfId="15"/>
    <tableColumn id="25" xr3:uid="{F7FD9E19-6CFF-44A1-AF87-237747B65D1E}" name="WP_ACS" dataDxfId="14">
      <calculatedColumnFormula>WeeklyPlanned(Output_0000[[#Headers],[WP_ACS]], Output_0000[[#This Row],[Date]])</calculatedColumnFormula>
    </tableColumn>
    <tableColumn id="26" xr3:uid="{1FD6096E-155A-48FA-BF57-ABEB209A76A8}" name="WA_ACS" dataDxfId="13"/>
    <tableColumn id="27" xr3:uid="{C32CB5E4-987A-4E05-BFD2-AD1BA55323A7}" name="WP_AL1" dataDxfId="12">
      <calculatedColumnFormula>WeeklyPlanned(Output_0000[[#Headers],[WP_AL1]], Output_0000[[#This Row],[Date]])</calculatedColumnFormula>
    </tableColumn>
    <tableColumn id="28" xr3:uid="{741EC55D-ACF8-45FE-B760-246C2984AB76}" name="WA_AL1" dataDxfId="11"/>
    <tableColumn id="29" xr3:uid="{02D5C536-D7AB-4845-AF46-BA557A0711BE}" name="WP_HBase" dataDxfId="10">
      <calculatedColumnFormula>WeeklyPlanned(Output_0000[[#Headers],[WP_HBase]], Output_0000[[#This Row],[Date]])</calculatedColumnFormula>
    </tableColumn>
    <tableColumn id="30" xr3:uid="{6CFFBF9B-4C23-4C48-B9B4-2C3A9A72CE8C}" name="WA_HBase" dataDxfId="9"/>
    <tableColumn id="31" xr3:uid="{27A2EB7B-E3EA-47B1-A3F2-FFBF58F06F0D}" name="WP_HWST" dataDxfId="8">
      <calculatedColumnFormula>WeeklyPlanned(Output_0000[[#Headers],[WP_HWST]], Output_0000[[#This Row],[Date]])</calculatedColumnFormula>
    </tableColumn>
    <tableColumn id="32" xr3:uid="{1F1D10B3-084B-4075-8E04-CBCE81737E69}" name="WA_HWST" dataDxfId="7"/>
    <tableColumn id="33" xr3:uid="{127722D0-80A4-4F75-9175-6D2C54EBC191}" name="WP_HWSR" dataDxfId="6">
      <calculatedColumnFormula>WeeklyPlanned(Output_0000[[#Headers],[WP_HWSR]], Output_0000[[#This Row],[Date]])</calculatedColumnFormula>
    </tableColumn>
    <tableColumn id="34" xr3:uid="{ED1A96FC-35C0-4018-81E1-B3B51101AB44}" name="WA_HWSR" dataDxfId="5"/>
    <tableColumn id="35" xr3:uid="{584725E1-3456-4D62-8919-994293AB89D3}" name="WP_HL2" dataDxfId="4">
      <calculatedColumnFormula>WeeklyPlanned(Output_0000[[#Headers],[WP_HL2]], Output_0000[[#This Row],[Date]])</calculatedColumnFormula>
    </tableColumn>
    <tableColumn id="36" xr3:uid="{0D58AE03-CEC6-4352-9275-206C438024A6}" name="WA_HL2" dataDxfId="3"/>
    <tableColumn id="37" xr3:uid="{76718DA7-C2F0-424A-9855-A1F7A4401A40}" name="WP_HBCeil" dataDxfId="2">
      <calculatedColumnFormula>WeeklyPlanned(Output_0000[[#Headers],[WP_HBCeil]], Output_0000[[#This Row],[Date]])</calculatedColumnFormula>
    </tableColumn>
    <tableColumn id="38" xr3:uid="{DF9E8E0F-9F93-4E51-85D2-94DDAA517F51}" name="WA_HBCeil" dataDxf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C1" zoomScale="85" zoomScaleNormal="85" workbookViewId="0">
      <selection activeCell="S26" sqref="S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8" t="s">
        <v>94</v>
      </c>
      <c r="AB1" s="89"/>
    </row>
    <row r="2" spans="2:3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0.36969696969696964</v>
      </c>
      <c r="O5" s="33">
        <f ca="1">IF(ISERROR(O7/O6), 0, O7/O6)</f>
        <v>0.35000000000000014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(SF)</v>
      </c>
      <c r="K6" s="79"/>
      <c r="L6" s="79"/>
      <c r="M6" s="79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(SF)</v>
      </c>
      <c r="K7" s="79"/>
      <c r="L7" s="79"/>
      <c r="M7" s="79"/>
      <c r="N7" s="35">
        <f ca="1">VLOOKUP($S$3, INDIRECT("Output_"&amp;$S$2), 5, FALSE)</f>
        <v>3327.2727272727266</v>
      </c>
      <c r="O7" s="36">
        <f ca="1">_xlfn.IFNA(VLOOKUP($S$3, INDIRECT("Output_"&amp;$S$2), 6, FALSE), 0)</f>
        <v>3150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9" t="str">
        <f>_xlfn.CONCAT("This Week's Production (", IF(ISBLANK($S$6),"",$S$6), ")")</f>
        <v>This Week's Production (SF)</v>
      </c>
      <c r="K8" s="79"/>
      <c r="L8" s="79"/>
      <c r="M8" s="79"/>
      <c r="N8" s="35">
        <f ca="1">VLOOKUP($S$3, INDIRECT("Output_"&amp;$S$2), 3, FALSE)</f>
        <v>218.18181818181819</v>
      </c>
      <c r="O8" s="36">
        <f ca="1">VLOOKUP($S$3, INDIRECT("Output_"&amp;$S$2), 4, FALSE)</f>
        <v>200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9" t="str">
        <f>_xlfn.CONCAT("Weekly Average (", IF(ISBLANK($S$6),"",$S$6), ")")</f>
        <v>Weekly Average (SF)</v>
      </c>
      <c r="K9" s="79"/>
      <c r="L9" s="79"/>
      <c r="M9" s="79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136</v>
      </c>
      <c r="U9" s="98"/>
      <c r="V9" s="98"/>
      <c r="W9" s="98"/>
      <c r="X9" s="98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9" t="str">
        <f>_xlfn.CONCAT("Average Past 4 Weeks (", IF(ISBLANK($S$6),"",$S$6), ")")</f>
        <v>Average Past 4 Weeks (SF)</v>
      </c>
      <c r="K10" s="79"/>
      <c r="L10" s="79"/>
      <c r="M10" s="79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167.53246753246754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306.25</v>
      </c>
      <c r="T10" s="24" t="s">
        <v>137</v>
      </c>
      <c r="U10" s="99"/>
      <c r="V10" s="99"/>
      <c r="W10" s="99"/>
      <c r="X10" s="99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9" t="str">
        <f>_xlfn.CONCAT("On Schedule Average (", IF(ISBLANK($S$6),"",$S$6), ")")</f>
        <v>On Schedule Average (SF)</v>
      </c>
      <c r="K11" s="79"/>
      <c r="L11" s="79"/>
      <c r="M11" s="79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294.54545454545439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307.89473684210526</v>
      </c>
      <c r="U11" s="99"/>
      <c r="V11" s="99"/>
      <c r="W11" s="99"/>
      <c r="X11" s="99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90" t="s">
        <v>57</v>
      </c>
      <c r="K12" s="90"/>
      <c r="L12" s="90"/>
      <c r="M12" s="90"/>
      <c r="N12" s="91">
        <f ca="1">MAX(INDIRECT("Input_"&amp;$S$2&amp;"[Finish Date]"))</f>
        <v>44105</v>
      </c>
      <c r="O12" s="92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90" t="s">
        <v>58</v>
      </c>
      <c r="K13" s="90"/>
      <c r="L13" s="90"/>
      <c r="M13" s="90"/>
      <c r="N13" s="91">
        <f ca="1">IF($O$5&gt;0.999, "Completed", WORKDAY($S$3, ROUNDUP((SUM(Input_Template[Total])-(INDIRECT("AF"&amp;MATCH($S$3, Output_Template[Date],0)+13)))/($O$10/COUNTIF($U$2:$U$8, TRUE)),0), Holidays_Table[Holidays]))</f>
        <v>44111</v>
      </c>
      <c r="O13" s="9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 t="s">
        <v>88</v>
      </c>
      <c r="S14" s="44"/>
      <c r="T14" s="44" t="s">
        <v>85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43907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85.714285714285708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85.714285714285708</v>
      </c>
      <c r="AF14" s="58">
        <f>IF(AD14="",NA(),SUM($AD$14:AD14))</f>
        <v>300</v>
      </c>
      <c r="AG14" s="58">
        <f ca="1">WeeklyPlanned(Output_Template[[#Headers],[WP_A1]], Output_Template[[#This Row],[Date]])</f>
        <v>85.714285714285708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7"/>
      <c r="M15" s="77"/>
      <c r="N15" s="77"/>
      <c r="O15" s="78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43914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514.28571428571422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43921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942.85714285714278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43928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1371.4285714285713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43935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1800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43942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2228.5714285714284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43949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2657.1428571428569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43956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342.85714285714283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2999.9999999999995</v>
      </c>
      <c r="AF21" s="58">
        <f>IF(AD21="",NA(),SUM($AD$14:AD21))</f>
        <v>2300</v>
      </c>
      <c r="AG21" s="58">
        <f ca="1">WeeklyPlanned(Output_Template[[#Headers],[WP_A1]], Output_Template[[#This Row],[Date]])</f>
        <v>342.85714285714283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43963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2999.9999999999995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43970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109.09090909090909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3109.0909090909086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109.09090909090909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43977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3327.2727272727266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43984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3599.9999999999991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43991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3872.7272727272721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43998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4145.454545454545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44005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44012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44019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44026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5236.3636363636369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44033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5719.6172248803832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44040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6255.5023923444978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44047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6736.8421052631584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44054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44061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7263.1578947368416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44068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7526.3157894736833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44075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7789.4736842105249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44082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8052.6315789473665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44089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8315.7894736842081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44096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8578.9473684210498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44103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8842.1052631578914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44110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69" priority="10">
      <formula>ISERROR(AF14)</formula>
    </cfRule>
  </conditionalFormatting>
  <conditionalFormatting sqref="W13:X13">
    <cfRule type="expression" dxfId="68" priority="8">
      <formula>IF(OR($S$8 = "Assemble Addin", $S$8 = "Bluebeam QL"), TRUE, FALSE)</formula>
    </cfRule>
  </conditionalFormatting>
  <conditionalFormatting sqref="N6:O6">
    <cfRule type="expression" dxfId="67" priority="7">
      <formula>IF($N$6=$O$6, FALSE, TRUE)</formula>
    </cfRule>
  </conditionalFormatting>
  <conditionalFormatting sqref="W14:X16">
    <cfRule type="expression" dxfId="66" priority="5">
      <formula>IF(OR($S$8 = "Assemble Addin", $S$8 = "Bluebeam QL"), TRUE, FALSE)</formula>
    </cfRule>
    <cfRule type="expression" dxfId="65" priority="6">
      <formula>IF(OR($S$8 = "Assemble Addin", $S$8 = "Bluebeam QL"), MOD(ROW(), 2)=0, FALSE)</formula>
    </cfRule>
  </conditionalFormatting>
  <conditionalFormatting sqref="R13">
    <cfRule type="expression" dxfId="64" priority="2">
      <formula>IF($S$8 = "Assemble Addin", TRUE, FALSE)</formula>
    </cfRule>
  </conditionalFormatting>
  <conditionalFormatting sqref="R14:R16">
    <cfRule type="expression" dxfId="63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0" sqref="H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94" t="s">
        <v>5</v>
      </c>
      <c r="F1" s="94"/>
      <c r="H1" s="2" t="s">
        <v>9</v>
      </c>
      <c r="K1" s="5" t="s">
        <v>12</v>
      </c>
      <c r="L1" s="5" t="s">
        <v>17</v>
      </c>
    </row>
    <row r="2" spans="2:12" ht="15.5" x14ac:dyDescent="0.35">
      <c r="B2" s="95" t="s">
        <v>6</v>
      </c>
      <c r="C2" s="95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B11" t="s">
        <v>106</v>
      </c>
      <c r="C11" s="4" t="s">
        <v>111</v>
      </c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E35" sqref="E35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7" t="str">
        <f>"PROGRESS REPORT "&amp; TEXT(Report_Date, "mm/dd/yyy")</f>
        <v>PROGRESS REPORT 05/26/2020</v>
      </c>
      <c r="C2" s="97"/>
      <c r="D2" s="97"/>
      <c r="E2" s="97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6" t="s">
        <v>31</v>
      </c>
      <c r="C11" s="96"/>
      <c r="D11" s="96"/>
      <c r="E11" s="96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6" t="s">
        <v>32</v>
      </c>
      <c r="C15" s="96"/>
      <c r="D15" s="96"/>
      <c r="E15" s="96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96" t="s">
        <v>33</v>
      </c>
      <c r="C18" s="96"/>
      <c r="D18" s="96"/>
      <c r="E18" s="96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96" t="s">
        <v>34</v>
      </c>
      <c r="C21" s="96"/>
      <c r="D21" s="96"/>
      <c r="E21" s="96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96" t="s">
        <v>35</v>
      </c>
      <c r="C24" s="96"/>
      <c r="D24" s="96"/>
      <c r="E24" s="96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1" priority="1">
      <formula>IF(ISBLANK($D12), FALSE, IF(RedGreen_Formatting = "Enabled", $D12 &lt;= $E12 + Percent_Error, FALSE))</formula>
    </cfRule>
    <cfRule type="expression" dxfId="4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opLeftCell="T1" zoomScaleNormal="100" workbookViewId="0">
      <selection activeCell="AE7" sqref="AE7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8" t="s">
        <v>94</v>
      </c>
      <c r="AB1" s="89"/>
    </row>
    <row r="2" spans="2:4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(Count)</v>
      </c>
      <c r="K6" s="79"/>
      <c r="L6" s="79"/>
      <c r="M6" s="79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110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(Count)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9" t="str">
        <f>_xlfn.CONCAT("This Week's Production (", IF(ISBLANK($S$6),"",$S$6), ")")</f>
        <v>This Week's Production (Count)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9" t="str">
        <f>_xlfn.CONCAT("Weekly Average (", IF(ISBLANK($S$6),"",$S$6), ")")</f>
        <v>Weekly Average (Count)</v>
      </c>
      <c r="K9" s="79"/>
      <c r="L9" s="79"/>
      <c r="M9" s="79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136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9" t="str">
        <f>_xlfn.CONCAT("Average Past 4 Weeks (", IF(ISBLANK($S$6),"",$S$6), ")")</f>
        <v>Average Past 4 Weeks (Count)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9" t="str">
        <f>_xlfn.CONCAT("On Schedule Average (", IF(ISBLANK($S$6),"",$S$6), ")")</f>
        <v>On Schedule Average (Count)</v>
      </c>
      <c r="K11" s="79"/>
      <c r="L11" s="79"/>
      <c r="M11" s="79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90" t="s">
        <v>57</v>
      </c>
      <c r="K12" s="90"/>
      <c r="L12" s="90"/>
      <c r="M12" s="90"/>
      <c r="N12" s="91">
        <f ca="1">MAX(INDIRECT("Input_"&amp;$S$2&amp;"[Finish Date]"))</f>
        <v>44195</v>
      </c>
      <c r="O12" s="92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90" t="s">
        <v>58</v>
      </c>
      <c r="K13" s="90"/>
      <c r="L13" s="90"/>
      <c r="M13" s="90"/>
      <c r="N13" s="91"/>
      <c r="O13" s="9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113</v>
      </c>
      <c r="AH13" s="64" t="s">
        <v>114</v>
      </c>
      <c r="AI13" s="64" t="s">
        <v>122</v>
      </c>
      <c r="AJ13" s="64" t="s">
        <v>123</v>
      </c>
      <c r="AK13" s="64" t="s">
        <v>124</v>
      </c>
      <c r="AL13" s="64" t="s">
        <v>125</v>
      </c>
      <c r="AM13" s="64" t="s">
        <v>126</v>
      </c>
      <c r="AN13" s="64" t="s">
        <v>127</v>
      </c>
      <c r="AO13" s="64" t="s">
        <v>128</v>
      </c>
      <c r="AP13" s="64" t="s">
        <v>129</v>
      </c>
      <c r="AQ13" s="64" t="s">
        <v>130</v>
      </c>
      <c r="AR13" s="64" t="s">
        <v>131</v>
      </c>
      <c r="AS13" s="64" t="s">
        <v>132</v>
      </c>
      <c r="AT13" s="64" t="s">
        <v>133</v>
      </c>
      <c r="AU13" s="64" t="s">
        <v>134</v>
      </c>
      <c r="AV13" s="64" t="s">
        <v>135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/>
      <c r="S14" s="44" t="s">
        <v>101</v>
      </c>
      <c r="T14" s="44" t="s">
        <v>112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7"/>
      <c r="M15" s="77"/>
      <c r="N15" s="77"/>
      <c r="O15" s="78"/>
      <c r="R15" s="43"/>
      <c r="S15" s="44" t="s">
        <v>102</v>
      </c>
      <c r="T15" s="44" t="s">
        <v>115</v>
      </c>
      <c r="U15" s="45">
        <v>44105</v>
      </c>
      <c r="V15" s="45">
        <v>44111</v>
      </c>
      <c r="W15" s="8">
        <v>102</v>
      </c>
      <c r="AA15" s="54">
        <f t="shared" ref="AA15:AA20" si="2">IF(AA14 = "Date", $S$4, AA14+7)</f>
        <v>44054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116</v>
      </c>
      <c r="U16" s="45">
        <v>44133</v>
      </c>
      <c r="V16" s="45">
        <v>44146</v>
      </c>
      <c r="W16" s="8">
        <v>279</v>
      </c>
      <c r="AA16" s="54">
        <f t="shared" si="2"/>
        <v>44061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117</v>
      </c>
      <c r="U17" s="67">
        <v>44131</v>
      </c>
      <c r="V17" s="67">
        <v>44140</v>
      </c>
      <c r="W17" s="68">
        <v>132</v>
      </c>
      <c r="X17" s="68"/>
      <c r="AA17" s="54">
        <f t="shared" si="2"/>
        <v>44068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118</v>
      </c>
      <c r="U18" s="67">
        <v>44113</v>
      </c>
      <c r="V18" s="67">
        <v>44181</v>
      </c>
      <c r="W18" s="68">
        <v>103</v>
      </c>
      <c r="X18" s="68"/>
      <c r="AA18" s="54">
        <f t="shared" si="2"/>
        <v>44075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119</v>
      </c>
      <c r="U19" s="67">
        <v>44182</v>
      </c>
      <c r="V19" s="67">
        <v>44195</v>
      </c>
      <c r="W19" s="68">
        <v>30</v>
      </c>
      <c r="X19" s="68"/>
      <c r="AA19" s="54">
        <f t="shared" si="2"/>
        <v>44082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120</v>
      </c>
      <c r="U20" s="67">
        <v>44109</v>
      </c>
      <c r="V20" s="67">
        <v>44127</v>
      </c>
      <c r="W20" s="68">
        <v>245</v>
      </c>
      <c r="X20" s="68"/>
      <c r="AA20" s="54">
        <f t="shared" si="2"/>
        <v>44089</v>
      </c>
      <c r="AB20" s="56">
        <f t="shared" ca="1" si="1"/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121</v>
      </c>
      <c r="U21" s="67">
        <v>44089</v>
      </c>
      <c r="V21" s="67">
        <v>44104</v>
      </c>
      <c r="W21" s="68">
        <v>29</v>
      </c>
      <c r="X21" s="68"/>
      <c r="AA21" s="54">
        <f t="shared" ref="AA21:AA36" si="3">IF(AA20 = "Date", $S$4, AA20+7)</f>
        <v>44096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44103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44110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44117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44124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44131</v>
      </c>
      <c r="AB26" s="56" t="str">
        <f t="shared" ca="1" si="1"/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44138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44145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44152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44159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44166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44173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44180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44187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44194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44201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39" priority="7">
      <formula>ISERROR(AF14)</formula>
    </cfRule>
  </conditionalFormatting>
  <conditionalFormatting sqref="W13:X13">
    <cfRule type="expression" dxfId="38" priority="6">
      <formula>IF(OR($S$8 = "Assemble Addin", $S$8 = "Bluebeam QL"), TRUE, FALSE)</formula>
    </cfRule>
  </conditionalFormatting>
  <conditionalFormatting sqref="N6:O6">
    <cfRule type="expression" dxfId="37" priority="5">
      <formula>IF($N$6=$O$6, FALSE, TRUE)</formula>
    </cfRule>
  </conditionalFormatting>
  <conditionalFormatting sqref="W14:X21">
    <cfRule type="expression" dxfId="36" priority="3">
      <formula>IF(OR($S$8 = "Assemble Addin", $S$8 = "Bluebeam QL"), TRUE, FALSE)</formula>
    </cfRule>
    <cfRule type="expression" dxfId="35" priority="4">
      <formula>IF(OR($S$8 = "Assemble Addin", $S$8 = "Bluebeam QL"), MOD(ROW(), 2)=0, FALSE)</formula>
    </cfRule>
  </conditionalFormatting>
  <conditionalFormatting sqref="R13">
    <cfRule type="expression" dxfId="34" priority="2">
      <formula>IF($S$8 = "Assemble Addin", TRUE, FALSE)</formula>
    </cfRule>
  </conditionalFormatting>
  <conditionalFormatting sqref="R14:R21">
    <cfRule type="expression" dxfId="33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2020-06-11T20:46:31Z</cp:lastPrinted>
  <dcterms:created xsi:type="dcterms:W3CDTF">2019-04-09T17:53:55Z</dcterms:created>
  <dcterms:modified xsi:type="dcterms:W3CDTF">2020-06-15T21:14:33Z</dcterms:modified>
</cp:coreProperties>
</file>