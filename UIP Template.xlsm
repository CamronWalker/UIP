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87061AD3-FDB3-40DC-98B1-540A34FA3135}" xr6:coauthVersionLast="44" xr6:coauthVersionMax="44" xr10:uidLastSave="{00000000-0000-0000-0000-000000000000}"/>
  <bookViews>
    <workbookView xWindow="-28920" yWindow="14190" windowWidth="29040" windowHeight="17640" activeTab="2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V3" i="3" s="1"/>
  <c r="AE43" i="3"/>
  <c r="O11" i="3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<sst xmlns="http://schemas.openxmlformats.org/spreadsheetml/2006/main" count="533" uniqueCount="158">
  <si>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</si>
  <si>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</si>
  <si>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</si>
  <si>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</si>
  <si>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</si>
  <si>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</si>
  <si>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</si>
  <si>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</si>
  <si>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</si>
  <si>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</si>
  <si>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</si>
  <si>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</si>
  <si>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</si>
  <si>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</si>
  <si>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</si>
  <si>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</si>
  <si>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</si>
  <si>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</si>
  <si>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</si>
  <si>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</si>
  <si>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</si>
  <si>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</si>
  <si>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</si>
  <si>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</si>
  <si>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</si>
  <si>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</si>
  <si>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</si>
  <si>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</si>
  <si>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</si>
  <si>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</si>
  <si>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</si>
  <si>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</si>
  <si>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</si>
  <si>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</si>
  <si>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</si>
  <si>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</si>
  <si>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</si>
  <si>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</si>
  <si>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</si>
  <si>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</si>
  <si>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</si>
  <si>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</si>
  <si>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</si>
  <si>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</si>
  <si>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</si>
  <si>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</si>
  <si>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</si>
  <si>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</si>
  <si>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</si>
  <si>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</si>
  <si>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</si>
  <si>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</si>
  <si>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</si>
  <si>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</si>
  <si>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</si>
  <si>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</si>
  <si>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</si>
  <si>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</si>
  <si>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</si>
  <si>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</si>
  <si>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</si>
  <si>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</si>
  <si>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</si>
  <si>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</si>
  <si>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</si>
  <si>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</si>
  <si>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</si>
  <si>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</si>
  <si>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</si>
  <si>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</si>
  <si>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</si>
  <si>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</si>
  <si>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</si>
  <si>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</si>
  <si>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</si>
  <si>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</si>
  <si>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</si>
  <si>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</si>
  <si>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</si>
  <si>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</si>
  <si>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</si>
  <si>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</si>
  <si>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</si>
  <si>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</si>
  <si>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</si>
  <si>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</si>
  <si>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</si>
  <si>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</si>
  <si>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</si>
  <si>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</si>
  <si>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</si>
  <si>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</si>
  <si>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</si>
  <si>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</si>
  <si>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</si>
  <si>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</si>
  <si>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</si>
  <si>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</si>
  <si>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</si>
  <si>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</si>
  <si>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</si>
  <si>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</si>
  <si>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</si>
  <si>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</si>
  <si>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</si>
  <si>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</si>
  <si>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</si>
  <si>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</si>
  <si>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</si>
  <si>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</si>
  <si>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</si>
  <si>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</si>
  <si>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</si>
  <si>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</si>
  <si>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</si>
  <si>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</si>
  <si>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</si>
  <si>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</si>
  <si>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</si>
  <si>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</si>
  <si>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</si>
  <si>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</si>
  <si>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</si>
  <si>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</si>
  <si>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</si>
  <si>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</si>
  <si>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</si>
  <si>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</si>
  <si>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</si>
  <si>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</si>
  <si>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</si>
  <si>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</si>
  <si>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</si>
  <si>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</si>
  <si>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</si>
  <si>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</si>
  <si>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</si>
  <si>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</si>
  <si>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</si>
  <si>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</si>
  <si>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</si>
  <si>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</si>
  <si>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</si>
  <si>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</si>
  <si>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</si>
  <si>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</si>
  <si>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</si>
  <si>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</si>
  <si>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</si>
  <si>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</si>
  <si>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</si>
  <si>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</si>
  <si>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</si>
  <si>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</si>
  <si>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</si>
  <si>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</si>
  <si>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</si>
  <si>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\\westland.local\dfs\users\camron\Desktop\Test\Test 1.pdf----\\westland.local\dfs\users\camron\Desktop\Test\Test 2.pdf----\\westland.local\dfs\users\camron\Desktop\Test\Test 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</si>
</sst>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B91285-3127-41F3-8892-EEDC3DDEB6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9D4A44-8A55-4B68-9A48-93FA7036C5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F0E8C3-CC89-406A-AD7C-5B7C1FA0DA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1E13E6-8DF4-4069-BD6A-42A067810A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0C8A5F-F1B9-40E0-9FAB-8F5ED80C90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6150FF-6D69-458A-B0E3-CC1DE14E2C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84A182-AC20-4009-9EC4-47974C5F5A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06E405-C80C-4E77-B1EF-11B644E462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EAFC00-B134-4FEE-AE94-37AC3392FF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0A0517-0E67-438F-9DBD-9902CEF54D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5B3D49-2C5C-4908-9B4B-5D44C9CB17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137D44-33ED-432E-9E7F-DCCB82ABF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5EFBA5-7701-4356-BAD5-3DFD689AF2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460232-61EB-46A7-BF32-8EB595B00C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982393-3B8E-4521-85EB-F6F1B1128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E87FAE-79E2-4C26-B973-3308779F19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F8B198-656A-4800-B095-AF9C75D71E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9BF38A-58F0-4023-832B-7FC27074A8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451691-0E9A-40F5-A730-BDF35D70A6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77BA46-B7EB-41CE-A96B-A288AE0945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E5927F-9874-4866-BDB6-1E36E6FA6E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C188F7-9163-4E01-AB4D-F5B72D8AD6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C920BD-A83A-4CF0-8400-29B84502F3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35CE25-6C0C-4C7F-BC68-0B29F240E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3C8742-8BBA-477C-99FE-778A8C5427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7D225E-2065-4BF4-BD2D-4D3CCD4E0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32DAA9-1185-40B2-9251-FBA9C81CB1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B66BA0-1DCD-44C4-8D79-CA3627121F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6E9559-F58A-4013-ACEC-C9897989F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844531-4308-4BA3-9031-C54CDD23FE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BC044AC-C9F8-42AE-B77D-7342B2E220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0C3253-1B95-4875-BC3B-AD8EACDF0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1A290B-B830-4384-B0EA-8E92638E46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312C62-26BA-4199-A25F-E8946B91C9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61781D-25E7-4C1B-A43C-AD083C5109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48ECC3-A75F-4755-A004-F895C03FE7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21780B-F26B-4B75-92F3-216EF13E14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68E19D-4F8C-4A25-8988-45F766B222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6F4747-0845-4522-AB7D-E49FE03C5A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ABBB03-A6A1-4CDA-9375-077DCD69FC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3857D6-4921-41EC-A848-A551B18B2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B571D2-64A5-4AC9-BFDA-86287DCC81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961067-02B0-4DA1-A471-052488C0D2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E9A43E-0AE9-49E0-A670-CB7D196AD3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A6C98B-8BFB-4613-A2C5-599C11FD9B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D96DD4-E4A5-4672-A89E-45FA36C053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1027B6-2FC4-44E1-92DA-750C3F18ED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67A900-6210-4E5C-AE58-92475B9855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6F0C19-CC4A-4BF4-B8C5-B3E267E4E2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253DD2-C8CB-4ED7-BB07-F9A4F29BDF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67DFC3-CC77-4EB3-A88F-07A35638FE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DC1E8C-B826-4EDC-AE07-D902596423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C3ACA8-3D6D-4BE2-BA4A-E2897C24F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B72496-6402-4E22-AF5D-A6120FF537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5C8E95-2F47-4069-9288-95FF444626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266A77-E151-4906-B470-EB53511F8E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3D5729-3533-4C61-810D-145384ED50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B29E09-A7FC-4C31-908C-B491BC907A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E17084-EDEC-411F-B13A-8EA0078D80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EC5EF3-8374-4ABF-9FE7-32A0A6079E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528F3B-C5A2-4100-9DCA-F8DF283A44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6857DA-C84B-4452-97F0-4B93EA105F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256AFB-374A-431A-B87B-58BA51E3A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92F763-5444-4EA7-B72D-AF6A65CCBC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BAD9AF-6FE1-4FD2-B8D5-C0472088AF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29C740-5989-4BF1-A81C-3B9C006D58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06E3E9-C5D9-4C13-9A7D-2B9230D36D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D11A9C-6410-4389-903E-5093EB7AC0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76A967-8CF8-4D25-97F6-BBCDF3E70A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FD69A3-DFBC-422D-BA3C-4843E5686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2FD4E6-3465-46DF-BD1E-C671D37DB3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D96E8C-6418-4C8F-B7B8-F7A1949810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2DF66E-5966-48DE-BDEA-B799821E6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ACB1E0-FC7A-4CBA-8B4B-168797CBC6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A88ABE-B2ED-4F57-B62D-5586932F4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880B4C-105D-4B17-B8E4-0F5BEE9FB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166CD0-5217-473C-B897-AA13A0660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9E301C-4518-49FE-B0D7-83B36010AF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BD0522-331B-43C0-852B-526B738D8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759367-9E13-46AD-A1E6-72C684F2B3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9E3814-1BBF-4487-A898-56FE191C82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DD368E-8BD1-4C2E-89C0-B17A8F9EFF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DF95E5-77E8-4644-AECA-0F5291CA71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55B1AB-78BB-418F-8866-B5ACB0FB46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6DDE85-4A61-4EC5-8CB5-126D04D42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118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92</v>
      </c>
      <c r="I1" t="s">
        <v>93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</row>
    <row r="3" spans="1:23" x14ac:dyDescent="0.35">
      <c r="A3" t="s">
        <v>120</v>
      </c>
      <c r="B3">
        <v>44047</v>
      </c>
      <c r="C3" t="s">
        <v>91</v>
      </c>
      <c r="D3">
        <v>74</v>
      </c>
      <c r="E3" t="s">
        <v>121</v>
      </c>
      <c r="F3">
        <v>74</v>
      </c>
      <c r="H3">
        <v>74</v>
      </c>
      <c r="J3" t="s">
        <v>121</v>
      </c>
      <c r="L3" t="s">
        <v>121</v>
      </c>
      <c r="N3" t="s">
        <v>121</v>
      </c>
      <c r="P3" t="s">
        <v>121</v>
      </c>
      <c r="R3" t="s">
        <v>121</v>
      </c>
      <c r="T3" t="s">
        <v>121</v>
      </c>
      <c r="V3" t="s">
        <v>121</v>
      </c>
    </row>
    <row r="4" spans="1:23" x14ac:dyDescent="0.35">
      <c r="A4" t="s">
        <v>120</v>
      </c>
      <c r="B4">
        <v>44054</v>
      </c>
      <c r="C4" t="s">
        <v>91</v>
      </c>
      <c r="D4">
        <v>74</v>
      </c>
      <c r="E4" t="s">
        <v>121</v>
      </c>
      <c r="F4">
        <v>148</v>
      </c>
      <c r="H4">
        <v>74</v>
      </c>
      <c r="J4" t="s">
        <v>121</v>
      </c>
      <c r="L4" t="s">
        <v>121</v>
      </c>
      <c r="N4" t="s">
        <v>121</v>
      </c>
      <c r="P4" t="s">
        <v>121</v>
      </c>
      <c r="R4" t="s">
        <v>121</v>
      </c>
      <c r="T4" t="s">
        <v>121</v>
      </c>
      <c r="V4" t="s">
        <v>121</v>
      </c>
    </row>
    <row r="5" spans="1:23" x14ac:dyDescent="0.35">
      <c r="A5" t="s">
        <v>120</v>
      </c>
      <c r="B5">
        <v>44061</v>
      </c>
      <c r="C5">
        <v>0</v>
      </c>
      <c r="D5">
        <v>0</v>
      </c>
      <c r="E5" t="s">
        <v>121</v>
      </c>
      <c r="F5">
        <v>148</v>
      </c>
      <c r="H5" t="s">
        <v>121</v>
      </c>
      <c r="J5" t="s">
        <v>121</v>
      </c>
      <c r="L5" t="s">
        <v>121</v>
      </c>
      <c r="N5" t="s">
        <v>121</v>
      </c>
      <c r="P5" t="s">
        <v>121</v>
      </c>
      <c r="R5" t="s">
        <v>121</v>
      </c>
      <c r="T5" t="s">
        <v>121</v>
      </c>
      <c r="V5" t="s">
        <v>121</v>
      </c>
    </row>
    <row r="6" spans="1:23" x14ac:dyDescent="0.35">
      <c r="A6" t="s">
        <v>120</v>
      </c>
      <c r="B6">
        <v>44068</v>
      </c>
      <c r="C6">
        <v>0</v>
      </c>
      <c r="D6">
        <v>0</v>
      </c>
      <c r="E6" t="s">
        <v>121</v>
      </c>
      <c r="F6">
        <v>148</v>
      </c>
      <c r="H6" t="s">
        <v>121</v>
      </c>
      <c r="J6" t="s">
        <v>121</v>
      </c>
      <c r="L6" t="s">
        <v>121</v>
      </c>
      <c r="N6" t="s">
        <v>121</v>
      </c>
      <c r="P6" t="s">
        <v>121</v>
      </c>
      <c r="R6" t="s">
        <v>121</v>
      </c>
      <c r="T6" t="s">
        <v>121</v>
      </c>
      <c r="V6" t="s">
        <v>121</v>
      </c>
    </row>
    <row r="7" spans="1:23" x14ac:dyDescent="0.35">
      <c r="A7" t="s">
        <v>120</v>
      </c>
      <c r="B7">
        <v>44075</v>
      </c>
      <c r="C7">
        <v>0</v>
      </c>
      <c r="D7">
        <v>0</v>
      </c>
      <c r="E7" t="s">
        <v>121</v>
      </c>
      <c r="F7">
        <v>148</v>
      </c>
      <c r="H7" t="s">
        <v>121</v>
      </c>
      <c r="J7" t="s">
        <v>121</v>
      </c>
      <c r="L7" t="s">
        <v>121</v>
      </c>
      <c r="N7" t="s">
        <v>121</v>
      </c>
      <c r="P7" t="s">
        <v>121</v>
      </c>
      <c r="R7" t="s">
        <v>121</v>
      </c>
      <c r="T7" t="s">
        <v>121</v>
      </c>
      <c r="V7" t="s">
        <v>121</v>
      </c>
    </row>
    <row r="8" spans="1:23" x14ac:dyDescent="0.35">
      <c r="A8" t="s">
        <v>120</v>
      </c>
      <c r="B8">
        <v>44082</v>
      </c>
      <c r="C8">
        <v>0</v>
      </c>
      <c r="D8">
        <v>0</v>
      </c>
      <c r="E8" t="s">
        <v>121</v>
      </c>
      <c r="F8">
        <v>148</v>
      </c>
      <c r="H8" t="s">
        <v>121</v>
      </c>
      <c r="J8" t="s">
        <v>121</v>
      </c>
      <c r="L8" t="s">
        <v>121</v>
      </c>
      <c r="N8" t="s">
        <v>121</v>
      </c>
      <c r="P8" t="s">
        <v>121</v>
      </c>
      <c r="R8" t="s">
        <v>121</v>
      </c>
      <c r="T8" t="s">
        <v>121</v>
      </c>
      <c r="V8" t="s">
        <v>121</v>
      </c>
    </row>
    <row r="9" spans="1:23" x14ac:dyDescent="0.35">
      <c r="A9" t="s">
        <v>120</v>
      </c>
      <c r="B9">
        <v>44089</v>
      </c>
      <c r="C9">
        <v>0</v>
      </c>
      <c r="D9">
        <v>0</v>
      </c>
      <c r="E9" t="s">
        <v>121</v>
      </c>
      <c r="F9">
        <v>148</v>
      </c>
      <c r="H9" t="s">
        <v>121</v>
      </c>
      <c r="J9" t="s">
        <v>121</v>
      </c>
      <c r="L9" t="s">
        <v>121</v>
      </c>
      <c r="N9" t="s">
        <v>121</v>
      </c>
      <c r="P9" t="s">
        <v>121</v>
      </c>
      <c r="R9" t="s">
        <v>121</v>
      </c>
      <c r="T9" t="s">
        <v>121</v>
      </c>
      <c r="V9" t="s">
        <v>121</v>
      </c>
    </row>
    <row r="10" spans="1:23" x14ac:dyDescent="0.35">
      <c r="A10" t="s">
        <v>120</v>
      </c>
      <c r="B10">
        <v>44096</v>
      </c>
      <c r="C10" t="s">
        <v>100</v>
      </c>
      <c r="D10">
        <v>12.083333333333332</v>
      </c>
      <c r="E10" t="s">
        <v>121</v>
      </c>
      <c r="F10">
        <v>160.08333333333334</v>
      </c>
      <c r="H10" t="s">
        <v>121</v>
      </c>
      <c r="J10" t="s">
        <v>121</v>
      </c>
      <c r="L10" t="s">
        <v>121</v>
      </c>
      <c r="N10" t="s">
        <v>121</v>
      </c>
      <c r="P10" t="s">
        <v>121</v>
      </c>
      <c r="R10" t="s">
        <v>121</v>
      </c>
      <c r="T10" t="s">
        <v>121</v>
      </c>
      <c r="V10">
        <v>12.083333333333332</v>
      </c>
    </row>
    <row r="11" spans="1:23" x14ac:dyDescent="0.35">
      <c r="A11" t="s">
        <v>120</v>
      </c>
      <c r="B11">
        <v>44103</v>
      </c>
      <c r="C11" t="s">
        <v>100</v>
      </c>
      <c r="D11">
        <v>12.083333333333332</v>
      </c>
      <c r="E11" t="s">
        <v>121</v>
      </c>
      <c r="F11">
        <v>172.16666666666669</v>
      </c>
      <c r="H11" t="s">
        <v>121</v>
      </c>
      <c r="J11" t="s">
        <v>121</v>
      </c>
      <c r="L11" t="s">
        <v>121</v>
      </c>
      <c r="N11" t="s">
        <v>121</v>
      </c>
      <c r="P11" t="s">
        <v>121</v>
      </c>
      <c r="R11" t="s">
        <v>121</v>
      </c>
      <c r="T11" t="s">
        <v>121</v>
      </c>
      <c r="V11">
        <v>12.083333333333332</v>
      </c>
    </row>
    <row r="12" spans="1:23" x14ac:dyDescent="0.35">
      <c r="A12" t="s">
        <v>120</v>
      </c>
      <c r="B12">
        <v>44110</v>
      </c>
      <c r="C12" t="s">
        <v>122</v>
      </c>
      <c r="D12">
        <v>82.36666666666666</v>
      </c>
      <c r="E12" t="s">
        <v>121</v>
      </c>
      <c r="F12">
        <v>254.53333333333336</v>
      </c>
      <c r="H12" t="s">
        <v>121</v>
      </c>
      <c r="J12">
        <v>61.199999999999996</v>
      </c>
      <c r="L12" t="s">
        <v>121</v>
      </c>
      <c r="N12" t="s">
        <v>121</v>
      </c>
      <c r="P12" t="s">
        <v>121</v>
      </c>
      <c r="R12" t="s">
        <v>121</v>
      </c>
      <c r="T12">
        <v>16.333333333333332</v>
      </c>
      <c r="V12">
        <v>4.833333333333333</v>
      </c>
    </row>
    <row r="13" spans="1:23" x14ac:dyDescent="0.35">
      <c r="A13" t="s">
        <v>120</v>
      </c>
      <c r="B13">
        <v>44117</v>
      </c>
      <c r="C13" t="s">
        <v>123</v>
      </c>
      <c r="D13">
        <v>126.67074829931971</v>
      </c>
      <c r="E13" t="s">
        <v>121</v>
      </c>
      <c r="F13">
        <v>381.20408163265307</v>
      </c>
      <c r="H13" t="s">
        <v>121</v>
      </c>
      <c r="J13">
        <v>40.799999999999997</v>
      </c>
      <c r="L13" t="s">
        <v>121</v>
      </c>
      <c r="N13" t="s">
        <v>121</v>
      </c>
      <c r="P13">
        <v>4.204081632653061</v>
      </c>
      <c r="R13" t="s">
        <v>121</v>
      </c>
      <c r="T13">
        <v>81.666666666666657</v>
      </c>
      <c r="V13" t="s">
        <v>121</v>
      </c>
    </row>
    <row r="14" spans="1:23" x14ac:dyDescent="0.35">
      <c r="A14" t="s">
        <v>120</v>
      </c>
      <c r="B14">
        <v>44124</v>
      </c>
      <c r="C14" t="s">
        <v>124</v>
      </c>
      <c r="D14">
        <v>92.176870748299308</v>
      </c>
      <c r="E14" t="s">
        <v>121</v>
      </c>
      <c r="F14">
        <v>473.38095238095241</v>
      </c>
      <c r="H14" t="s">
        <v>121</v>
      </c>
      <c r="J14" t="s">
        <v>121</v>
      </c>
      <c r="L14" t="s">
        <v>121</v>
      </c>
      <c r="N14" t="s">
        <v>121</v>
      </c>
      <c r="P14">
        <v>10.510204081632653</v>
      </c>
      <c r="R14" t="s">
        <v>121</v>
      </c>
      <c r="T14">
        <v>81.666666666666657</v>
      </c>
      <c r="V14" t="s">
        <v>121</v>
      </c>
    </row>
    <row r="15" spans="1:23" x14ac:dyDescent="0.35">
      <c r="A15" t="s">
        <v>120</v>
      </c>
      <c r="B15">
        <v>44131</v>
      </c>
      <c r="C15" t="s">
        <v>124</v>
      </c>
      <c r="D15">
        <v>75.843537414965979</v>
      </c>
      <c r="E15" t="s">
        <v>121</v>
      </c>
      <c r="F15">
        <v>549.22448979591843</v>
      </c>
      <c r="H15" t="s">
        <v>121</v>
      </c>
      <c r="J15" t="s">
        <v>121</v>
      </c>
      <c r="L15" t="s">
        <v>121</v>
      </c>
      <c r="N15" t="s">
        <v>121</v>
      </c>
      <c r="P15">
        <v>10.510204081632653</v>
      </c>
      <c r="R15" t="s">
        <v>121</v>
      </c>
      <c r="T15">
        <v>65.333333333333329</v>
      </c>
      <c r="V15" t="s">
        <v>121</v>
      </c>
    </row>
    <row r="16" spans="1:23" x14ac:dyDescent="0.35">
      <c r="A16" t="s">
        <v>120</v>
      </c>
      <c r="B16">
        <v>44138</v>
      </c>
      <c r="C16" t="s">
        <v>125</v>
      </c>
      <c r="D16">
        <v>176.71020408163264</v>
      </c>
      <c r="E16" t="s">
        <v>121</v>
      </c>
      <c r="F16">
        <v>725.93469387755113</v>
      </c>
      <c r="H16" t="s">
        <v>121</v>
      </c>
      <c r="J16" t="s">
        <v>121</v>
      </c>
      <c r="L16">
        <v>83.699999999999989</v>
      </c>
      <c r="N16">
        <v>82.5</v>
      </c>
      <c r="P16">
        <v>10.510204081632653</v>
      </c>
      <c r="R16" t="s">
        <v>121</v>
      </c>
      <c r="T16" t="s">
        <v>121</v>
      </c>
      <c r="V16" t="s">
        <v>121</v>
      </c>
    </row>
    <row r="17" spans="1:22" x14ac:dyDescent="0.35">
      <c r="A17" t="s">
        <v>120</v>
      </c>
      <c r="B17">
        <v>44145</v>
      </c>
      <c r="C17" t="s">
        <v>125</v>
      </c>
      <c r="D17">
        <v>199.51020408163265</v>
      </c>
      <c r="E17" t="s">
        <v>121</v>
      </c>
      <c r="F17">
        <v>925.44489795918378</v>
      </c>
      <c r="H17" t="s">
        <v>121</v>
      </c>
      <c r="J17" t="s">
        <v>121</v>
      </c>
      <c r="L17">
        <v>139.5</v>
      </c>
      <c r="N17">
        <v>49.5</v>
      </c>
      <c r="P17">
        <v>10.510204081632653</v>
      </c>
      <c r="R17" t="s">
        <v>121</v>
      </c>
      <c r="T17" t="s">
        <v>121</v>
      </c>
      <c r="V17" t="s">
        <v>121</v>
      </c>
    </row>
    <row r="18" spans="1:22" x14ac:dyDescent="0.35">
      <c r="A18" t="s">
        <v>120</v>
      </c>
      <c r="B18">
        <v>44152</v>
      </c>
      <c r="C18" t="s">
        <v>126</v>
      </c>
      <c r="D18">
        <v>66.310204081632648</v>
      </c>
      <c r="E18" t="s">
        <v>121</v>
      </c>
      <c r="F18">
        <v>991.75510204081638</v>
      </c>
      <c r="H18" t="s">
        <v>121</v>
      </c>
      <c r="J18" t="s">
        <v>121</v>
      </c>
      <c r="L18">
        <v>55.8</v>
      </c>
      <c r="N18" t="s">
        <v>121</v>
      </c>
      <c r="P18">
        <v>10.510204081632653</v>
      </c>
      <c r="R18" t="s">
        <v>121</v>
      </c>
      <c r="T18" t="s">
        <v>121</v>
      </c>
      <c r="V18" t="s">
        <v>121</v>
      </c>
    </row>
    <row r="19" spans="1:22" x14ac:dyDescent="0.35">
      <c r="A19" t="s">
        <v>120</v>
      </c>
      <c r="B19">
        <v>44159</v>
      </c>
      <c r="C19" t="s">
        <v>97</v>
      </c>
      <c r="D19">
        <v>10.510204081632653</v>
      </c>
      <c r="E19" t="s">
        <v>121</v>
      </c>
      <c r="F19">
        <v>1002.265306122449</v>
      </c>
      <c r="H19" t="s">
        <v>121</v>
      </c>
      <c r="J19" t="s">
        <v>121</v>
      </c>
      <c r="L19" t="s">
        <v>121</v>
      </c>
      <c r="N19" t="s">
        <v>121</v>
      </c>
      <c r="P19">
        <v>10.510204081632653</v>
      </c>
      <c r="R19" t="s">
        <v>121</v>
      </c>
      <c r="T19" t="s">
        <v>121</v>
      </c>
      <c r="V19" t="s">
        <v>121</v>
      </c>
    </row>
    <row r="20" spans="1:22" x14ac:dyDescent="0.35">
      <c r="A20" t="s">
        <v>120</v>
      </c>
      <c r="B20">
        <v>44166</v>
      </c>
      <c r="C20" t="s">
        <v>97</v>
      </c>
      <c r="D20">
        <v>10.510204081632653</v>
      </c>
      <c r="E20" t="s">
        <v>121</v>
      </c>
      <c r="F20">
        <v>1012.7755102040817</v>
      </c>
      <c r="H20" t="s">
        <v>121</v>
      </c>
      <c r="J20" t="s">
        <v>121</v>
      </c>
      <c r="L20" t="s">
        <v>121</v>
      </c>
      <c r="N20" t="s">
        <v>121</v>
      </c>
      <c r="P20">
        <v>10.510204081632653</v>
      </c>
      <c r="R20" t="s">
        <v>121</v>
      </c>
      <c r="T20" t="s">
        <v>121</v>
      </c>
      <c r="V20" t="s">
        <v>121</v>
      </c>
    </row>
    <row r="21" spans="1:22" x14ac:dyDescent="0.35">
      <c r="A21" t="s">
        <v>120</v>
      </c>
      <c r="B21">
        <v>44173</v>
      </c>
      <c r="C21" t="s">
        <v>97</v>
      </c>
      <c r="D21">
        <v>10.510204081632653</v>
      </c>
      <c r="E21" t="s">
        <v>121</v>
      </c>
      <c r="F21">
        <v>1023.2857142857143</v>
      </c>
      <c r="H21" t="s">
        <v>121</v>
      </c>
      <c r="J21" t="s">
        <v>121</v>
      </c>
      <c r="L21" t="s">
        <v>121</v>
      </c>
      <c r="N21" t="s">
        <v>121</v>
      </c>
      <c r="P21">
        <v>10.510204081632653</v>
      </c>
      <c r="R21" t="s">
        <v>121</v>
      </c>
      <c r="T21" t="s">
        <v>121</v>
      </c>
      <c r="V21" t="s">
        <v>121</v>
      </c>
    </row>
    <row r="22" spans="1:22" x14ac:dyDescent="0.35">
      <c r="A22" t="s">
        <v>120</v>
      </c>
      <c r="B22">
        <v>44180</v>
      </c>
      <c r="C22" t="s">
        <v>97</v>
      </c>
      <c r="D22">
        <v>10.510204081632653</v>
      </c>
      <c r="E22" t="s">
        <v>121</v>
      </c>
      <c r="F22">
        <v>1033.795918367347</v>
      </c>
      <c r="H22" t="s">
        <v>121</v>
      </c>
      <c r="J22" t="s">
        <v>121</v>
      </c>
      <c r="L22" t="s">
        <v>121</v>
      </c>
      <c r="N22" t="s">
        <v>121</v>
      </c>
      <c r="P22">
        <v>10.510204081632653</v>
      </c>
      <c r="R22" t="s">
        <v>121</v>
      </c>
      <c r="T22" t="s">
        <v>121</v>
      </c>
      <c r="V22" t="s">
        <v>121</v>
      </c>
    </row>
    <row r="23" spans="1:22" x14ac:dyDescent="0.35">
      <c r="A23" t="s">
        <v>120</v>
      </c>
      <c r="B23">
        <v>44187</v>
      </c>
      <c r="C23" t="s">
        <v>127</v>
      </c>
      <c r="D23">
        <v>14.204081632653061</v>
      </c>
      <c r="E23" t="s">
        <v>121</v>
      </c>
      <c r="F23">
        <v>1048</v>
      </c>
      <c r="H23" t="s">
        <v>121</v>
      </c>
      <c r="J23" t="s">
        <v>121</v>
      </c>
      <c r="L23" t="s">
        <v>121</v>
      </c>
      <c r="N23" t="s">
        <v>121</v>
      </c>
      <c r="P23">
        <v>4.204081632653061</v>
      </c>
      <c r="R23">
        <v>10</v>
      </c>
      <c r="T23" t="s">
        <v>121</v>
      </c>
      <c r="V23" t="s">
        <v>121</v>
      </c>
    </row>
    <row r="24" spans="1:22" x14ac:dyDescent="0.35">
      <c r="A24" t="s">
        <v>120</v>
      </c>
      <c r="B24">
        <v>44194</v>
      </c>
      <c r="C24" t="s">
        <v>98</v>
      </c>
      <c r="D24">
        <v>13.333333333333334</v>
      </c>
      <c r="E24" t="s">
        <v>121</v>
      </c>
      <c r="F24">
        <v>1061.3333333333333</v>
      </c>
      <c r="H24" t="s">
        <v>121</v>
      </c>
      <c r="J24" t="s">
        <v>121</v>
      </c>
      <c r="L24" t="s">
        <v>121</v>
      </c>
      <c r="N24" t="s">
        <v>121</v>
      </c>
      <c r="P24" t="s">
        <v>121</v>
      </c>
      <c r="R24">
        <v>13.333333333333334</v>
      </c>
      <c r="T24" t="s">
        <v>121</v>
      </c>
      <c r="V24" t="s">
        <v>121</v>
      </c>
    </row>
    <row r="25" spans="1:22" x14ac:dyDescent="0.35">
      <c r="A25" t="s">
        <v>120</v>
      </c>
      <c r="B25">
        <v>44201</v>
      </c>
      <c r="C25" t="s">
        <v>98</v>
      </c>
      <c r="D25">
        <v>6.666666666666667</v>
      </c>
      <c r="E25" t="s">
        <v>121</v>
      </c>
      <c r="F25">
        <v>1068</v>
      </c>
      <c r="H25" t="s">
        <v>121</v>
      </c>
      <c r="J25" t="s">
        <v>121</v>
      </c>
      <c r="L25" t="s">
        <v>121</v>
      </c>
      <c r="N25" t="s">
        <v>121</v>
      </c>
      <c r="P25" t="s">
        <v>121</v>
      </c>
      <c r="R25">
        <v>6.666666666666667</v>
      </c>
      <c r="T25" t="s">
        <v>121</v>
      </c>
      <c r="V25" t="s">
        <v>121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zoomScale="85" zoomScaleNormal="85" workbookViewId="0">
      <selection activeCell="S24" sqref="S2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6" t="s">
        <v>81</v>
      </c>
      <c r="AB1" s="87"/>
    </row>
    <row r="2" spans="2:3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0.47272727272727277</v>
      </c>
      <c r="AA2" s="60"/>
      <c r="AB2" s="61"/>
    </row>
    <row r="3" spans="2:3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78">
        <f ca="1">1-O5</f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0.52727272727272723</v>
      </c>
      <c r="O5" s="33">
        <f ca="1">IF(ISERROR(O7/O6), 0, O7/O6)</f>
        <v>0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84" t="str">
        <f>Main!C33</f>
        <v>Sample Sub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(SF)</v>
      </c>
      <c r="K6" s="83"/>
      <c r="L6" s="83"/>
      <c r="M6" s="83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84" t="str">
        <f>RIGHT(Main!B33, LEN(Main!B33) - 4)</f>
        <v>Sample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(SF)</v>
      </c>
      <c r="K7" s="83"/>
      <c r="L7" s="83"/>
      <c r="M7" s="83"/>
      <c r="N7" s="35">
        <f ca="1">VLOOKUP($S$3, INDIRECT("Output_"&amp;$S$2), 5, FALSE)</f>
        <v>4745.454545454545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3" t="str">
        <f>_xlfn.CONCAT("This Week's Production (", IF(ISBLANK($S$6),"",$S$6), ")")</f>
        <v>This Week's Production (SF)</v>
      </c>
      <c r="K8" s="83"/>
      <c r="L8" s="83"/>
      <c r="M8" s="83"/>
      <c r="N8" s="35">
        <f ca="1">VLOOKUP($S$3, INDIRECT("Output_"&amp;$S$2), 3, FALSE)</f>
        <v>272.72727272727275</v>
      </c>
      <c r="O8" s="36" t="str">
        <f ca="1">VLOOKUP($S$3, INDIRECT("Output_"&amp;$S$2), 4, FALSE)</f>
        <v/>
      </c>
      <c r="R8" s="24" t="s">
        <v>50</v>
      </c>
      <c r="S8" s="26" t="s">
        <v>80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3" t="str">
        <f>_xlfn.CONCAT("Weekly Average (", IF(ISBLANK($S$6),"",$S$6), ")")</f>
        <v>Weekly Average (SF)</v>
      </c>
      <c r="K9" s="83"/>
      <c r="L9" s="83"/>
      <c r="M9" s="83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115</v>
      </c>
      <c r="U9" s="92" t="s">
        <v>117</v>
      </c>
      <c r="V9" s="92"/>
      <c r="W9" s="92"/>
      <c r="X9" s="92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3" t="str">
        <f>_xlfn.CONCAT("Average Past 4 Weeks (", IF(ISBLANK($S$6),"",$S$6), ")")</f>
        <v>Average Past 4 Weeks (SF)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93" t="s">
        <v>157</v>
      </c>
      <c r="V10" s="93"/>
      <c r="W10" s="93"/>
      <c r="X10" s="93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3" t="str">
        <f>_xlfn.CONCAT("On Schedule Average (", IF(ISBLANK($S$6),"",$S$6), ")")</f>
        <v>On Schedule Average (SF)</v>
      </c>
      <c r="K11" s="83"/>
      <c r="L11" s="83"/>
      <c r="M11" s="83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40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93"/>
      <c r="V11" s="93"/>
      <c r="W11" s="93"/>
      <c r="X11" s="93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8" t="s">
        <v>45</v>
      </c>
      <c r="K12" s="88"/>
      <c r="L12" s="88"/>
      <c r="M12" s="88"/>
      <c r="N12" s="89">
        <f ca="1">MAX(INDIRECT("Input_"&amp;$S$2&amp;"[Finish Date]"))</f>
        <v>44105</v>
      </c>
      <c r="O12" s="90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8" t="s">
        <v>46</v>
      </c>
      <c r="K13" s="88"/>
      <c r="L13" s="88"/>
      <c r="M13" s="88"/>
      <c r="N13" s="89" t="e">
        <f ca="1">IF($O$5&gt;0.999, "Completed", WORKDAY($S$3, ROUNDUP((SUM(Input_Template[Total])-(INDIRECT("AF"&amp;MATCH($S$3, Output_Template[Date],0)+13)))/($O$10/COUNTIF($U$2:$U$8, TRUE)),0), Holidays_Table[Holidays]))</f>
        <v>#N/A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82</v>
      </c>
      <c r="AH13" s="64" t="s">
        <v>84</v>
      </c>
      <c r="AI13" s="64" t="s">
        <v>83</v>
      </c>
      <c r="AJ13" s="64" t="s">
        <v>85</v>
      </c>
      <c r="AK13" s="64" t="s">
        <v>86</v>
      </c>
      <c r="AL13" s="64" t="s">
        <v>87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1"/>
      <c r="M15" s="81"/>
      <c r="N15" s="81"/>
      <c r="O15" s="82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4745.454545454545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4" t="str">
        <f>UPPER("Structural Steel 07/01/2020")</f>
        <v>STRUCTURAL STEEL 07/01/2020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4" spans="1:14" x14ac:dyDescent="0.35">
      <c r="A34" s="95" t="s">
        <v>117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7" t="s">
        <v>5</v>
      </c>
      <c r="F1" s="97"/>
      <c r="H1" s="2" t="s">
        <v>9</v>
      </c>
      <c r="J1" t="s">
        <v>146</v>
      </c>
      <c r="L1" s="5" t="s">
        <v>12</v>
      </c>
      <c r="M1" s="5" t="s">
        <v>15</v>
      </c>
      <c r="AB1" t="s">
        <v>118</v>
      </c>
      <c r="AC1" t="s">
        <v>119</v>
      </c>
    </row>
    <row r="2" spans="2:29" ht="15.5" x14ac:dyDescent="0.35">
      <c r="B2" s="98" t="s">
        <v>6</v>
      </c>
      <c r="C2" s="98"/>
      <c r="E2" t="s">
        <v>0</v>
      </c>
      <c r="F2" t="s">
        <v>7</v>
      </c>
      <c r="H2" t="s">
        <v>3</v>
      </c>
      <c r="J2" t="s">
        <v>136</v>
      </c>
    </row>
    <row r="3" spans="2:29" x14ac:dyDescent="0.35">
      <c r="B3" s="3" t="s">
        <v>10</v>
      </c>
      <c r="C3" s="4" t="s">
        <v>156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153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154</v>
      </c>
      <c r="H7" s="1"/>
      <c r="J7" t="s">
        <v>30</v>
      </c>
    </row>
    <row r="8" spans="2:29" x14ac:dyDescent="0.35">
      <c r="B8" t="s">
        <v>19</v>
      </c>
      <c r="C8" s="4" t="s">
        <v>147</v>
      </c>
      <c r="H8" s="1"/>
      <c r="J8" t="s">
        <v>128</v>
      </c>
    </row>
    <row r="9" spans="2:29" x14ac:dyDescent="0.35">
      <c r="B9" t="s">
        <v>20</v>
      </c>
      <c r="C9" s="4" t="s">
        <v>149</v>
      </c>
      <c r="H9" s="1"/>
      <c r="J9" t="s">
        <v>129</v>
      </c>
    </row>
    <row r="10" spans="2:29" x14ac:dyDescent="0.35">
      <c r="B10" t="s">
        <v>21</v>
      </c>
      <c r="C10" s="4" t="s">
        <v>148</v>
      </c>
      <c r="H10" s="1"/>
      <c r="J10" t="s">
        <v>130</v>
      </c>
    </row>
    <row r="11" spans="2:29" x14ac:dyDescent="0.35">
      <c r="B11" t="s">
        <v>88</v>
      </c>
      <c r="C11" s="4" t="s">
        <v>90</v>
      </c>
      <c r="H11" s="1"/>
      <c r="J11" t="s">
        <v>131</v>
      </c>
    </row>
    <row r="12" spans="2:29" x14ac:dyDescent="0.35">
      <c r="H12" s="1"/>
      <c r="J12" t="s">
        <v>132</v>
      </c>
    </row>
    <row r="13" spans="2:29" x14ac:dyDescent="0.35">
      <c r="H13" s="1"/>
      <c r="J13" t="s">
        <v>133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D47" sqref="D4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0" t="str">
        <f>"PROGRESS REPORT "&amp; TEXT(Report_Date, "mm/dd/yyy")</f>
        <v>PROGRESS REPORT 07/01/2020</v>
      </c>
      <c r="C2" s="100"/>
      <c r="D2" s="100"/>
      <c r="E2" s="100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44013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99" t="s">
        <v>26</v>
      </c>
      <c r="C11" s="99"/>
      <c r="D11" s="99"/>
      <c r="E11" s="99"/>
      <c r="F11" s="23"/>
      <c r="G11" s="23"/>
      <c r="H11" s="23"/>
      <c r="I11" s="23"/>
      <c r="J11" s="23"/>
      <c r="K11" t="s">
        <v>137</v>
      </c>
    </row>
    <row r="12" spans="2:11" hidden="1" x14ac:dyDescent="0.35">
      <c r="B12" s="13"/>
      <c r="G12" s="1"/>
      <c r="H12" s="17"/>
    </row>
    <row r="13" spans="2:11" ht="15" hidden="1" x14ac:dyDescent="0.35">
      <c r="B13" s="99" t="s">
        <v>27</v>
      </c>
      <c r="C13" s="99"/>
      <c r="D13" s="99"/>
      <c r="E13" s="99"/>
      <c r="F13" s="23"/>
      <c r="G13" s="23"/>
      <c r="H13" s="23"/>
      <c r="I13" s="23"/>
      <c r="J13" s="23"/>
      <c r="K13" t="s">
        <v>137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99" t="s">
        <v>28</v>
      </c>
      <c r="C15" s="99"/>
      <c r="D15" s="99"/>
      <c r="E15" s="99"/>
      <c r="F15" s="23"/>
      <c r="G15" s="23"/>
      <c r="H15" s="23"/>
      <c r="I15" s="23"/>
      <c r="J15" s="23"/>
      <c r="K15" t="s">
        <v>137</v>
      </c>
    </row>
    <row r="16" spans="2:11" x14ac:dyDescent="0.35">
      <c r="B16" s="9" t="s">
        <v>152</v>
      </c>
      <c r="C16" s="77" t="s">
        <v>150</v>
      </c>
      <c r="D16" s="10">
        <f ca="1">'0501'!N5</f>
        <v>0</v>
      </c>
      <c r="E16" s="10">
        <f ca="1">'0501'!O5</f>
        <v>0.10714285714285712</v>
      </c>
      <c r="G16" s="22"/>
      <c r="H16" s="17" t="s">
        <v>151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99" t="s">
        <v>29</v>
      </c>
      <c r="C18" s="99"/>
      <c r="D18" s="99"/>
      <c r="E18" s="99"/>
      <c r="F18" s="23"/>
      <c r="G18" s="23"/>
      <c r="H18" s="23"/>
      <c r="I18" s="23"/>
      <c r="J18" s="23"/>
      <c r="K18" t="s">
        <v>137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99" t="s">
        <v>30</v>
      </c>
      <c r="C20" s="99"/>
      <c r="D20" s="99"/>
      <c r="E20" s="99"/>
      <c r="F20" s="23"/>
      <c r="G20" s="23"/>
      <c r="H20" s="23"/>
      <c r="I20" s="23"/>
      <c r="J20" s="23"/>
      <c r="K20" t="s">
        <v>137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99" t="s">
        <v>128</v>
      </c>
      <c r="C22" s="99"/>
      <c r="D22" s="99"/>
      <c r="E22" s="99"/>
      <c r="F22" s="23"/>
      <c r="G22" s="23"/>
      <c r="H22" s="23"/>
      <c r="I22" s="23"/>
      <c r="J22" s="23"/>
      <c r="K22" t="s">
        <v>137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99" t="s">
        <v>129</v>
      </c>
      <c r="C24" s="99"/>
      <c r="D24" s="99"/>
      <c r="E24" s="99"/>
      <c r="F24" s="23"/>
      <c r="G24" s="23"/>
      <c r="H24" s="23"/>
      <c r="I24" s="23"/>
      <c r="J24" s="23"/>
      <c r="K24" t="s">
        <v>137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99" t="s">
        <v>130</v>
      </c>
      <c r="C26" s="99"/>
      <c r="D26" s="99"/>
      <c r="E26" s="99"/>
      <c r="F26" s="23"/>
      <c r="G26" s="23"/>
      <c r="H26" s="23"/>
      <c r="I26" s="23"/>
      <c r="J26" s="23"/>
      <c r="K26" t="s">
        <v>137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99" t="s">
        <v>131</v>
      </c>
      <c r="C28" s="99"/>
      <c r="D28" s="99"/>
      <c r="E28" s="99"/>
      <c r="F28" s="23"/>
      <c r="G28" s="23"/>
      <c r="H28" s="23"/>
      <c r="I28" s="23"/>
      <c r="J28" s="23"/>
      <c r="K28" t="s">
        <v>137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99" t="s">
        <v>132</v>
      </c>
      <c r="C30" s="99"/>
      <c r="D30" s="99"/>
      <c r="E30" s="99"/>
      <c r="F30" s="23"/>
      <c r="G30" s="23"/>
      <c r="H30" s="23"/>
      <c r="I30" s="23"/>
      <c r="J30" s="23"/>
      <c r="K30" t="s">
        <v>137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99" t="s">
        <v>133</v>
      </c>
      <c r="C32" s="99"/>
      <c r="D32" s="99"/>
      <c r="E32" s="99"/>
      <c r="F32" s="23"/>
      <c r="G32" s="23"/>
      <c r="H32" s="23"/>
      <c r="I32" s="23"/>
      <c r="J32" s="23"/>
      <c r="K32" t="s">
        <v>137</v>
      </c>
    </row>
    <row r="33" spans="2:8" x14ac:dyDescent="0.35">
      <c r="B33" s="9" t="s">
        <v>155</v>
      </c>
      <c r="C33" s="75" t="s">
        <v>134</v>
      </c>
      <c r="G33" s="22"/>
      <c r="H33" s="17" t="s">
        <v>135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S30" sqref="S30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e">
        <f>Main!#REF!</f>
        <v>#REF!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84" t="e">
        <f>RIGHT(Main!#REF!, LEN(Main!#REF!) - 4)</f>
        <v>#REF!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3" t="str">
        <f>_xlfn.CONCAT("This Week's Production (", IF(ISBLANK($S$6),"",$S$6), ")")</f>
        <v>This Week's Production (Count)</v>
      </c>
      <c r="K8" s="83"/>
      <c r="L8" s="83"/>
      <c r="M8" s="83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115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3" t="str">
        <f>_xlfn.CONCAT("Average Past 4 Weeks (", IF(ISBLANK($S$6),"",$S$6), ")")</f>
        <v>Average Past 4 Weeks (Count)</v>
      </c>
      <c r="K10" s="83"/>
      <c r="L10" s="83"/>
      <c r="M10" s="83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3" t="str">
        <f>_xlfn.CONCAT("On Schedule Average (", IF(ISBLANK($S$6),"",$S$6), ")")</f>
        <v>On Schedule Average (Count)</v>
      </c>
      <c r="K11" s="83"/>
      <c r="L11" s="83"/>
      <c r="M11" s="83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8" t="s">
        <v>46</v>
      </c>
      <c r="K13" s="88"/>
      <c r="L13" s="88"/>
      <c r="M13" s="88"/>
      <c r="N13" s="89"/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141</v>
      </c>
      <c r="T17" s="66" t="s">
        <v>96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145</v>
      </c>
      <c r="T18" s="66" t="s">
        <v>97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144</v>
      </c>
      <c r="T19" s="66" t="s">
        <v>98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143</v>
      </c>
      <c r="T20" s="66" t="s">
        <v>99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142</v>
      </c>
      <c r="T21" s="66" t="s">
        <v>100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T32" sqref="T32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10">
        <f ca="1">1-O5</f>
        <v>0.8928571428571429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0.10714285714285712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str">
        <f>Main!C16</f>
        <v>Glassey Steel Works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84" t="str">
        <f>RIGHT(Main!B16, LEN(Main!B16) - 4)</f>
        <v>Structural Steel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>
        <f ca="1">VLOOKUP($S$3, INDIRECT("Output_"&amp;$S$2), 5, FALSE)</f>
        <v>0</v>
      </c>
      <c r="O7" s="36">
        <f ca="1">_xlfn.IFNA(VLOOKUP($S$3, INDIRECT("Output_"&amp;$S$2), 6, FALSE), 0)</f>
        <v>144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83" t="str">
        <f>_xlfn.CONCAT("This Week's Production (", IF(ISBLANK($S$6),"",$S$6), ")")</f>
        <v>This Week's Production (Count)</v>
      </c>
      <c r="K8" s="83"/>
      <c r="L8" s="83"/>
      <c r="M8" s="83"/>
      <c r="N8" s="35">
        <f ca="1">VLOOKUP($S$3, INDIRECT("Output_"&amp;$S$2), 3, FALSE)</f>
        <v>0</v>
      </c>
      <c r="O8" s="36">
        <f ca="1">VLOOKUP($S$3, INDIRECT("Output_"&amp;$S$2), 4, FALSE)</f>
        <v>69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28.8</v>
      </c>
      <c r="T9" s="24" t="s">
        <v>115</v>
      </c>
      <c r="U9" s="92" t="s">
        <v>117</v>
      </c>
      <c r="V9" s="92"/>
      <c r="W9" s="92"/>
      <c r="X9" s="92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83" t="str">
        <f>_xlfn.CONCAT("Average Past 4 Weeks (", IF(ISBLANK($S$6),"",$S$6), ")")</f>
        <v>Average Past 4 Weeks (Count)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24" t="s">
        <v>116</v>
      </c>
      <c r="U10" s="93"/>
      <c r="V10" s="93"/>
      <c r="W10" s="93"/>
      <c r="X10" s="93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83" t="str">
        <f>_xlfn.CONCAT("On Schedule Average (", IF(ISBLANK($S$6),"",$S$6), ")")</f>
        <v>On Schedule Average (Count)</v>
      </c>
      <c r="K11" s="83"/>
      <c r="L11" s="83"/>
      <c r="M11" s="83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3"/>
      <c r="V11" s="93"/>
      <c r="W11" s="93"/>
      <c r="X11" s="93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8" t="s">
        <v>46</v>
      </c>
      <c r="K13" s="88"/>
      <c r="L13" s="88"/>
      <c r="M13" s="88"/>
      <c r="N13" s="89">
        <f ca="1">IF($O$5&gt;0.999, "Completed", WORKDAY($S$3, ROUNDUP((SUM(Input_0501[Total])-(INDIRECT("AF"&amp;MATCH($S$3, Output_0501[Date],0)+13)))/($O$10/COUNTIF($U$2:$U$8, TRUE)),0), Holidays_Table[Holidays]))</f>
        <v>44285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77">
        <v>202</v>
      </c>
      <c r="X14" s="77">
        <v>143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77">
        <v>324</v>
      </c>
      <c r="X16" s="77">
        <v>1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8">
        <f ca="1">SUM($AC$14:AC16)</f>
        <v>0</v>
      </c>
      <c r="AF16" s="58">
        <f>IF(AD16="",NA(),SUM($AD$14:AD16))</f>
        <v>36</v>
      </c>
      <c r="AG16" s="58" t="str">
        <f ca="1">WeeklyPlanned(Output_0501[[#Headers],[WP_ABC]], Output_0501[[#This Row],[Date]])</f>
        <v/>
      </c>
      <c r="AH16" s="58">
        <v>17</v>
      </c>
      <c r="AI16" s="58" t="str">
        <f ca="1">WeeklyPlanned(Output_0501[[#Headers],[WP_ACS]], Output_0501[[#This Row],[Date]])</f>
        <v/>
      </c>
      <c r="AJ16" s="58">
        <v>0</v>
      </c>
      <c r="AK16" s="58" t="str">
        <f ca="1">WeeklyPlanned(Output_0501[[#Headers],[WP_AL1]], Output_0501[[#This Row],[Date]])</f>
        <v/>
      </c>
      <c r="AL16" s="58">
        <v>0</v>
      </c>
      <c r="AM16" s="58" t="str">
        <f ca="1">WeeklyPlanned(Output_0501[[#Headers],[WP_HBase]], Output_0501[[#This Row],[Date]])</f>
        <v/>
      </c>
      <c r="AN16" s="58">
        <v>0</v>
      </c>
      <c r="AO16" s="58" t="str">
        <f ca="1">WeeklyPlanned(Output_0501[[#Headers],[WP_HWST]], Output_0501[[#This Row],[Date]])</f>
        <v/>
      </c>
      <c r="AP16" s="58">
        <v>0</v>
      </c>
      <c r="AQ16" s="58" t="str">
        <f ca="1">WeeklyPlanned(Output_0501[[#Headers],[WP_HWSR]], Output_0501[[#This Row],[Date]])</f>
        <v/>
      </c>
      <c r="AR16" s="58">
        <v>0</v>
      </c>
      <c r="AS16" s="58" t="str">
        <f ca="1">WeeklyPlanned(Output_0501[[#Headers],[WP_HL2]], Output_0501[[#This Row],[Date]])</f>
        <v/>
      </c>
      <c r="AT16" s="58">
        <v>0</v>
      </c>
      <c r="AU16" s="58" t="str">
        <f ca="1">WeeklyPlanned(Output_0501[[#Headers],[WP_HBCeil]], Output_0501[[#This Row],[Date]])</f>
        <v/>
      </c>
      <c r="AV16" s="58">
        <v>0</v>
      </c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141</v>
      </c>
      <c r="T17" s="66" t="s">
        <v>96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8">
        <f ca="1">SUM($AC$14:AC17)</f>
        <v>0</v>
      </c>
      <c r="AF17" s="58">
        <f>IF(AD17="",NA(),SUM($AD$14:AD17))</f>
        <v>75</v>
      </c>
      <c r="AG17" s="58" t="str">
        <f ca="1">WeeklyPlanned(Output_0501[[#Headers],[WP_ABC]], Output_0501[[#This Row],[Date]])</f>
        <v/>
      </c>
      <c r="AH17" s="58">
        <v>39</v>
      </c>
      <c r="AI17" s="58" t="str">
        <f ca="1">WeeklyPlanned(Output_0501[[#Headers],[WP_ACS]], Output_0501[[#This Row],[Date]])</f>
        <v/>
      </c>
      <c r="AJ17" s="58">
        <v>0</v>
      </c>
      <c r="AK17" s="58" t="str">
        <f ca="1">WeeklyPlanned(Output_0501[[#Headers],[WP_AL1]], Output_0501[[#This Row],[Date]])</f>
        <v/>
      </c>
      <c r="AL17" s="58">
        <v>0</v>
      </c>
      <c r="AM17" s="58" t="str">
        <f ca="1">WeeklyPlanned(Output_0501[[#Headers],[WP_HBase]], Output_0501[[#This Row],[Date]])</f>
        <v/>
      </c>
      <c r="AN17" s="58">
        <v>0</v>
      </c>
      <c r="AO17" s="58" t="str">
        <f ca="1">WeeklyPlanned(Output_0501[[#Headers],[WP_HWST]], Output_0501[[#This Row],[Date]])</f>
        <v/>
      </c>
      <c r="AP17" s="58">
        <v>0</v>
      </c>
      <c r="AQ17" s="58" t="str">
        <f ca="1">WeeklyPlanned(Output_0501[[#Headers],[WP_HWSR]], Output_0501[[#This Row],[Date]])</f>
        <v/>
      </c>
      <c r="AR17" s="58">
        <v>0</v>
      </c>
      <c r="AS17" s="58" t="str">
        <f ca="1">WeeklyPlanned(Output_0501[[#Headers],[WP_HL2]], Output_0501[[#This Row],[Date]])</f>
        <v/>
      </c>
      <c r="AT17" s="58">
        <v>0</v>
      </c>
      <c r="AU17" s="58" t="str">
        <f ca="1">WeeklyPlanned(Output_0501[[#Headers],[WP_HBCeil]], Output_0501[[#This Row],[Date]])</f>
        <v/>
      </c>
      <c r="AV17" s="58">
        <v>0</v>
      </c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145</v>
      </c>
      <c r="T18" s="66" t="s">
        <v>97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8">
        <f ca="1">SUM($AC$14:AC18)</f>
        <v>0</v>
      </c>
      <c r="AF18" s="58">
        <f>IF(AD18="",NA(),SUM($AD$14:AD18))</f>
        <v>144</v>
      </c>
      <c r="AG18" s="58" t="str">
        <f ca="1">WeeklyPlanned(Output_0501[[#Headers],[WP_ABC]], Output_0501[[#This Row],[Date]])</f>
        <v/>
      </c>
      <c r="AH18" s="58">
        <v>68</v>
      </c>
      <c r="AI18" s="58" t="str">
        <f ca="1">WeeklyPlanned(Output_0501[[#Headers],[WP_ACS]], Output_0501[[#This Row],[Date]])</f>
        <v/>
      </c>
      <c r="AJ18" s="58">
        <v>0</v>
      </c>
      <c r="AK18" s="58" t="str">
        <f ca="1">WeeklyPlanned(Output_0501[[#Headers],[WP_AL1]], Output_0501[[#This Row],[Date]])</f>
        <v/>
      </c>
      <c r="AL18" s="58">
        <v>1</v>
      </c>
      <c r="AM18" s="58" t="str">
        <f ca="1">WeeklyPlanned(Output_0501[[#Headers],[WP_HBase]], Output_0501[[#This Row],[Date]])</f>
        <v/>
      </c>
      <c r="AN18" s="58">
        <v>0</v>
      </c>
      <c r="AO18" s="58" t="str">
        <f ca="1">WeeklyPlanned(Output_0501[[#Headers],[WP_HWST]], Output_0501[[#This Row],[Date]])</f>
        <v/>
      </c>
      <c r="AP18" s="58">
        <v>0</v>
      </c>
      <c r="AQ18" s="58" t="str">
        <f ca="1">WeeklyPlanned(Output_0501[[#Headers],[WP_HWSR]], Output_0501[[#This Row],[Date]])</f>
        <v/>
      </c>
      <c r="AR18" s="58">
        <v>0</v>
      </c>
      <c r="AS18" s="58" t="str">
        <f ca="1">WeeklyPlanned(Output_0501[[#Headers],[WP_HL2]], Output_0501[[#This Row],[Date]])</f>
        <v/>
      </c>
      <c r="AT18" s="58">
        <v>0</v>
      </c>
      <c r="AU18" s="58" t="str">
        <f ca="1">WeeklyPlanned(Output_0501[[#Headers],[WP_HBCeil]], Output_0501[[#This Row],[Date]])</f>
        <v/>
      </c>
      <c r="AV18" s="58">
        <v>0</v>
      </c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144</v>
      </c>
      <c r="T19" s="66" t="s">
        <v>98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143</v>
      </c>
      <c r="T20" s="66" t="s">
        <v>99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142</v>
      </c>
      <c r="T21" s="66" t="s">
        <v>100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20.2</v>
      </c>
      <c r="AF22" s="58" t="e">
        <f>IF(AD22="",NA(),SUM($AD$14:AD22))</f>
        <v>#N/A</v>
      </c>
      <c r="AG22" s="58">
        <f ca="1">WeeklyPlanned(Output_0501[[#Headers],[WP_ABC]], Output_0501[[#This Row],[Date]])</f>
        <v>20.2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121.2</v>
      </c>
      <c r="AF23" s="58" t="e">
        <f>IF(AD23="",NA(),SUM($AD$14:AD23))</f>
        <v>#N/A</v>
      </c>
      <c r="AG23" s="58">
        <f ca="1">WeeklyPlanned(Output_0501[[#Headers],[WP_ABC]], Output_0501[[#This Row],[Date]])</f>
        <v>101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202</v>
      </c>
      <c r="AF24" s="58" t="e">
        <f>IF(AD24="",NA(),SUM($AD$14:AD24))</f>
        <v>#N/A</v>
      </c>
      <c r="AG24" s="58">
        <f ca="1">WeeklyPlanned(Output_0501[[#Headers],[WP_ABC]], Output_0501[[#This Row],[Date]])</f>
        <v>80.8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202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202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202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202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204.41666666666666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216.5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228.58333333333334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345.93333333333334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466.38095238095241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577.57142857142867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671.92857142857156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911.88571428571436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129.6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1134.7428571428572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162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32.4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2020-07-14T21:35:40Z</cp:lastPrinted>
  <dcterms:created xsi:type="dcterms:W3CDTF">2019-04-09T17:53:55Z</dcterms:created>
  <dcterms:modified xsi:type="dcterms:W3CDTF">2020-07-14T23:19:51Z</dcterms:modified>
</cp:coreProperties>
</file>