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E4185E04-5CBF-4212-A3C4-1CBDAE28833B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AG15" i="10"/>
  <c r="AI15" i="3"/>
  <c r="I16" i="2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O45" i="10"/>
  <c r="AO31" i="10"/>
  <c r="AQ37" i="10"/>
  <c r="AI36" i="10"/>
  <c r="AU22" i="10"/>
  <c r="AI18" i="10"/>
  <c r="AQ36" i="10"/>
  <c r="AG28" i="10"/>
  <c r="AM42" i="10"/>
  <c r="AU20" i="10"/>
  <c r="AU24" i="10"/>
  <c r="AS21" i="10"/>
  <c r="AG33" i="10"/>
  <c r="AI38" i="10"/>
  <c r="AS23" i="10"/>
  <c r="AS19" i="10"/>
  <c r="AK27" i="10"/>
  <c r="AQ38" i="10"/>
  <c r="AQ42" i="10"/>
  <c r="AO15" i="10"/>
  <c r="AK25" i="10"/>
  <c r="AS41" i="10"/>
  <c r="AK15" i="10"/>
  <c r="AI23" i="10"/>
  <c r="AM45" i="10"/>
  <c r="AM16" i="10"/>
  <c r="AM17" i="10"/>
  <c r="AQ18" i="10"/>
  <c r="AS42" i="10"/>
  <c r="AK18" i="10"/>
  <c r="AM18" i="10"/>
  <c r="AS24" i="10"/>
  <c r="AO43" i="10"/>
  <c r="AG43" i="10"/>
  <c r="AG40" i="10"/>
  <c r="AM37" i="10"/>
  <c r="AK32" i="10"/>
  <c r="AM34" i="10"/>
  <c r="AS16" i="10"/>
  <c r="AG23" i="10"/>
  <c r="AO29" i="10"/>
  <c r="AG14" i="10"/>
  <c r="AU19" i="10"/>
  <c r="AO16" i="10"/>
  <c r="AS39" i="10"/>
  <c r="AS35" i="10"/>
  <c r="AK19" i="10"/>
  <c r="AM38" i="10"/>
  <c r="AK33" i="10"/>
  <c r="AQ34" i="10"/>
  <c r="AI24" i="10"/>
  <c r="AI37" i="10"/>
  <c r="AI17" i="10"/>
  <c r="AQ45" i="10"/>
  <c r="AG36" i="10"/>
  <c r="AQ30" i="10"/>
  <c r="AI32" i="10"/>
  <c r="AQ31" i="10"/>
  <c r="AU39" i="10"/>
  <c r="AQ22" i="10"/>
  <c r="AS37" i="10"/>
  <c r="AM29" i="10"/>
  <c r="AU36" i="10"/>
  <c r="AK37" i="10"/>
  <c r="AK20" i="10"/>
  <c r="AG18" i="10"/>
  <c r="AK23" i="10"/>
  <c r="AS14" i="10"/>
  <c r="AO30" i="10"/>
  <c r="AQ26" i="10"/>
  <c r="AI14" i="10"/>
  <c r="AQ25" i="10"/>
  <c r="AS38" i="10"/>
  <c r="AI33" i="10"/>
  <c r="AO34" i="10"/>
  <c r="AG37" i="10"/>
  <c r="AG16" i="10"/>
  <c r="AS45" i="10"/>
  <c r="AI19" i="10"/>
  <c r="AM14" i="10"/>
  <c r="AK21" i="10"/>
  <c r="AM32" i="10"/>
  <c r="AO17" i="10"/>
  <c r="AO36" i="10"/>
  <c r="AU37" i="10"/>
  <c r="AG26" i="10"/>
  <c r="AS31" i="10"/>
  <c r="AI27" i="10"/>
  <c r="AO40" i="10"/>
  <c r="AO38" i="10"/>
  <c r="AG30" i="10"/>
  <c r="AU38" i="10"/>
  <c r="AQ29" i="10"/>
  <c r="AU17" i="10"/>
  <c r="AK16" i="10"/>
  <c r="AM39" i="10"/>
  <c r="AO35" i="10"/>
  <c r="AU31" i="10"/>
  <c r="AK39" i="10"/>
  <c r="AG35" i="10"/>
  <c r="AS34" i="10"/>
  <c r="AS36" i="10"/>
  <c r="AS15" i="10"/>
  <c r="AI22" i="10"/>
  <c r="AG24" i="10"/>
  <c r="AI21" i="10"/>
  <c r="AO14" i="10"/>
  <c r="AS28" i="10"/>
  <c r="AQ24" i="10"/>
  <c r="AU45" i="10"/>
  <c r="AO37" i="10"/>
  <c r="AU27" i="10"/>
  <c r="AK35" i="10"/>
  <c r="AQ41" i="10"/>
  <c r="AK36" i="10"/>
  <c r="AM20" i="10"/>
  <c r="AS25" i="10"/>
  <c r="AO23" i="10"/>
  <c r="AU29" i="10"/>
  <c r="AK34" i="10"/>
  <c r="AG19" i="10"/>
  <c r="AI29" i="10"/>
  <c r="AM22" i="10"/>
  <c r="AG41" i="10"/>
  <c r="AO44" i="10"/>
  <c r="AK24" i="10"/>
  <c r="AU23" i="10"/>
  <c r="AK41" i="10"/>
  <c r="AU15" i="10"/>
  <c r="AG45" i="10"/>
  <c r="AO27" i="10"/>
  <c r="AM36" i="10"/>
  <c r="AS29" i="10"/>
  <c r="AQ32" i="10"/>
  <c r="AO21" i="10"/>
  <c r="AQ39" i="10"/>
  <c r="AG29" i="10"/>
  <c r="AM25" i="10"/>
  <c r="AG22" i="10"/>
  <c r="AK31" i="10"/>
  <c r="AQ21" i="10"/>
  <c r="AM15" i="10"/>
  <c r="AK17" i="10"/>
  <c r="AG27" i="10"/>
  <c r="AG32" i="10"/>
  <c r="AO28" i="10"/>
  <c r="AO25" i="10"/>
  <c r="AU16" i="10"/>
  <c r="AO24" i="10"/>
  <c r="AU41" i="10"/>
  <c r="AQ43" i="10"/>
  <c r="AQ14" i="10"/>
  <c r="AI44" i="10"/>
  <c r="AM23" i="10"/>
  <c r="AO33" i="10"/>
  <c r="AU26" i="10"/>
  <c r="AG31" i="10"/>
  <c r="AU18" i="10"/>
  <c r="AM26" i="10"/>
  <c r="AG20" i="10"/>
  <c r="AM33" i="10"/>
  <c r="AQ40" i="10"/>
  <c r="AS30" i="10"/>
  <c r="AI43" i="10"/>
  <c r="AI20" i="10"/>
  <c r="AI42" i="10"/>
  <c r="AS40" i="10"/>
  <c r="AM30" i="10"/>
  <c r="AM43" i="10"/>
  <c r="AK26" i="10"/>
  <c r="AQ27" i="10"/>
  <c r="AO22" i="10"/>
  <c r="AG42" i="10"/>
  <c r="AQ16" i="10"/>
  <c r="AK28" i="10"/>
  <c r="AM24" i="10"/>
  <c r="AU32" i="10"/>
  <c r="AM40" i="10"/>
  <c r="AO19" i="10"/>
  <c r="AQ17" i="10"/>
  <c r="AS22" i="10"/>
  <c r="AI39" i="10"/>
  <c r="AK40" i="10"/>
  <c r="AU35" i="10"/>
  <c r="AM44" i="10"/>
  <c r="AK44" i="10"/>
  <c r="AM31" i="10"/>
  <c r="AS32" i="10"/>
  <c r="AI40" i="10"/>
  <c r="AO41" i="10"/>
  <c r="AU40" i="10"/>
  <c r="AQ19" i="10"/>
  <c r="AG25" i="10"/>
  <c r="AQ15" i="10"/>
  <c r="AM35" i="10"/>
  <c r="AO26" i="10"/>
  <c r="AO32" i="10"/>
  <c r="AG34" i="10"/>
  <c r="AU14" i="10"/>
  <c r="AQ33" i="10"/>
  <c r="AK22" i="10"/>
  <c r="AK38" i="10"/>
  <c r="AI34" i="10"/>
  <c r="AS44" i="10"/>
  <c r="AM21" i="10"/>
  <c r="AU21" i="10"/>
  <c r="AG17" i="10"/>
  <c r="AK14" i="10"/>
  <c r="AS20" i="10"/>
  <c r="AI15" i="10"/>
  <c r="AU44" i="10"/>
  <c r="AO20" i="10"/>
  <c r="AG39" i="10"/>
  <c r="AQ23" i="10"/>
  <c r="AU33" i="10"/>
  <c r="AI31" i="10"/>
  <c r="AM27" i="10"/>
  <c r="AG21" i="10"/>
  <c r="AG38" i="10"/>
  <c r="AI25" i="10"/>
  <c r="AK43" i="10"/>
  <c r="AQ20" i="10"/>
  <c r="AS43" i="10"/>
  <c r="AU28" i="10"/>
  <c r="AM19" i="10"/>
  <c r="AU25" i="10"/>
  <c r="AI28" i="10"/>
  <c r="AU42" i="10"/>
  <c r="AQ28" i="10"/>
  <c r="AI41" i="10"/>
  <c r="AQ44" i="10"/>
  <c r="AS18" i="10"/>
  <c r="AI45" i="10"/>
  <c r="AK30" i="10"/>
  <c r="AI26" i="10"/>
  <c r="AO39" i="10"/>
  <c r="AI30" i="10"/>
  <c r="AU30" i="10"/>
  <c r="AK42" i="10"/>
  <c r="AM28" i="10"/>
  <c r="AU43" i="10"/>
  <c r="AS33" i="10"/>
  <c r="AK29" i="10"/>
  <c r="AM41" i="10"/>
  <c r="AO18" i="10"/>
  <c r="AO42" i="10"/>
  <c r="AG44" i="10"/>
  <c r="AS26" i="10"/>
  <c r="AS27" i="10"/>
  <c r="AI35" i="10"/>
  <c r="AU34" i="10"/>
  <c r="AQ35" i="10"/>
  <c r="AS17" i="10"/>
  <c r="AI16" i="10"/>
  <c r="AK45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37" i="10"/>
  <c r="AB24" i="10"/>
  <c r="AB28" i="10"/>
  <c r="AB42" i="10"/>
  <c r="AB36" i="10"/>
  <c r="O9" i="10"/>
  <c r="AB15" i="10"/>
  <c r="N12" i="10"/>
  <c r="N6" i="10"/>
  <c r="AB39" i="10"/>
  <c r="AB18" i="10"/>
  <c r="AB27" i="10"/>
  <c r="O6" i="10"/>
  <c r="N8" i="10"/>
  <c r="AB35" i="10"/>
  <c r="O8" i="10"/>
  <c r="AB14" i="10"/>
  <c r="AB33" i="10"/>
  <c r="N10" i="10"/>
  <c r="AB30" i="10"/>
  <c r="AB31" i="10"/>
  <c r="AB23" i="10"/>
  <c r="AB20" i="10"/>
  <c r="AB17" i="10"/>
  <c r="AB38" i="10"/>
  <c r="AB40" i="10"/>
  <c r="AB19" i="10"/>
  <c r="O7" i="10"/>
  <c r="AB43" i="10"/>
  <c r="AB32" i="10"/>
  <c r="AB41" i="10"/>
  <c r="AB25" i="10"/>
  <c r="AB29" i="10"/>
  <c r="AB44" i="10"/>
  <c r="N9" i="10"/>
  <c r="AB22" i="10"/>
  <c r="AB16" i="10"/>
  <c r="AB26" i="10"/>
  <c r="AB45" i="10"/>
  <c r="AB21" i="10"/>
  <c r="AB34" i="10"/>
  <c r="N11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S14" i="4"/>
  <c r="AQ14" i="4"/>
  <c r="AU14" i="4"/>
  <c r="AO14" i="4"/>
  <c r="AM14" i="4"/>
  <c r="AK14" i="4"/>
  <c r="AG14" i="4"/>
  <c r="AI14" i="4"/>
  <c r="AC14" i="4" l="1"/>
  <c r="AE14" i="4" s="1"/>
  <c r="AA15" i="4"/>
  <c r="S4" i="3"/>
  <c r="AQ15" i="4"/>
  <c r="AG15" i="4"/>
  <c r="AB14" i="4"/>
  <c r="N12" i="4"/>
  <c r="AM15" i="4"/>
  <c r="AO15" i="4"/>
  <c r="AI15" i="4"/>
  <c r="AS15" i="4"/>
  <c r="AK15" i="4"/>
  <c r="AU15" i="4"/>
  <c r="N6" i="4"/>
  <c r="AC15" i="4" l="1"/>
  <c r="AA16" i="4"/>
  <c r="S5" i="3"/>
  <c r="AM16" i="4"/>
  <c r="AU16" i="4"/>
  <c r="AO16" i="4"/>
  <c r="AQ16" i="4"/>
  <c r="AI16" i="4"/>
  <c r="AB15" i="4"/>
  <c r="AS16" i="4"/>
  <c r="AK16" i="4"/>
  <c r="AG16" i="4"/>
  <c r="AC16" i="4" l="1"/>
  <c r="AE16" i="4" s="1"/>
  <c r="AE15" i="4"/>
  <c r="AA17" i="4"/>
  <c r="AA14" i="3"/>
  <c r="J11" i="3"/>
  <c r="J10" i="3"/>
  <c r="J9" i="3"/>
  <c r="J8" i="3"/>
  <c r="J7" i="3"/>
  <c r="J6" i="3"/>
  <c r="AB16" i="4"/>
  <c r="AO17" i="4"/>
  <c r="AG17" i="4"/>
  <c r="AU17" i="4"/>
  <c r="AQ17" i="4"/>
  <c r="AK17" i="4"/>
  <c r="AM17" i="4"/>
  <c r="AG14" i="3"/>
  <c r="AS17" i="4"/>
  <c r="AI14" i="3"/>
  <c r="AI17" i="4"/>
  <c r="AK14" i="3"/>
  <c r="AC17" i="4" l="1"/>
  <c r="AC14" i="3"/>
  <c r="AA18" i="4"/>
  <c r="AA15" i="3"/>
  <c r="S7" i="3"/>
  <c r="L14" i="3" s="1"/>
  <c r="S3" i="3"/>
  <c r="S2" i="3"/>
  <c r="AK18" i="4"/>
  <c r="AQ18" i="4"/>
  <c r="AO18" i="4"/>
  <c r="AG18" i="4"/>
  <c r="AI18" i="4"/>
  <c r="AM18" i="4"/>
  <c r="AK15" i="3"/>
  <c r="AB14" i="3"/>
  <c r="AU18" i="4"/>
  <c r="AG15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K16" i="3"/>
  <c r="N6" i="3"/>
  <c r="AG19" i="4"/>
  <c r="AG16" i="3"/>
  <c r="AI19" i="4"/>
  <c r="AI16" i="3"/>
  <c r="AB15" i="3"/>
  <c r="AU19" i="4"/>
  <c r="AK19" i="4"/>
  <c r="AS19" i="4"/>
  <c r="AB18" i="4"/>
  <c r="AO19" i="4"/>
  <c r="AM19" i="4"/>
  <c r="AQ19" i="4"/>
  <c r="AC19" i="4" l="1"/>
  <c r="AE19" i="4" s="1"/>
  <c r="AE18" i="4"/>
  <c r="AC16" i="3"/>
  <c r="AA17" i="3"/>
  <c r="AA20" i="4"/>
  <c r="AU20" i="4"/>
  <c r="AB19" i="4"/>
  <c r="AM20" i="4"/>
  <c r="AG17" i="3"/>
  <c r="AG20" i="4"/>
  <c r="AI17" i="3"/>
  <c r="AQ20" i="4"/>
  <c r="AS20" i="4"/>
  <c r="AK20" i="4"/>
  <c r="AO20" i="4"/>
  <c r="AK17" i="3"/>
  <c r="AB16" i="3"/>
  <c r="AI20" i="4"/>
  <c r="AC20" i="4" l="1"/>
  <c r="AC17" i="3"/>
  <c r="AE16" i="3"/>
  <c r="AA18" i="3"/>
  <c r="AA21" i="4"/>
  <c r="B8" i="2"/>
  <c r="B7" i="2"/>
  <c r="B6" i="2"/>
  <c r="AU21" i="4"/>
  <c r="AI21" i="4"/>
  <c r="AI18" i="3"/>
  <c r="AM21" i="4"/>
  <c r="AG18" i="3"/>
  <c r="AQ21" i="4"/>
  <c r="AO21" i="4"/>
  <c r="AK18" i="3"/>
  <c r="AB17" i="3"/>
  <c r="AG21" i="4"/>
  <c r="AK21" i="4"/>
  <c r="AB20" i="4"/>
  <c r="AS21" i="4"/>
  <c r="AC21" i="4" l="1"/>
  <c r="AE21" i="4" s="1"/>
  <c r="AE20" i="4"/>
  <c r="AA22" i="4"/>
  <c r="AC18" i="3"/>
  <c r="AA19" i="3"/>
  <c r="AE17" i="3"/>
  <c r="B2" i="2"/>
  <c r="B4" i="2"/>
  <c r="AG22" i="4"/>
  <c r="AB21" i="4"/>
  <c r="AB18" i="3"/>
  <c r="AI22" i="4"/>
  <c r="AU22" i="4"/>
  <c r="AK22" i="4"/>
  <c r="AO22" i="4"/>
  <c r="AM22" i="4"/>
  <c r="AG19" i="3"/>
  <c r="AK19" i="3"/>
  <c r="AS22" i="4"/>
  <c r="AQ22" i="4"/>
  <c r="AI19" i="3"/>
  <c r="AC22" i="4" l="1"/>
  <c r="AE22" i="4" s="1"/>
  <c r="AA23" i="4"/>
  <c r="AC19" i="3"/>
  <c r="AE18" i="3"/>
  <c r="AA20" i="3"/>
  <c r="C6" i="1"/>
  <c r="AI20" i="3"/>
  <c r="AB19" i="3"/>
  <c r="AI23" i="4"/>
  <c r="AS23" i="4"/>
  <c r="AK23" i="4"/>
  <c r="AG23" i="4"/>
  <c r="AB22" i="4"/>
  <c r="AU23" i="4"/>
  <c r="AM23" i="4"/>
  <c r="AG20" i="3"/>
  <c r="AO23" i="4"/>
  <c r="AK20" i="3"/>
  <c r="AQ23" i="4"/>
  <c r="AC23" i="4" l="1"/>
  <c r="AE23" i="4" s="1"/>
  <c r="AA24" i="4"/>
  <c r="AC20" i="3"/>
  <c r="AE20" i="3" s="1"/>
  <c r="AA21" i="3"/>
  <c r="AE19" i="3"/>
  <c r="AB20" i="3"/>
  <c r="AO24" i="4"/>
  <c r="AS24" i="4"/>
  <c r="AB23" i="4"/>
  <c r="AI21" i="3"/>
  <c r="AI24" i="4"/>
  <c r="AM24" i="4"/>
  <c r="AK24" i="4"/>
  <c r="AQ24" i="4"/>
  <c r="AK21" i="3"/>
  <c r="AG21" i="3"/>
  <c r="AG24" i="4"/>
  <c r="AU24" i="4"/>
  <c r="AC24" i="4" l="1"/>
  <c r="AA25" i="4"/>
  <c r="AC21" i="3"/>
  <c r="AA22" i="3"/>
  <c r="AS25" i="4"/>
  <c r="AK22" i="3"/>
  <c r="AB24" i="4"/>
  <c r="AK25" i="4"/>
  <c r="AU25" i="4"/>
  <c r="AB21" i="3"/>
  <c r="AI25" i="4"/>
  <c r="AG25" i="4"/>
  <c r="AG22" i="3"/>
  <c r="AM25" i="4"/>
  <c r="AI22" i="3"/>
  <c r="AQ25" i="4"/>
  <c r="AO25" i="4"/>
  <c r="AC25" i="4" l="1"/>
  <c r="AE24" i="4"/>
  <c r="AA26" i="4"/>
  <c r="AC22" i="3"/>
  <c r="AE22" i="3" s="1"/>
  <c r="AA23" i="3"/>
  <c r="AE21" i="3"/>
  <c r="AS26" i="4"/>
  <c r="AK23" i="3"/>
  <c r="AI23" i="3"/>
  <c r="AG26" i="4"/>
  <c r="AU26" i="4"/>
  <c r="AM26" i="4"/>
  <c r="AB22" i="3"/>
  <c r="AQ26" i="4"/>
  <c r="AI26" i="4"/>
  <c r="AB25" i="4"/>
  <c r="AK26" i="4"/>
  <c r="AO26" i="4"/>
  <c r="AG23" i="3"/>
  <c r="AC26" i="4" l="1"/>
  <c r="AE25" i="4"/>
  <c r="AA27" i="4"/>
  <c r="AC23" i="3"/>
  <c r="AA24" i="3"/>
  <c r="AG27" i="4"/>
  <c r="AI24" i="3"/>
  <c r="AM27" i="4"/>
  <c r="AB23" i="3"/>
  <c r="AO27" i="4"/>
  <c r="AQ27" i="4"/>
  <c r="AU27" i="4"/>
  <c r="AG24" i="3"/>
  <c r="AK24" i="3"/>
  <c r="AK27" i="4"/>
  <c r="AI27" i="4"/>
  <c r="AS27" i="4"/>
  <c r="AB26" i="4"/>
  <c r="AC27" i="4" l="1"/>
  <c r="AE26" i="4"/>
  <c r="AA28" i="4"/>
  <c r="AC24" i="3"/>
  <c r="AE23" i="3"/>
  <c r="AA25" i="3"/>
  <c r="AI25" i="3"/>
  <c r="AQ28" i="4"/>
  <c r="AB27" i="4"/>
  <c r="AK25" i="3"/>
  <c r="AO28" i="4"/>
  <c r="AG25" i="3"/>
  <c r="AS28" i="4"/>
  <c r="AG28" i="4"/>
  <c r="AI28" i="4"/>
  <c r="AM28" i="4"/>
  <c r="AK28" i="4"/>
  <c r="AB24" i="3"/>
  <c r="AU28" i="4"/>
  <c r="AC28" i="4" l="1"/>
  <c r="AA29" i="4"/>
  <c r="AE27" i="4"/>
  <c r="AC25" i="3"/>
  <c r="AA26" i="3"/>
  <c r="AE24" i="3"/>
  <c r="AG26" i="3"/>
  <c r="AB28" i="4"/>
  <c r="AI26" i="3"/>
  <c r="AS29" i="4"/>
  <c r="AU29" i="4"/>
  <c r="AO29" i="4"/>
  <c r="AK29" i="4"/>
  <c r="AI29" i="4"/>
  <c r="AK26" i="3"/>
  <c r="AM29" i="4"/>
  <c r="AB25" i="3"/>
  <c r="AQ29" i="4"/>
  <c r="AG29" i="4"/>
  <c r="AC29" i="4" l="1"/>
  <c r="AE28" i="4"/>
  <c r="AA30" i="4"/>
  <c r="AC26" i="3"/>
  <c r="AA27" i="3"/>
  <c r="AE25" i="3"/>
  <c r="AS30" i="4"/>
  <c r="AQ30" i="4"/>
  <c r="AO30" i="4"/>
  <c r="AI27" i="3"/>
  <c r="AM30" i="4"/>
  <c r="AU30" i="4"/>
  <c r="AK30" i="4"/>
  <c r="AI30" i="4"/>
  <c r="AB26" i="3"/>
  <c r="AB29" i="4"/>
  <c r="AG27" i="3"/>
  <c r="AK27" i="3"/>
  <c r="AG30" i="4"/>
  <c r="AC30" i="4" l="1"/>
  <c r="AA31" i="4"/>
  <c r="AE29" i="4"/>
  <c r="AC27" i="3"/>
  <c r="AA28" i="3"/>
  <c r="AE26" i="3"/>
  <c r="AK28" i="3"/>
  <c r="AI31" i="4"/>
  <c r="AB30" i="4"/>
  <c r="AG28" i="3"/>
  <c r="AM31" i="4"/>
  <c r="AU31" i="4"/>
  <c r="AS31" i="4"/>
  <c r="AB27" i="3"/>
  <c r="AI28" i="3"/>
  <c r="AQ31" i="4"/>
  <c r="AK31" i="4"/>
  <c r="AO31" i="4"/>
  <c r="AG31" i="4"/>
  <c r="AC31" i="4" l="1"/>
  <c r="AA32" i="4"/>
  <c r="AE30" i="4"/>
  <c r="AC28" i="3"/>
  <c r="AA29" i="3"/>
  <c r="AE27" i="3"/>
  <c r="AG29" i="3"/>
  <c r="AI29" i="3"/>
  <c r="AK32" i="4"/>
  <c r="AK29" i="3"/>
  <c r="AU32" i="4"/>
  <c r="AB31" i="4"/>
  <c r="AQ32" i="4"/>
  <c r="AO32" i="4"/>
  <c r="AM32" i="4"/>
  <c r="AS32" i="4"/>
  <c r="AI32" i="4"/>
  <c r="AB28" i="3"/>
  <c r="AG32" i="4"/>
  <c r="AC32" i="4" l="1"/>
  <c r="AE31" i="4"/>
  <c r="AA33" i="4"/>
  <c r="AC29" i="3"/>
  <c r="AA30" i="3"/>
  <c r="AE28" i="3"/>
  <c r="AB29" i="3"/>
  <c r="AK30" i="3"/>
  <c r="AS33" i="4"/>
  <c r="AB32" i="4"/>
  <c r="AM33" i="4"/>
  <c r="AO33" i="4"/>
  <c r="AI30" i="3"/>
  <c r="AQ33" i="4"/>
  <c r="AG30" i="3"/>
  <c r="AU33" i="4"/>
  <c r="AK33" i="4"/>
  <c r="AI33" i="4"/>
  <c r="AG33" i="4"/>
  <c r="AC33" i="4" l="1"/>
  <c r="AE32" i="4"/>
  <c r="AA34" i="4"/>
  <c r="AC30" i="3"/>
  <c r="AA31" i="3"/>
  <c r="AE29" i="3"/>
  <c r="AM34" i="4"/>
  <c r="AG34" i="4"/>
  <c r="AK31" i="3"/>
  <c r="AG31" i="3"/>
  <c r="AQ34" i="4"/>
  <c r="AB30" i="3"/>
  <c r="AS34" i="4"/>
  <c r="AK34" i="4"/>
  <c r="AI34" i="4"/>
  <c r="AU34" i="4"/>
  <c r="AO34" i="4"/>
  <c r="AB33" i="4"/>
  <c r="AI31" i="3"/>
  <c r="AC34" i="4" l="1"/>
  <c r="AE33" i="4"/>
  <c r="AA35" i="4"/>
  <c r="AC31" i="3"/>
  <c r="AA32" i="3"/>
  <c r="AE30" i="3"/>
  <c r="AI32" i="3"/>
  <c r="AS35" i="4"/>
  <c r="AO35" i="4"/>
  <c r="AG35" i="4"/>
  <c r="AM35" i="4"/>
  <c r="AQ35" i="4"/>
  <c r="AU35" i="4"/>
  <c r="AG32" i="3"/>
  <c r="AB34" i="4"/>
  <c r="AK32" i="3"/>
  <c r="AB31" i="3"/>
  <c r="AK35" i="4"/>
  <c r="AI35" i="4"/>
  <c r="AC35" i="4" l="1"/>
  <c r="AA36" i="4"/>
  <c r="AE34" i="4"/>
  <c r="AC32" i="3"/>
  <c r="AA33" i="3"/>
  <c r="AE31" i="3"/>
  <c r="N7" i="4"/>
  <c r="AU36" i="4"/>
  <c r="AB32" i="3"/>
  <c r="AG33" i="3"/>
  <c r="AI33" i="3"/>
  <c r="AM36" i="4"/>
  <c r="AG36" i="4"/>
  <c r="N10" i="4"/>
  <c r="O9" i="4"/>
  <c r="AK33" i="3"/>
  <c r="AS36" i="4"/>
  <c r="N8" i="4"/>
  <c r="AI36" i="4"/>
  <c r="O8" i="4"/>
  <c r="O10" i="4"/>
  <c r="AB35" i="4"/>
  <c r="AO36" i="4"/>
  <c r="AK36" i="4"/>
  <c r="AQ36" i="4"/>
  <c r="O7" i="4"/>
  <c r="AC36" i="4" l="1"/>
  <c r="N5" i="4"/>
  <c r="AE35" i="4"/>
  <c r="AC33" i="3"/>
  <c r="AA34" i="3"/>
  <c r="AE32" i="3"/>
  <c r="N9" i="4"/>
  <c r="AI34" i="3"/>
  <c r="AK34" i="3"/>
  <c r="AB33" i="3"/>
  <c r="AG34" i="3"/>
  <c r="O6" i="4"/>
  <c r="AB36" i="4"/>
  <c r="O5" i="4" l="1"/>
  <c r="AE36" i="4"/>
  <c r="AC34" i="3"/>
  <c r="AA35" i="3"/>
  <c r="AE33" i="3"/>
  <c r="AG35" i="3"/>
  <c r="AB34" i="3"/>
  <c r="AK35" i="3"/>
  <c r="AI35" i="3"/>
  <c r="AC35" i="3" l="1"/>
  <c r="AA36" i="3"/>
  <c r="AE34" i="3"/>
  <c r="AB35" i="3"/>
  <c r="AI36" i="3"/>
  <c r="AK36" i="3"/>
  <c r="AG36" i="3"/>
  <c r="AC36" i="3" l="1"/>
  <c r="AA37" i="3"/>
  <c r="AE35" i="3"/>
  <c r="AG37" i="3"/>
  <c r="AK37" i="3"/>
  <c r="AB36" i="3"/>
  <c r="AI37" i="3"/>
  <c r="AC37" i="3" l="1"/>
  <c r="AA38" i="3"/>
  <c r="AE36" i="3"/>
  <c r="AK38" i="3"/>
  <c r="AI38" i="3"/>
  <c r="AB37" i="3"/>
  <c r="AG38" i="3"/>
  <c r="AC38" i="3" l="1"/>
  <c r="AA39" i="3"/>
  <c r="AE37" i="3"/>
  <c r="AI39" i="3"/>
  <c r="AK39" i="3"/>
  <c r="AB38" i="3"/>
  <c r="AG39" i="3"/>
  <c r="AC39" i="3" l="1"/>
  <c r="AA40" i="3"/>
  <c r="AE38" i="3"/>
  <c r="AI40" i="3"/>
  <c r="AK40" i="3"/>
  <c r="AB39" i="3"/>
  <c r="AG40" i="3"/>
  <c r="AC40" i="3" l="1"/>
  <c r="AA41" i="3"/>
  <c r="AE39" i="3"/>
  <c r="AG41" i="3"/>
  <c r="AI41" i="3"/>
  <c r="AB40" i="3"/>
  <c r="AK41" i="3"/>
  <c r="AC41" i="3" l="1"/>
  <c r="AA42" i="3"/>
  <c r="AE40" i="3"/>
  <c r="AG42" i="3"/>
  <c r="AK42" i="3"/>
  <c r="AB41" i="3"/>
  <c r="AI42" i="3"/>
  <c r="AC42" i="3" l="1"/>
  <c r="AA43" i="3"/>
  <c r="AE41" i="3"/>
  <c r="AI43" i="3"/>
  <c r="O7" i="3"/>
  <c r="AK43" i="3"/>
  <c r="N8" i="3"/>
  <c r="O8" i="3"/>
  <c r="N10" i="3"/>
  <c r="AB42" i="3"/>
  <c r="N7" i="3"/>
  <c r="O9" i="3"/>
  <c r="AG43" i="3"/>
  <c r="O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<sst xmlns="http://schemas.openxmlformats.org/spreadsheetml/2006/main" count="540" uniqueCount="163">
  <si>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</si>
  <si>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</si>
  <si>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</si>
  <si>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</si>
  <si>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</si>
  <si>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</si>
  <si>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</si>
  <si>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</si>
  <si>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</si>
  <si>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</si>
  <si>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</si>
  <si>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</si>
  <si>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</si>
  <si>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</si>
  <si>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</si>
  <si>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</si>
  <si>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</si>
  <si>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</si>
  <si>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</si>
  <si>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</si>
  <si>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</si>
  <si>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</si>
  <si>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</si>
  <si>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</si>
  <si>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</si>
  <si>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</si>
  <si>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</si>
  <si>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</si>
  <si>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</si>
  <si>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</si>
  <si>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</si>
  <si>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</si>
  <si>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</si>
  <si>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</si>
  <si>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</si>
  <si>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</si>
  <si>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</si>
  <si>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</si>
  <si>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</si>
  <si>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</si>
  <si>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</si>
  <si>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</si>
  <si>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</si>
  <si>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</si>
  <si>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</si>
  <si>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</si>
  <si>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</si>
  <si>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</si>
  <si>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</si>
  <si>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</si>
  <si>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</si>
  <si>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</si>
  <si>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</si>
  <si>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</si>
  <si>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</si>
  <si>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</si>
  <si>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</si>
  <si>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</si>
  <si>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</si>
  <si>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</si>
  <si>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</si>
  <si>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</si>
  <si>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</si>
  <si>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</si>
  <si>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</si>
  <si>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</si>
  <si>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</si>
  <si>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</si>
  <si>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</si>
  <si>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</si>
  <si>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</si>
  <si>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</si>
  <si>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</si>
  <si>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</si>
  <si>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</si>
  <si>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</si>
  <si>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</si>
  <si>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</si>
  <si>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</si>
  <si>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</si>
  <si>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</si>
  <si>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</si>
  <si>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</si>
  <si>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</si>
  <si>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</si>
  <si>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</si>
  <si>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</si>
  <si>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</si>
  <si>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</si>
  <si>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</si>
  <si>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</si>
  <si>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</si>
  <si>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</si>
  <si>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</si>
  <si>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</si>
  <si>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</si>
  <si>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</si>
  <si>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</si>
  <si>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</si>
  <si>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</si>
  <si>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</si>
  <si>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</si>
  <si>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</si>
  <si>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</si>
  <si>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</si>
  <si>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</si>
  <si>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</si>
  <si>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</si>
  <si>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</si>
  <si>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</si>
  <si>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</si>
  <si>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</si>
  <si>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</si>
  <si>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</si>
  <si>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</si>
  <si>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</si>
  <si>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</si>
  <si>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</si>
  <si>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</si>
  <si>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</si>
  <si>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</si>
  <si>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</si>
  <si>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</si>
  <si>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</si>
  <si>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</si>
  <si>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</si>
  <si>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</si>
  <si>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</si>
  <si>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</si>
  <si>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</si>
  <si>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</si>
  <si>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</si>
  <si>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</si>
  <si>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</si>
  <si>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</si>
  <si>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</si>
  <si>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</si>
  <si>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</si>
  <si>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</si>
  <si>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</si>
  <si>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</si>
  <si>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</si>
  <si>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</si>
  <si>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</si>
  <si>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</si>
  <si>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</si>
  <si>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</si>
  <si>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</si>
  <si>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</si>
  <si>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</si>
  <si>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</si>
  <si>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</si>
  <si>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</si>
  <si>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</si>
  <si>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</si>
  <si>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</si>
  <si>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</si>
  <si>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</si>
  <si>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</si>
  <si>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</si>
  <si>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</si>
  <si>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</si>
  <si>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Not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</si>
</sst>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0AD759E-0DA0-4D19-A8C5-47A680DBED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37352E-A1A0-4FEA-8631-249F7FA4D9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F17FA6-4569-433F-B24F-5651B3894A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2665A9-1459-4197-9B7A-F493A3721C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717495-3379-4FAB-B973-D348E9B056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87FDBC-69FC-4A6D-8BFB-75BFF6C110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6F4562-354B-4DA5-8FCB-8CD77BC995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0CEFD2-5411-4108-8AC6-85AE94FA3B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D6493B-89A1-412E-A711-C84A1DEE70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84BF12-5375-4228-B3B8-3522B688AE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F8B445-9F5C-4A0D-8317-E3F27CB1E5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F68539-4296-4C61-B005-BC7B3F38B6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163142-8112-4EDB-B4FA-0BE3CEB8A5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F9209B-A943-422C-8A74-A171BC78C9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29F540-D4C5-445D-A215-17C5646E9D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4B84D3-E85E-4D5B-B852-E031FD70DA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A13228-A0D5-4A56-BEEC-0B09C5C50A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907B95-4B44-46E9-A533-8B91653D9A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97894A-E076-4B3F-93E7-1CDE5A32C0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DF62F6-0EAD-4F8C-A80D-AD9ED1309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79C15C-9EAC-4EEF-A6E5-BD0B1BF592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EF75A7-C320-4EA6-96BB-E39334AAE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968553-D2A8-45FA-9070-9116115468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AEA972-AC16-4E61-89F8-E3B1268651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6DC87F-52BF-4710-A7AF-777EF923AE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4A505F-783E-4937-9C64-90963D4953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EB5E8E-04E3-4F18-8235-EE2F5847AF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FF8732-D54C-46F4-BADC-4BB6DDBA50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E1EED9-1A09-4965-B60B-C89F305B12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33D5AA-E3C9-4BF4-BD54-A8340A9AFA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F8F840C-C09F-44A5-8544-020DBB9787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EB9260-DBB3-4CBF-B12B-429295CEE5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9FA173-9633-4238-990E-1CDEE2F792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7C738C-12D3-45F3-B827-199A98F9CF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4734FB-746B-41A1-82CB-8760A03AD2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D32AA0-45CB-48CD-B0EB-B83F3F603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D19E84-6F70-40A5-BD3E-660878A30C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9D831F-2C25-4DD2-A5D0-E21DD3DB18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244669-D228-40F1-BFF3-2F5D57D2C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EDB6DF-5BF6-43C2-9DAD-B30212BB15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712155-0276-46E3-9C73-65D2224ABA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A469A8-565E-4334-83C3-D48A7C48CF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51FD24-B393-4565-9D25-BCFC05D0D5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F79C38-0C50-436B-B68A-06F720ED93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962882-3F5D-40A0-B556-1FE4301082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B6098B-B1DC-4955-ACC3-E84FDBD90A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ABEA72-0F4A-42FE-9D03-8028E46FDE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F5315A-35F7-42CC-9C77-F1FE31393A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4113FE-2FA6-4E60-99F8-C37E117BED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704140-0760-4662-9B2A-BFCB0F780B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F534B3-8369-4736-931B-E3C96CE37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6682BC-A412-4D28-94D7-7026787259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C2607A-24BB-4162-8DA5-14438B6F26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1B32E32-3175-4BB7-9048-95BF21B948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A407A0-FC56-4948-8A6F-89724A0BA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DDF83-82D7-4E2D-9E2D-29691E6F65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942031-30A1-44F1-8F4A-A0C9B5C71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61F069-969C-462F-AA7B-FF3474DB50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94A2D5-A3EF-4D71-910C-E821009C4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EEC0CF-B84C-438A-B493-C6D6BD3F8E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CAA04C-908F-43E9-A44B-6D759C8E74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58CB8E-278D-40E6-B39D-85FE9CD14A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5218B9-661A-428F-B129-CE5BD3F723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7232DE-230C-4FD1-9D4B-F573BA24B2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69EAFC-52FA-415A-969D-9E136BF005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BCC09B-C231-4333-B704-27711B6BF0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C27376-8E20-4C3F-A70B-8C6A6A1EC4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58924B-9CCA-45BF-91E5-4A646C9CFE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1F185B-BBF2-4FCE-B9C0-8B2A6B9DF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1C7FBC-4085-4172-B7B1-B2BBE74FC1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42A288-A7E2-4A98-B8DF-C61E4C9D0A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8B0485-A0F3-41D9-801A-E8AA7001BE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CCCCC6-6636-4E1B-9C14-206976E39E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D88395-B08B-4D27-B7A8-EAC36D4F88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38A026-0F42-4CF7-9654-3A08AEAFD8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F34C44-E579-451D-9235-25BBC33620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300B22-1998-4CA3-9C4C-85A3629447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C90C45-0D6E-4745-93E1-D8CF6B9DF9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976EB4-A20D-4C4F-85C1-C3D529AE97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DCB301-070A-4E74-B139-39E2AB626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5DFDB6-8BE5-42C2-8FC7-2B743E78AE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BCB79B-7FEE-460F-9902-7B6379E589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CEA795-CF9E-42A3-83AE-83D90D2C4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84420E-8EBF-4CA8-A604-98826F04EB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56B1C2-5BB5-492D-A4E7-474BCA63DF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70">
        <f ca="1">1-N5</f>
        <v>0.47272727272727277</v>
      </c>
      <c r="AA2" s="53"/>
      <c r="AB2" s="54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70">
        <f ca="1">1-O5</f>
        <v>0.64444444444444438</v>
      </c>
      <c r="AA3" s="53"/>
      <c r="AB3" s="54"/>
      <c r="AC3" s="64">
        <v>43993.726458333331</v>
      </c>
      <c r="AE3" s="38"/>
      <c r="AF3" s="64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3"/>
      <c r="AB4" s="54"/>
      <c r="AC4" s="64">
        <v>43993.726909722223</v>
      </c>
      <c r="AE4" s="38"/>
      <c r="AF4" s="64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3"/>
      <c r="AB5" s="54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3"/>
      <c r="AB6" s="54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157</v>
      </c>
      <c r="V10" s="85"/>
      <c r="W10" s="85"/>
      <c r="X10" s="85"/>
      <c r="AB10" s="66"/>
      <c r="AC10" s="65"/>
      <c r="AD10" s="63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63"/>
      <c r="AD11" s="63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81</v>
      </c>
      <c r="AH13" s="57" t="s">
        <v>83</v>
      </c>
      <c r="AI13" s="57" t="s">
        <v>82</v>
      </c>
      <c r="AJ13" s="57" t="s">
        <v>84</v>
      </c>
      <c r="AK13" s="57" t="s">
        <v>85</v>
      </c>
      <c r="AL13" s="57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J23" sqref="J23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J37" sqref="J37"/>
    </sheetView>
  </sheetViews>
  <sheetFormatPr defaultRowHeight="14" x14ac:dyDescent="0.3"/>
  <cols>
    <col min="1" max="1" width="2.1796875" style="71" customWidth="1"/>
    <col min="2" max="2" width="45.1796875" style="71" customWidth="1"/>
    <col min="3" max="3" width="27.453125" style="71" customWidth="1"/>
    <col min="4" max="5" width="10.81640625" style="10" customWidth="1"/>
    <col min="6" max="6" width="2.26953125" style="71" customWidth="1"/>
    <col min="7" max="7" width="21.54296875" style="65" bestFit="1" customWidth="1"/>
    <col min="8" max="8" width="15.1796875" style="71" customWidth="1"/>
    <col min="9" max="9" width="19.08984375" style="71" bestFit="1" customWidth="1"/>
    <col min="10" max="11" width="14.1796875" style="71" customWidth="1"/>
    <col min="12" max="16384" width="8.7265625" style="71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71" t="str">
        <f>"Project Manager(s): " &amp; Project_Manager</f>
        <v>Project Manager(s): Ryan Thomas</v>
      </c>
      <c r="G6" s="77" t="s">
        <v>16</v>
      </c>
      <c r="H6" s="72">
        <v>44013</v>
      </c>
    </row>
    <row r="7" spans="2:12" x14ac:dyDescent="0.3">
      <c r="B7" s="71" t="str">
        <f>"Project Engineer(s): " &amp; Project_Engineer</f>
        <v>Project Engineer(s): Camron Walker (North Add &amp; Site) &amp; David Adams (Historic)</v>
      </c>
      <c r="G7" s="77" t="s">
        <v>31</v>
      </c>
      <c r="H7" s="73" t="s">
        <v>18</v>
      </c>
    </row>
    <row r="8" spans="2:12" x14ac:dyDescent="0.3">
      <c r="B8" s="71" t="str">
        <f>"Superintendent(s):  " &amp; Superintendent</f>
        <v>Superintendent(s):  Jay W. (North Add), Dion G. (Historic), Jason F. (MEP) &amp; Zac G. (Site)</v>
      </c>
      <c r="G8" s="77" t="s">
        <v>32</v>
      </c>
      <c r="H8" s="74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1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1" t="s">
        <v>136</v>
      </c>
    </row>
    <row r="14" spans="2:12" hidden="1" x14ac:dyDescent="0.3">
      <c r="B14" s="9"/>
      <c r="G14" s="75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1" t="s">
        <v>136</v>
      </c>
    </row>
    <row r="16" spans="2:12" x14ac:dyDescent="0.3">
      <c r="B16" s="9" t="s">
        <v>151</v>
      </c>
      <c r="C16" s="71" t="s">
        <v>149</v>
      </c>
      <c r="D16" s="10">
        <f ca="1">'0501'!N5</f>
        <v>0</v>
      </c>
      <c r="E16" s="10">
        <f ca="1">'0501'!O5</f>
        <v>0.10714285714285712</v>
      </c>
      <c r="G16" s="75"/>
      <c r="H16" s="37" t="s">
        <v>150</v>
      </c>
      <c r="I16" s="76" t="str">
        <f ca="1">IF(Report_Date = INDIRECT(H16 &amp; "!S9"), "Ready", "Not Ready")</f>
        <v>Ready</v>
      </c>
      <c r="J16" s="71" t="s">
        <v>160</v>
      </c>
      <c r="K16" s="71" t="s">
        <v>161</v>
      </c>
    </row>
    <row r="17" spans="2:12" x14ac:dyDescent="0.3">
      <c r="B17" s="9"/>
      <c r="G17" s="75"/>
      <c r="H17" s="37"/>
    </row>
    <row r="18" spans="2:12" ht="15" hidden="1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1" t="s">
        <v>136</v>
      </c>
    </row>
    <row r="19" spans="2:12" hidden="1" x14ac:dyDescent="0.3">
      <c r="B19" s="9"/>
      <c r="G19" s="75"/>
      <c r="H19" s="37"/>
    </row>
    <row r="20" spans="2:12" ht="15" hidden="1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1" t="s">
        <v>136</v>
      </c>
    </row>
    <row r="21" spans="2:12" hidden="1" x14ac:dyDescent="0.3">
      <c r="B21" s="9"/>
      <c r="G21" s="75"/>
      <c r="H21" s="37"/>
    </row>
    <row r="22" spans="2:12" ht="15" hidden="1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1" t="s">
        <v>136</v>
      </c>
    </row>
    <row r="23" spans="2:12" hidden="1" x14ac:dyDescent="0.3">
      <c r="B23" s="9"/>
      <c r="G23" s="75"/>
      <c r="H23" s="37"/>
    </row>
    <row r="24" spans="2:12" ht="15" hidden="1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1" t="s">
        <v>136</v>
      </c>
    </row>
    <row r="25" spans="2:12" hidden="1" x14ac:dyDescent="0.3">
      <c r="B25" s="9"/>
      <c r="G25" s="75"/>
      <c r="H25" s="37"/>
    </row>
    <row r="26" spans="2:12" ht="15" hidden="1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1" t="s">
        <v>136</v>
      </c>
    </row>
    <row r="27" spans="2:12" hidden="1" x14ac:dyDescent="0.3">
      <c r="B27" s="9"/>
      <c r="G27" s="75"/>
      <c r="H27" s="37"/>
    </row>
    <row r="28" spans="2:12" ht="15" hidden="1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1" t="s">
        <v>136</v>
      </c>
    </row>
    <row r="29" spans="2:12" hidden="1" x14ac:dyDescent="0.3">
      <c r="B29" s="9"/>
      <c r="G29" s="75"/>
      <c r="H29" s="37"/>
    </row>
    <row r="30" spans="2:12" ht="15" hidden="1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1" t="s">
        <v>136</v>
      </c>
    </row>
    <row r="31" spans="2:12" hidden="1" x14ac:dyDescent="0.3">
      <c r="B31" s="9"/>
      <c r="G31" s="75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71" t="s">
        <v>136</v>
      </c>
    </row>
    <row r="33" spans="2:10" x14ac:dyDescent="0.3">
      <c r="B33" s="9" t="s">
        <v>154</v>
      </c>
      <c r="C33" s="71" t="s">
        <v>133</v>
      </c>
      <c r="G33" s="75"/>
      <c r="H33" s="37" t="s">
        <v>134</v>
      </c>
      <c r="I33" s="71" t="s">
        <v>162</v>
      </c>
      <c r="J33" s="71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IDontWorkYet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8" t="s">
        <v>80</v>
      </c>
      <c r="AB1" s="79"/>
    </row>
    <row r="2" spans="2:49" ht="14" customHeight="1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0000</v>
      </c>
      <c r="T2" s="17" t="s">
        <v>59</v>
      </c>
      <c r="U2" s="27" t="b">
        <v>1</v>
      </c>
      <c r="AA2" s="53"/>
      <c r="AB2" s="54"/>
    </row>
    <row r="3" spans="2:49" ht="14" customHeight="1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AA3" s="53"/>
      <c r="AB3" s="5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MIN(Input_0000[Start Date])+(7-WEEKDAY(MIN(Input_0000[Start Date]),2)+_xlfn.SWITCH(Reporting_Day, "Sunday", 7, "Monday", 1, "Tuesday", 2, "Wednesday", 3, "Thursday", 4, "Friday", 5, "Saturday", 6))</f>
        <v>44048</v>
      </c>
      <c r="T4" s="17" t="s">
        <v>61</v>
      </c>
      <c r="U4" s="27" t="b">
        <v>1</v>
      </c>
      <c r="AA4" s="53"/>
      <c r="AB4" s="5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MAX(Input_0000[Finish Date])+(7-WEEKDAY(MAX(Input_0000[Finish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e">
        <f>Main!#REF!</f>
        <v>#REF!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1068</v>
      </c>
      <c r="O6" s="29">
        <f ca="1">SUM(INDIRECT("Output_"&amp;$S$2&amp;"[Weekly Plan]"))</f>
        <v>1053.1999999999998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  <c r="AD6" s="38"/>
    </row>
    <row r="7" spans="2:49" ht="15.5" thickBot="1" x14ac:dyDescent="0.35">
      <c r="B7" s="21" t="s">
        <v>44</v>
      </c>
      <c r="C7" s="97" t="e">
        <f>RIGHT(Main!#REF!, LEN(Main!#REF!) - 4)</f>
        <v>#REF!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</row>
    <row r="8" spans="2:49" ht="15" x14ac:dyDescent="0.3">
      <c r="B8" s="30"/>
      <c r="C8" s="52"/>
      <c r="D8" s="52"/>
      <c r="E8" s="52"/>
      <c r="F8" s="52"/>
      <c r="G8" s="52"/>
      <c r="H8" s="52"/>
      <c r="I8" s="52"/>
      <c r="J8" s="90" t="str">
        <f>_xlfn.CONCAT("This Week's Production (", IF(ISBLANK($S$6),"",$S$6), ")")</f>
        <v>This Week's Production (Count)</v>
      </c>
      <c r="K8" s="90"/>
      <c r="L8" s="90"/>
      <c r="M8" s="90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52"/>
      <c r="D9" s="52"/>
      <c r="E9" s="52"/>
      <c r="F9" s="52"/>
      <c r="G9" s="52"/>
      <c r="H9" s="52"/>
      <c r="I9" s="52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45.791304347826078</v>
      </c>
      <c r="O9" s="33" t="e">
        <f ca="1">AVERAGE(INDIRECT("AD14:AD" &amp;MATCH($S$3,INDIRECT("Output_"&amp;$S$2&amp;"[Date]"),0)+13))</f>
        <v>#N/A</v>
      </c>
      <c r="T9" s="17" t="s">
        <v>114</v>
      </c>
      <c r="U9" s="27"/>
    </row>
    <row r="10" spans="2:49" ht="15" x14ac:dyDescent="0.3">
      <c r="B10" s="30"/>
      <c r="C10" s="52"/>
      <c r="D10" s="52"/>
      <c r="E10" s="52"/>
      <c r="F10" s="52"/>
      <c r="G10" s="52"/>
      <c r="H10" s="52"/>
      <c r="I10" s="52"/>
      <c r="J10" s="90" t="str">
        <f>_xlfn.CONCAT("Average Past 4 Weeks (", IF(ISBLANK($S$6),"",$S$6), ")")</f>
        <v>Average Past 4 Weeks (Count)</v>
      </c>
      <c r="K10" s="90"/>
      <c r="L10" s="90"/>
      <c r="M10" s="90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62"/>
    </row>
    <row r="11" spans="2:49" ht="15" x14ac:dyDescent="0.3">
      <c r="B11" s="30"/>
      <c r="C11" s="52"/>
      <c r="D11" s="52"/>
      <c r="E11" s="52"/>
      <c r="F11" s="52"/>
      <c r="G11" s="52"/>
      <c r="H11" s="52"/>
      <c r="I11" s="52"/>
      <c r="J11" s="90" t="str">
        <f>_xlfn.CONCAT("On Schedule Average (", IF(ISBLANK($S$6),"",$S$6), ")")</f>
        <v>On Schedule Average (Count)</v>
      </c>
      <c r="K11" s="90"/>
      <c r="L11" s="90"/>
      <c r="M11" s="90"/>
      <c r="N11" s="32"/>
      <c r="O11" s="33"/>
    </row>
    <row r="12" spans="2:49" ht="15" x14ac:dyDescent="0.3">
      <c r="B12" s="30"/>
      <c r="C12" s="52"/>
      <c r="D12" s="52"/>
      <c r="E12" s="52"/>
      <c r="F12" s="52"/>
      <c r="G12" s="52"/>
      <c r="H12" s="52"/>
      <c r="I12" s="52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52"/>
      <c r="D13" s="52"/>
      <c r="E13" s="52"/>
      <c r="F13" s="52"/>
      <c r="G13" s="52"/>
      <c r="H13" s="52"/>
      <c r="I13" s="52"/>
      <c r="J13" s="80" t="s">
        <v>46</v>
      </c>
      <c r="K13" s="80"/>
      <c r="L13" s="80"/>
      <c r="M13" s="80"/>
      <c r="N13" s="81"/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52"/>
      <c r="D14" s="52"/>
      <c r="E14" s="52"/>
      <c r="F14" s="52"/>
      <c r="G14" s="52"/>
      <c r="H14" s="52"/>
      <c r="I14" s="52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8">
        <v>148</v>
      </c>
      <c r="X14" s="8">
        <v>12</v>
      </c>
      <c r="AA14" s="47">
        <f t="shared" ref="AA14" si="0">IF(AA13 = "Date", $S$4, AA13+7)</f>
        <v>44048</v>
      </c>
      <c r="AB14" s="49" t="str">
        <f t="shared" ref="AB14:AB36" ca="1" si="1">PrimaryAreas(8)</f>
        <v>ABC</v>
      </c>
      <c r="AC1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1">
        <f ca="1">SUM($AC$14:AC14)</f>
        <v>74</v>
      </c>
      <c r="AF14" s="51" t="e">
        <f>IF(AD14="",NA(),SUM($AD$14:AD14))</f>
        <v>#N/A</v>
      </c>
      <c r="AG14" s="51">
        <f ca="1">WeeklyPlanned(Output_0000[[#Headers],[WP_ABC]], Output_0000[[#This Row],[Date]])</f>
        <v>74</v>
      </c>
      <c r="AH14" s="51"/>
      <c r="AI14" s="51" t="str">
        <f ca="1">WeeklyPlanned(Output_0000[[#Headers],[WP_ACS]], Output_0000[[#This Row],[Date]])</f>
        <v/>
      </c>
      <c r="AJ14" s="51"/>
      <c r="AK14" s="51" t="str">
        <f ca="1">WeeklyPlanned(Output_0000[[#Headers],[WP_AL1]], Output_0000[[#This Row],[Date]])</f>
        <v/>
      </c>
      <c r="AL14" s="51"/>
      <c r="AM14" s="51" t="str">
        <f ca="1">WeeklyPlanned(Output_0000[[#Headers],[WP_HBase]], Output_0000[[#This Row],[Date]])</f>
        <v/>
      </c>
      <c r="AN14" s="51"/>
      <c r="AO14" s="51" t="str">
        <f ca="1">WeeklyPlanned(Output_0000[[#Headers],[WP_HWST]], Output_0000[[#This Row],[Date]])</f>
        <v/>
      </c>
      <c r="AP14" s="51"/>
      <c r="AQ14" s="51" t="str">
        <f ca="1">WeeklyPlanned(Output_0000[[#Headers],[WP_HWSR]], Output_0000[[#This Row],[Date]])</f>
        <v/>
      </c>
      <c r="AR14" s="51"/>
      <c r="AS14" s="51" t="str">
        <f ca="1">WeeklyPlanned(Output_0000[[#Headers],[WP_HL2]], Output_0000[[#This Row],[Date]])</f>
        <v/>
      </c>
      <c r="AT14" s="51"/>
      <c r="AU14" s="51" t="str">
        <f ca="1">WeeklyPlanned(Output_0000[[#Headers],[WP_HBCeil]], Output_0000[[#This Row],[Date]])</f>
        <v/>
      </c>
      <c r="AV14" s="51"/>
    </row>
    <row r="15" spans="2:49" ht="16" thickBot="1" x14ac:dyDescent="0.4">
      <c r="B15" s="30"/>
      <c r="C15" s="52"/>
      <c r="D15" s="52"/>
      <c r="E15" s="52"/>
      <c r="F15" s="52"/>
      <c r="G15" s="52"/>
      <c r="H15" s="52"/>
      <c r="I15" s="52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8">
        <v>102</v>
      </c>
      <c r="X15" s="8">
        <v>0</v>
      </c>
      <c r="AA15" s="47">
        <f t="shared" ref="AA15:AA20" si="2">IF(AA14 = "Date", $S$4, AA14+7)</f>
        <v>44055</v>
      </c>
      <c r="AB15" s="49" t="str">
        <f t="shared" ca="1" si="1"/>
        <v>ABC</v>
      </c>
      <c r="AC1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1">
        <f ca="1">SUM($AC$14:AC15)</f>
        <v>133.19999999999999</v>
      </c>
      <c r="AF15" s="51" t="e">
        <f>IF(AD15="",NA(),SUM($AD$14:AD15))</f>
        <v>#N/A</v>
      </c>
      <c r="AG15" s="51">
        <f ca="1">WeeklyPlanned(Output_0000[[#Headers],[WP_ABC]], Output_0000[[#This Row],[Date]])</f>
        <v>59.2</v>
      </c>
      <c r="AH15" s="51"/>
      <c r="AI15" s="51" t="str">
        <f ca="1">WeeklyPlanned(Output_0000[[#Headers],[WP_ACS]], Output_0000[[#This Row],[Date]])</f>
        <v/>
      </c>
      <c r="AJ15" s="51"/>
      <c r="AK15" s="51" t="str">
        <f ca="1">WeeklyPlanned(Output_0000[[#Headers],[WP_AL1]], Output_0000[[#This Row],[Date]])</f>
        <v/>
      </c>
      <c r="AL15" s="51"/>
      <c r="AM15" s="51" t="str">
        <f ca="1">WeeklyPlanned(Output_0000[[#Headers],[WP_HBase]], Output_0000[[#This Row],[Date]])</f>
        <v/>
      </c>
      <c r="AN15" s="51"/>
      <c r="AO15" s="51" t="str">
        <f ca="1">WeeklyPlanned(Output_0000[[#Headers],[WP_HWST]], Output_0000[[#This Row],[Date]])</f>
        <v/>
      </c>
      <c r="AP15" s="51"/>
      <c r="AQ15" s="51" t="str">
        <f ca="1">WeeklyPlanned(Output_0000[[#Headers],[WP_HWSR]], Output_0000[[#This Row],[Date]])</f>
        <v/>
      </c>
      <c r="AR15" s="51"/>
      <c r="AS15" s="51" t="str">
        <f ca="1">WeeklyPlanned(Output_0000[[#Headers],[WP_HL2]], Output_0000[[#This Row],[Date]])</f>
        <v/>
      </c>
      <c r="AT15" s="51"/>
      <c r="AU15" s="51" t="str">
        <f ca="1">WeeklyPlanned(Output_0000[[#Headers],[WP_HBCeil]], Output_0000[[#This Row],[Date]])</f>
        <v/>
      </c>
      <c r="AV15" s="51"/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8">
        <v>279</v>
      </c>
      <c r="X16" s="8">
        <v>0</v>
      </c>
      <c r="AA16" s="47">
        <f t="shared" si="2"/>
        <v>44062</v>
      </c>
      <c r="AB16" s="49">
        <f t="shared" ca="1" si="1"/>
        <v>0</v>
      </c>
      <c r="AC1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1">
        <f ca="1">SUM($AC$14:AC16)</f>
        <v>133.19999999999999</v>
      </c>
      <c r="AF16" s="51" t="e">
        <f>IF(AD16="",NA(),SUM($AD$14:AD16))</f>
        <v>#N/A</v>
      </c>
      <c r="AG16" s="51" t="str">
        <f ca="1">WeeklyPlanned(Output_0000[[#Headers],[WP_ABC]], Output_0000[[#This Row],[Date]])</f>
        <v/>
      </c>
      <c r="AH16" s="51"/>
      <c r="AI16" s="51" t="str">
        <f ca="1">WeeklyPlanned(Output_0000[[#Headers],[WP_ACS]], Output_0000[[#This Row],[Date]])</f>
        <v/>
      </c>
      <c r="AJ16" s="51"/>
      <c r="AK16" s="51" t="str">
        <f ca="1">WeeklyPlanned(Output_0000[[#Headers],[WP_AL1]], Output_0000[[#This Row],[Date]])</f>
        <v/>
      </c>
      <c r="AL16" s="51"/>
      <c r="AM16" s="51" t="str">
        <f ca="1">WeeklyPlanned(Output_0000[[#Headers],[WP_HBase]], Output_0000[[#This Row],[Date]])</f>
        <v/>
      </c>
      <c r="AN16" s="51"/>
      <c r="AO16" s="51" t="str">
        <f ca="1">WeeklyPlanned(Output_0000[[#Headers],[WP_HWST]], Output_0000[[#This Row],[Date]])</f>
        <v/>
      </c>
      <c r="AP16" s="51"/>
      <c r="AQ16" s="51" t="str">
        <f ca="1">WeeklyPlanned(Output_0000[[#Headers],[WP_HWSR]], Output_0000[[#This Row],[Date]])</f>
        <v/>
      </c>
      <c r="AR16" s="51"/>
      <c r="AS16" s="51" t="str">
        <f ca="1">WeeklyPlanned(Output_0000[[#Headers],[WP_HL2]], Output_0000[[#This Row],[Date]])</f>
        <v/>
      </c>
      <c r="AT16" s="51"/>
      <c r="AU16" s="51" t="str">
        <f ca="1">WeeklyPlanned(Output_0000[[#Headers],[WP_HBCeil]], Output_0000[[#This Row],[Date]])</f>
        <v/>
      </c>
      <c r="AV16" s="51"/>
    </row>
    <row r="17" spans="2:48" ht="15.5" x14ac:dyDescent="0.35">
      <c r="B17" s="30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43"/>
      <c r="R17" s="58"/>
      <c r="S17" s="59" t="s">
        <v>140</v>
      </c>
      <c r="T17" s="59" t="s">
        <v>95</v>
      </c>
      <c r="U17" s="60">
        <v>44131</v>
      </c>
      <c r="V17" s="60">
        <v>44140</v>
      </c>
      <c r="W17" s="61">
        <v>132</v>
      </c>
      <c r="X17" s="61">
        <v>0</v>
      </c>
      <c r="AA17" s="47">
        <f t="shared" si="2"/>
        <v>44069</v>
      </c>
      <c r="AB17" s="49">
        <f t="shared" ca="1" si="1"/>
        <v>0</v>
      </c>
      <c r="AC1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1">
        <f ca="1">SUM($AC$14:AC17)</f>
        <v>133.19999999999999</v>
      </c>
      <c r="AF17" s="51" t="e">
        <f>IF(AD17="",NA(),SUM($AD$14:AD17))</f>
        <v>#N/A</v>
      </c>
      <c r="AG17" s="51" t="str">
        <f ca="1">WeeklyPlanned(Output_0000[[#Headers],[WP_ABC]], Output_0000[[#This Row],[Date]])</f>
        <v/>
      </c>
      <c r="AH17" s="51"/>
      <c r="AI17" s="51" t="str">
        <f ca="1">WeeklyPlanned(Output_0000[[#Headers],[WP_ACS]], Output_0000[[#This Row],[Date]])</f>
        <v/>
      </c>
      <c r="AJ17" s="51"/>
      <c r="AK17" s="51" t="str">
        <f ca="1">WeeklyPlanned(Output_0000[[#Headers],[WP_AL1]], Output_0000[[#This Row],[Date]])</f>
        <v/>
      </c>
      <c r="AL17" s="51"/>
      <c r="AM17" s="51" t="str">
        <f ca="1">WeeklyPlanned(Output_0000[[#Headers],[WP_HBase]], Output_0000[[#This Row],[Date]])</f>
        <v/>
      </c>
      <c r="AN17" s="51"/>
      <c r="AO17" s="51" t="str">
        <f ca="1">WeeklyPlanned(Output_0000[[#Headers],[WP_HWST]], Output_0000[[#This Row],[Date]])</f>
        <v/>
      </c>
      <c r="AP17" s="51"/>
      <c r="AQ17" s="51" t="str">
        <f ca="1">WeeklyPlanned(Output_0000[[#Headers],[WP_HWSR]], Output_0000[[#This Row],[Date]])</f>
        <v/>
      </c>
      <c r="AR17" s="51"/>
      <c r="AS17" s="51" t="str">
        <f ca="1">WeeklyPlanned(Output_0000[[#Headers],[WP_HL2]], Output_0000[[#This Row],[Date]])</f>
        <v/>
      </c>
      <c r="AT17" s="51"/>
      <c r="AU17" s="51" t="str">
        <f ca="1">WeeklyPlanned(Output_0000[[#Headers],[WP_HBCeil]], Output_0000[[#This Row],[Date]])</f>
        <v/>
      </c>
      <c r="AV17" s="51"/>
    </row>
    <row r="18" spans="2:48" ht="15.5" x14ac:dyDescent="0.35">
      <c r="B18" s="30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43"/>
      <c r="R18" s="58"/>
      <c r="S18" s="59" t="s">
        <v>144</v>
      </c>
      <c r="T18" s="59" t="s">
        <v>96</v>
      </c>
      <c r="U18" s="60">
        <v>44113</v>
      </c>
      <c r="V18" s="60">
        <v>44181</v>
      </c>
      <c r="W18" s="61">
        <v>103</v>
      </c>
      <c r="X18" s="61">
        <v>0</v>
      </c>
      <c r="AA18" s="47">
        <f t="shared" si="2"/>
        <v>44076</v>
      </c>
      <c r="AB18" s="49">
        <f t="shared" ca="1" si="1"/>
        <v>0</v>
      </c>
      <c r="AC1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1">
        <f ca="1">SUM($AC$14:AC18)</f>
        <v>133.19999999999999</v>
      </c>
      <c r="AF18" s="51" t="e">
        <f>IF(AD18="",NA(),SUM($AD$14:AD18))</f>
        <v>#N/A</v>
      </c>
      <c r="AG18" s="51" t="str">
        <f ca="1">WeeklyPlanned(Output_0000[[#Headers],[WP_ABC]], Output_0000[[#This Row],[Date]])</f>
        <v/>
      </c>
      <c r="AH18" s="51"/>
      <c r="AI18" s="51" t="str">
        <f ca="1">WeeklyPlanned(Output_0000[[#Headers],[WP_ACS]], Output_0000[[#This Row],[Date]])</f>
        <v/>
      </c>
      <c r="AJ18" s="51"/>
      <c r="AK18" s="51" t="str">
        <f ca="1">WeeklyPlanned(Output_0000[[#Headers],[WP_AL1]], Output_0000[[#This Row],[Date]])</f>
        <v/>
      </c>
      <c r="AL18" s="51"/>
      <c r="AM18" s="51" t="str">
        <f ca="1">WeeklyPlanned(Output_0000[[#Headers],[WP_HBase]], Output_0000[[#This Row],[Date]])</f>
        <v/>
      </c>
      <c r="AN18" s="51"/>
      <c r="AO18" s="51" t="str">
        <f ca="1">WeeklyPlanned(Output_0000[[#Headers],[WP_HWST]], Output_0000[[#This Row],[Date]])</f>
        <v/>
      </c>
      <c r="AP18" s="51"/>
      <c r="AQ18" s="51" t="str">
        <f ca="1">WeeklyPlanned(Output_0000[[#Headers],[WP_HWSR]], Output_0000[[#This Row],[Date]])</f>
        <v/>
      </c>
      <c r="AR18" s="51"/>
      <c r="AS18" s="51" t="str">
        <f ca="1">WeeklyPlanned(Output_0000[[#Headers],[WP_HL2]], Output_0000[[#This Row],[Date]])</f>
        <v/>
      </c>
      <c r="AT18" s="51"/>
      <c r="AU18" s="51" t="str">
        <f ca="1">WeeklyPlanned(Output_0000[[#Headers],[WP_HBCeil]], Output_0000[[#This Row],[Date]])</f>
        <v/>
      </c>
      <c r="AV18" s="51"/>
    </row>
    <row r="19" spans="2:48" ht="15.5" x14ac:dyDescent="0.35">
      <c r="B19" s="30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43"/>
      <c r="R19" s="58"/>
      <c r="S19" s="59" t="s">
        <v>143</v>
      </c>
      <c r="T19" s="59" t="s">
        <v>97</v>
      </c>
      <c r="U19" s="60">
        <v>44182</v>
      </c>
      <c r="V19" s="60">
        <v>44195</v>
      </c>
      <c r="W19" s="61">
        <v>30</v>
      </c>
      <c r="X19" s="61">
        <v>0</v>
      </c>
      <c r="AA19" s="47">
        <f t="shared" si="2"/>
        <v>44083</v>
      </c>
      <c r="AB19" s="49">
        <f t="shared" ca="1" si="1"/>
        <v>0</v>
      </c>
      <c r="AC1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1">
        <f ca="1">SUM($AC$14:AC19)</f>
        <v>133.19999999999999</v>
      </c>
      <c r="AF19" s="51" t="e">
        <f>IF(AD19="",NA(),SUM($AD$14:AD19))</f>
        <v>#N/A</v>
      </c>
      <c r="AG19" s="51" t="str">
        <f ca="1">WeeklyPlanned(Output_0000[[#Headers],[WP_ABC]], Output_0000[[#This Row],[Date]])</f>
        <v/>
      </c>
      <c r="AH19" s="51"/>
      <c r="AI19" s="51" t="str">
        <f ca="1">WeeklyPlanned(Output_0000[[#Headers],[WP_ACS]], Output_0000[[#This Row],[Date]])</f>
        <v/>
      </c>
      <c r="AJ19" s="51"/>
      <c r="AK19" s="51" t="str">
        <f ca="1">WeeklyPlanned(Output_0000[[#Headers],[WP_AL1]], Output_0000[[#This Row],[Date]])</f>
        <v/>
      </c>
      <c r="AL19" s="51"/>
      <c r="AM19" s="51" t="str">
        <f ca="1">WeeklyPlanned(Output_0000[[#Headers],[WP_HBase]], Output_0000[[#This Row],[Date]])</f>
        <v/>
      </c>
      <c r="AN19" s="51"/>
      <c r="AO19" s="51" t="str">
        <f ca="1">WeeklyPlanned(Output_0000[[#Headers],[WP_HWST]], Output_0000[[#This Row],[Date]])</f>
        <v/>
      </c>
      <c r="AP19" s="51"/>
      <c r="AQ19" s="51" t="str">
        <f ca="1">WeeklyPlanned(Output_0000[[#Headers],[WP_HWSR]], Output_0000[[#This Row],[Date]])</f>
        <v/>
      </c>
      <c r="AR19" s="51"/>
      <c r="AS19" s="51" t="str">
        <f ca="1">WeeklyPlanned(Output_0000[[#Headers],[WP_HL2]], Output_0000[[#This Row],[Date]])</f>
        <v/>
      </c>
      <c r="AT19" s="51"/>
      <c r="AU19" s="51" t="str">
        <f ca="1">WeeklyPlanned(Output_0000[[#Headers],[WP_HBCeil]], Output_0000[[#This Row],[Date]])</f>
        <v/>
      </c>
      <c r="AV19" s="51"/>
    </row>
    <row r="20" spans="2:48" ht="15.5" x14ac:dyDescent="0.35">
      <c r="B20" s="30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43"/>
      <c r="R20" s="58"/>
      <c r="S20" s="59" t="s">
        <v>142</v>
      </c>
      <c r="T20" s="59" t="s">
        <v>98</v>
      </c>
      <c r="U20" s="60">
        <v>44109</v>
      </c>
      <c r="V20" s="60">
        <v>44127</v>
      </c>
      <c r="W20" s="61">
        <v>245</v>
      </c>
      <c r="X20" s="61">
        <v>0</v>
      </c>
      <c r="AA20" s="47">
        <f t="shared" si="2"/>
        <v>44090</v>
      </c>
      <c r="AB20" s="49" t="str">
        <f t="shared" ca="1" si="1"/>
        <v>HBCeil</v>
      </c>
      <c r="AC2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1">
        <f ca="1">SUM($AC$14:AC20)</f>
        <v>135.61666666666665</v>
      </c>
      <c r="AF20" s="51" t="e">
        <f>IF(AD20="",NA(),SUM($AD$14:AD20))</f>
        <v>#N/A</v>
      </c>
      <c r="AG20" s="51" t="str">
        <f ca="1">WeeklyPlanned(Output_0000[[#Headers],[WP_ABC]], Output_0000[[#This Row],[Date]])</f>
        <v/>
      </c>
      <c r="AH20" s="51"/>
      <c r="AI20" s="51" t="str">
        <f ca="1">WeeklyPlanned(Output_0000[[#Headers],[WP_ACS]], Output_0000[[#This Row],[Date]])</f>
        <v/>
      </c>
      <c r="AJ20" s="51"/>
      <c r="AK20" s="51" t="str">
        <f ca="1">WeeklyPlanned(Output_0000[[#Headers],[WP_AL1]], Output_0000[[#This Row],[Date]])</f>
        <v/>
      </c>
      <c r="AL20" s="51"/>
      <c r="AM20" s="51" t="str">
        <f ca="1">WeeklyPlanned(Output_0000[[#Headers],[WP_HBase]], Output_0000[[#This Row],[Date]])</f>
        <v/>
      </c>
      <c r="AN20" s="51"/>
      <c r="AO20" s="51" t="str">
        <f ca="1">WeeklyPlanned(Output_0000[[#Headers],[WP_HWST]], Output_0000[[#This Row],[Date]])</f>
        <v/>
      </c>
      <c r="AP20" s="51"/>
      <c r="AQ20" s="51" t="str">
        <f ca="1">WeeklyPlanned(Output_0000[[#Headers],[WP_HWSR]], Output_0000[[#This Row],[Date]])</f>
        <v/>
      </c>
      <c r="AR20" s="51"/>
      <c r="AS20" s="51" t="str">
        <f ca="1">WeeklyPlanned(Output_0000[[#Headers],[WP_HL2]], Output_0000[[#This Row],[Date]])</f>
        <v/>
      </c>
      <c r="AT20" s="51"/>
      <c r="AU20" s="51">
        <f ca="1">WeeklyPlanned(Output_0000[[#Headers],[WP_HBCeil]], Output_0000[[#This Row],[Date]])</f>
        <v>2.4166666666666665</v>
      </c>
      <c r="AV20" s="51"/>
    </row>
    <row r="21" spans="2:48" ht="15.5" x14ac:dyDescent="0.35">
      <c r="B21" s="30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43"/>
      <c r="R21" s="58"/>
      <c r="S21" s="59" t="s">
        <v>141</v>
      </c>
      <c r="T21" s="59" t="s">
        <v>99</v>
      </c>
      <c r="U21" s="60">
        <v>44089</v>
      </c>
      <c r="V21" s="60">
        <v>44104</v>
      </c>
      <c r="W21" s="61">
        <v>29</v>
      </c>
      <c r="X21" s="61">
        <v>0</v>
      </c>
      <c r="AA21" s="47">
        <f t="shared" ref="AA21:AA36" si="3">IF(AA20 = "Date", $S$4, AA20+7)</f>
        <v>44097</v>
      </c>
      <c r="AB21" s="49" t="str">
        <f t="shared" ca="1" si="1"/>
        <v>HBCeil</v>
      </c>
      <c r="AC2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1">
        <f ca="1">SUM($AC$14:AC21)</f>
        <v>147.69999999999999</v>
      </c>
      <c r="AF21" s="51" t="e">
        <f>IF(AD21="",NA(),SUM($AD$14:AD21))</f>
        <v>#N/A</v>
      </c>
      <c r="AG21" s="51" t="str">
        <f ca="1">WeeklyPlanned(Output_0000[[#Headers],[WP_ABC]], Output_0000[[#This Row],[Date]])</f>
        <v/>
      </c>
      <c r="AH21" s="51"/>
      <c r="AI21" s="51" t="str">
        <f ca="1">WeeklyPlanned(Output_0000[[#Headers],[WP_ACS]], Output_0000[[#This Row],[Date]])</f>
        <v/>
      </c>
      <c r="AJ21" s="51"/>
      <c r="AK21" s="51" t="str">
        <f ca="1">WeeklyPlanned(Output_0000[[#Headers],[WP_AL1]], Output_0000[[#This Row],[Date]])</f>
        <v/>
      </c>
      <c r="AL21" s="51"/>
      <c r="AM21" s="51" t="str">
        <f ca="1">WeeklyPlanned(Output_0000[[#Headers],[WP_HBase]], Output_0000[[#This Row],[Date]])</f>
        <v/>
      </c>
      <c r="AN21" s="51"/>
      <c r="AO21" s="51" t="str">
        <f ca="1">WeeklyPlanned(Output_0000[[#Headers],[WP_HWST]], Output_0000[[#This Row],[Date]])</f>
        <v/>
      </c>
      <c r="AP21" s="51"/>
      <c r="AQ21" s="51" t="str">
        <f ca="1">WeeklyPlanned(Output_0000[[#Headers],[WP_HWSR]], Output_0000[[#This Row],[Date]])</f>
        <v/>
      </c>
      <c r="AR21" s="51"/>
      <c r="AS21" s="51" t="str">
        <f ca="1">WeeklyPlanned(Output_0000[[#Headers],[WP_HL2]], Output_0000[[#This Row],[Date]])</f>
        <v/>
      </c>
      <c r="AT21" s="51"/>
      <c r="AU21" s="51">
        <f ca="1">WeeklyPlanned(Output_0000[[#Headers],[WP_HBCeil]], Output_0000[[#This Row],[Date]])</f>
        <v>12.083333333333332</v>
      </c>
      <c r="AV21" s="51"/>
    </row>
    <row r="22" spans="2:48" ht="15.5" x14ac:dyDescent="0.35">
      <c r="B22" s="30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43"/>
      <c r="AA22" s="47">
        <f t="shared" si="3"/>
        <v>44104</v>
      </c>
      <c r="AB22" s="49" t="str">
        <f t="shared" ca="1" si="1"/>
        <v>HBCeil</v>
      </c>
      <c r="AC2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1">
        <f ca="1">SUM($AC$14:AC22)</f>
        <v>159.78333333333333</v>
      </c>
      <c r="AF22" s="51" t="e">
        <f>IF(AD22="",NA(),SUM($AD$14:AD22))</f>
        <v>#N/A</v>
      </c>
      <c r="AG22" s="51" t="str">
        <f ca="1">WeeklyPlanned(Output_0000[[#Headers],[WP_ABC]], Output_0000[[#This Row],[Date]])</f>
        <v/>
      </c>
      <c r="AH22" s="51"/>
      <c r="AI22" s="51" t="str">
        <f ca="1">WeeklyPlanned(Output_0000[[#Headers],[WP_ACS]], Output_0000[[#This Row],[Date]])</f>
        <v/>
      </c>
      <c r="AJ22" s="51"/>
      <c r="AK22" s="51" t="str">
        <f ca="1">WeeklyPlanned(Output_0000[[#Headers],[WP_AL1]], Output_0000[[#This Row],[Date]])</f>
        <v/>
      </c>
      <c r="AL22" s="51"/>
      <c r="AM22" s="51" t="str">
        <f ca="1">WeeklyPlanned(Output_0000[[#Headers],[WP_HBase]], Output_0000[[#This Row],[Date]])</f>
        <v/>
      </c>
      <c r="AN22" s="51"/>
      <c r="AO22" s="51" t="str">
        <f ca="1">WeeklyPlanned(Output_0000[[#Headers],[WP_HWST]], Output_0000[[#This Row],[Date]])</f>
        <v/>
      </c>
      <c r="AP22" s="51"/>
      <c r="AQ22" s="51" t="str">
        <f ca="1">WeeklyPlanned(Output_0000[[#Headers],[WP_HWSR]], Output_0000[[#This Row],[Date]])</f>
        <v/>
      </c>
      <c r="AR22" s="51"/>
      <c r="AS22" s="51" t="str">
        <f ca="1">WeeklyPlanned(Output_0000[[#Headers],[WP_HL2]], Output_0000[[#This Row],[Date]])</f>
        <v/>
      </c>
      <c r="AT22" s="51"/>
      <c r="AU22" s="51">
        <f ca="1">WeeklyPlanned(Output_0000[[#Headers],[WP_HBCeil]], Output_0000[[#This Row],[Date]])</f>
        <v>12.083333333333332</v>
      </c>
      <c r="AV22" s="51"/>
    </row>
    <row r="23" spans="2:48" ht="15.5" x14ac:dyDescent="0.35">
      <c r="B23" s="3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43"/>
      <c r="AA23" s="47">
        <f t="shared" si="3"/>
        <v>44111</v>
      </c>
      <c r="AB23" s="49" t="str">
        <f t="shared" ca="1" si="1"/>
        <v>ACS, HL2, HBCeil</v>
      </c>
      <c r="AC2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1">
        <f ca="1">SUM($AC$14:AC23)</f>
        <v>276.46666666666664</v>
      </c>
      <c r="AF23" s="51" t="e">
        <f>IF(AD23="",NA(),SUM($AD$14:AD23))</f>
        <v>#N/A</v>
      </c>
      <c r="AG23" s="51" t="str">
        <f ca="1">WeeklyPlanned(Output_0000[[#Headers],[WP_ABC]], Output_0000[[#This Row],[Date]])</f>
        <v/>
      </c>
      <c r="AH23" s="51"/>
      <c r="AI23" s="51">
        <f ca="1">WeeklyPlanned(Output_0000[[#Headers],[WP_ACS]], Output_0000[[#This Row],[Date]])</f>
        <v>81.599999999999994</v>
      </c>
      <c r="AJ23" s="51"/>
      <c r="AK23" s="51" t="str">
        <f ca="1">WeeklyPlanned(Output_0000[[#Headers],[WP_AL1]], Output_0000[[#This Row],[Date]])</f>
        <v/>
      </c>
      <c r="AL23" s="51"/>
      <c r="AM23" s="51" t="str">
        <f ca="1">WeeklyPlanned(Output_0000[[#Headers],[WP_HBase]], Output_0000[[#This Row],[Date]])</f>
        <v/>
      </c>
      <c r="AN23" s="51"/>
      <c r="AO23" s="51" t="str">
        <f ca="1">WeeklyPlanned(Output_0000[[#Headers],[WP_HWST]], Output_0000[[#This Row],[Date]])</f>
        <v/>
      </c>
      <c r="AP23" s="51"/>
      <c r="AQ23" s="51" t="str">
        <f ca="1">WeeklyPlanned(Output_0000[[#Headers],[WP_HWSR]], Output_0000[[#This Row],[Date]])</f>
        <v/>
      </c>
      <c r="AR23" s="51"/>
      <c r="AS23" s="51">
        <f ca="1">WeeklyPlanned(Output_0000[[#Headers],[WP_HL2]], Output_0000[[#This Row],[Date]])</f>
        <v>32.666666666666664</v>
      </c>
      <c r="AT23" s="51"/>
      <c r="AU23" s="51">
        <f ca="1">WeeklyPlanned(Output_0000[[#Headers],[WP_HBCeil]], Output_0000[[#This Row],[Date]])</f>
        <v>2.4166666666666665</v>
      </c>
      <c r="AV23" s="51"/>
    </row>
    <row r="24" spans="2:48" ht="15.5" x14ac:dyDescent="0.35">
      <c r="B24" s="30"/>
      <c r="C24" s="52" t="s">
        <v>47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43"/>
      <c r="AA24" s="47">
        <f t="shared" si="3"/>
        <v>44118</v>
      </c>
      <c r="AB24" s="49" t="str">
        <f t="shared" ca="1" si="1"/>
        <v>ACS, HWST, HL2</v>
      </c>
      <c r="AC2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1">
        <f ca="1">SUM($AC$14:AC24)</f>
        <v>384.83945578231288</v>
      </c>
      <c r="AF24" s="51" t="e">
        <f>IF(AD24="",NA(),SUM($AD$14:AD24))</f>
        <v>#N/A</v>
      </c>
      <c r="AG24" s="51" t="str">
        <f ca="1">WeeklyPlanned(Output_0000[[#Headers],[WP_ABC]], Output_0000[[#This Row],[Date]])</f>
        <v/>
      </c>
      <c r="AH24" s="51"/>
      <c r="AI24" s="51">
        <f ca="1">WeeklyPlanned(Output_0000[[#Headers],[WP_ACS]], Output_0000[[#This Row],[Date]])</f>
        <v>20.399999999999999</v>
      </c>
      <c r="AJ24" s="51"/>
      <c r="AK24" s="51" t="str">
        <f ca="1">WeeklyPlanned(Output_0000[[#Headers],[WP_AL1]], Output_0000[[#This Row],[Date]])</f>
        <v/>
      </c>
      <c r="AL24" s="51"/>
      <c r="AM24" s="51" t="str">
        <f ca="1">WeeklyPlanned(Output_0000[[#Headers],[WP_HBase]], Output_0000[[#This Row],[Date]])</f>
        <v/>
      </c>
      <c r="AN24" s="51"/>
      <c r="AO24" s="51">
        <f ca="1">WeeklyPlanned(Output_0000[[#Headers],[WP_HWST]], Output_0000[[#This Row],[Date]])</f>
        <v>6.3061224489795915</v>
      </c>
      <c r="AP24" s="51"/>
      <c r="AQ24" s="51" t="str">
        <f ca="1">WeeklyPlanned(Output_0000[[#Headers],[WP_HWSR]], Output_0000[[#This Row],[Date]])</f>
        <v/>
      </c>
      <c r="AR24" s="51"/>
      <c r="AS24" s="51">
        <f ca="1">WeeklyPlanned(Output_0000[[#Headers],[WP_HL2]], Output_0000[[#This Row],[Date]])</f>
        <v>81.666666666666657</v>
      </c>
      <c r="AT24" s="51"/>
      <c r="AU24" s="51" t="str">
        <f ca="1">WeeklyPlanned(Output_0000[[#Headers],[WP_HBCeil]], Output_0000[[#This Row],[Date]])</f>
        <v/>
      </c>
      <c r="AV24" s="51"/>
    </row>
    <row r="25" spans="2:48" ht="15.5" x14ac:dyDescent="0.35">
      <c r="B25" s="30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43"/>
      <c r="AA25" s="47">
        <f t="shared" si="3"/>
        <v>44125</v>
      </c>
      <c r="AB25" s="49" t="str">
        <f t="shared" ca="1" si="1"/>
        <v>HWST, HL2</v>
      </c>
      <c r="AC2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1">
        <f ca="1">SUM($AC$14:AC25)</f>
        <v>477.01632653061222</v>
      </c>
      <c r="AF25" s="51" t="e">
        <f>IF(AD25="",NA(),SUM($AD$14:AD25))</f>
        <v>#N/A</v>
      </c>
      <c r="AG25" s="51" t="str">
        <f ca="1">WeeklyPlanned(Output_0000[[#Headers],[WP_ABC]], Output_0000[[#This Row],[Date]])</f>
        <v/>
      </c>
      <c r="AH25" s="51"/>
      <c r="AI25" s="51" t="str">
        <f ca="1">WeeklyPlanned(Output_0000[[#Headers],[WP_ACS]], Output_0000[[#This Row],[Date]])</f>
        <v/>
      </c>
      <c r="AJ25" s="51"/>
      <c r="AK25" s="51" t="str">
        <f ca="1">WeeklyPlanned(Output_0000[[#Headers],[WP_AL1]], Output_0000[[#This Row],[Date]])</f>
        <v/>
      </c>
      <c r="AL25" s="51"/>
      <c r="AM25" s="51" t="str">
        <f ca="1">WeeklyPlanned(Output_0000[[#Headers],[WP_HBase]], Output_0000[[#This Row],[Date]])</f>
        <v/>
      </c>
      <c r="AN25" s="51"/>
      <c r="AO25" s="51">
        <f ca="1">WeeklyPlanned(Output_0000[[#Headers],[WP_HWST]], Output_0000[[#This Row],[Date]])</f>
        <v>10.510204081632653</v>
      </c>
      <c r="AP25" s="51"/>
      <c r="AQ25" s="51" t="str">
        <f ca="1">WeeklyPlanned(Output_0000[[#Headers],[WP_HWSR]], Output_0000[[#This Row],[Date]])</f>
        <v/>
      </c>
      <c r="AR25" s="51"/>
      <c r="AS25" s="51">
        <f ca="1">WeeklyPlanned(Output_0000[[#Headers],[WP_HL2]], Output_0000[[#This Row],[Date]])</f>
        <v>81.666666666666657</v>
      </c>
      <c r="AT25" s="51"/>
      <c r="AU25" s="51" t="str">
        <f ca="1">WeeklyPlanned(Output_0000[[#Headers],[WP_HBCeil]], Output_0000[[#This Row],[Date]])</f>
        <v/>
      </c>
      <c r="AV25" s="51"/>
    </row>
    <row r="26" spans="2:48" ht="15.5" x14ac:dyDescent="0.35">
      <c r="B26" s="3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43"/>
      <c r="S26" s="37"/>
      <c r="AA26" s="47">
        <f t="shared" si="3"/>
        <v>44132</v>
      </c>
      <c r="AB26" s="49" t="str">
        <f t="shared" ca="1" si="1"/>
        <v>HBase, HWST, HL2</v>
      </c>
      <c r="AC2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1">
        <f ca="1">SUM($AC$14:AC26)</f>
        <v>553.02653061224487</v>
      </c>
      <c r="AF26" s="51" t="e">
        <f>IF(AD26="",NA(),SUM($AD$14:AD26))</f>
        <v>#N/A</v>
      </c>
      <c r="AG26" s="51" t="str">
        <f ca="1">WeeklyPlanned(Output_0000[[#Headers],[WP_ABC]], Output_0000[[#This Row],[Date]])</f>
        <v/>
      </c>
      <c r="AH26" s="51"/>
      <c r="AI26" s="51" t="str">
        <f ca="1">WeeklyPlanned(Output_0000[[#Headers],[WP_ACS]], Output_0000[[#This Row],[Date]])</f>
        <v/>
      </c>
      <c r="AJ26" s="51"/>
      <c r="AK26" s="51" t="str">
        <f ca="1">WeeklyPlanned(Output_0000[[#Headers],[WP_AL1]], Output_0000[[#This Row],[Date]])</f>
        <v/>
      </c>
      <c r="AL26" s="51"/>
      <c r="AM26" s="51">
        <f ca="1">WeeklyPlanned(Output_0000[[#Headers],[WP_HBase]], Output_0000[[#This Row],[Date]])</f>
        <v>16.5</v>
      </c>
      <c r="AN26" s="51"/>
      <c r="AO26" s="51">
        <f ca="1">WeeklyPlanned(Output_0000[[#Headers],[WP_HWST]], Output_0000[[#This Row],[Date]])</f>
        <v>10.510204081632653</v>
      </c>
      <c r="AP26" s="51"/>
      <c r="AQ26" s="51" t="str">
        <f ca="1">WeeklyPlanned(Output_0000[[#Headers],[WP_HWSR]], Output_0000[[#This Row],[Date]])</f>
        <v/>
      </c>
      <c r="AR26" s="51"/>
      <c r="AS26" s="51">
        <f ca="1">WeeklyPlanned(Output_0000[[#Headers],[WP_HL2]], Output_0000[[#This Row],[Date]])</f>
        <v>49</v>
      </c>
      <c r="AT26" s="51"/>
      <c r="AU26" s="51" t="str">
        <f ca="1">WeeklyPlanned(Output_0000[[#Headers],[WP_HBCeil]], Output_0000[[#This Row],[Date]])</f>
        <v/>
      </c>
      <c r="AV26" s="51"/>
    </row>
    <row r="27" spans="2:48" ht="15.5" x14ac:dyDescent="0.35">
      <c r="B27" s="3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43"/>
      <c r="AA27" s="47">
        <f t="shared" si="3"/>
        <v>44139</v>
      </c>
      <c r="AB27" s="49" t="str">
        <f t="shared" ca="1" si="1"/>
        <v>AL1, HBase, HWST</v>
      </c>
      <c r="AC2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1">
        <f ca="1">SUM($AC$14:AC27)</f>
        <v>757.63673469387754</v>
      </c>
      <c r="AF27" s="51" t="e">
        <f>IF(AD27="",NA(),SUM($AD$14:AD27))</f>
        <v>#N/A</v>
      </c>
      <c r="AG27" s="51" t="str">
        <f ca="1">WeeklyPlanned(Output_0000[[#Headers],[WP_ABC]], Output_0000[[#This Row],[Date]])</f>
        <v/>
      </c>
      <c r="AH27" s="51"/>
      <c r="AI27" s="51" t="str">
        <f ca="1">WeeklyPlanned(Output_0000[[#Headers],[WP_ACS]], Output_0000[[#This Row],[Date]])</f>
        <v/>
      </c>
      <c r="AJ27" s="51"/>
      <c r="AK27" s="51">
        <f ca="1">WeeklyPlanned(Output_0000[[#Headers],[WP_AL1]], Output_0000[[#This Row],[Date]])</f>
        <v>111.6</v>
      </c>
      <c r="AL27" s="51"/>
      <c r="AM27" s="51">
        <f ca="1">WeeklyPlanned(Output_0000[[#Headers],[WP_HBase]], Output_0000[[#This Row],[Date]])</f>
        <v>82.5</v>
      </c>
      <c r="AN27" s="51"/>
      <c r="AO27" s="51">
        <f ca="1">WeeklyPlanned(Output_0000[[#Headers],[WP_HWST]], Output_0000[[#This Row],[Date]])</f>
        <v>10.510204081632653</v>
      </c>
      <c r="AP27" s="51"/>
      <c r="AQ27" s="51" t="str">
        <f ca="1">WeeklyPlanned(Output_0000[[#Headers],[WP_HWSR]], Output_0000[[#This Row],[Date]])</f>
        <v/>
      </c>
      <c r="AR27" s="51"/>
      <c r="AS27" s="51" t="str">
        <f ca="1">WeeklyPlanned(Output_0000[[#Headers],[WP_HL2]], Output_0000[[#This Row],[Date]])</f>
        <v/>
      </c>
      <c r="AT27" s="51"/>
      <c r="AU27" s="51" t="str">
        <f ca="1">WeeklyPlanned(Output_0000[[#Headers],[WP_HBCeil]], Output_0000[[#This Row],[Date]])</f>
        <v/>
      </c>
      <c r="AV27" s="51"/>
    </row>
    <row r="28" spans="2:48" ht="15.5" x14ac:dyDescent="0.35">
      <c r="B28" s="3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43"/>
      <c r="AA28" s="47">
        <f t="shared" si="3"/>
        <v>44146</v>
      </c>
      <c r="AB28" s="49" t="str">
        <f t="shared" ca="1" si="1"/>
        <v>AL1, HBase, HWST</v>
      </c>
      <c r="AC2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1">
        <f ca="1">SUM($AC$14:AC28)</f>
        <v>940.64693877551019</v>
      </c>
      <c r="AF28" s="51" t="e">
        <f>IF(AD28="",NA(),SUM($AD$14:AD28))</f>
        <v>#N/A</v>
      </c>
      <c r="AG28" s="51" t="str">
        <f ca="1">WeeklyPlanned(Output_0000[[#Headers],[WP_ABC]], Output_0000[[#This Row],[Date]])</f>
        <v/>
      </c>
      <c r="AH28" s="51"/>
      <c r="AI28" s="51" t="str">
        <f ca="1">WeeklyPlanned(Output_0000[[#Headers],[WP_ACS]], Output_0000[[#This Row],[Date]])</f>
        <v/>
      </c>
      <c r="AJ28" s="51"/>
      <c r="AK28" s="51">
        <f ca="1">WeeklyPlanned(Output_0000[[#Headers],[WP_AL1]], Output_0000[[#This Row],[Date]])</f>
        <v>139.5</v>
      </c>
      <c r="AL28" s="51"/>
      <c r="AM28" s="51">
        <f ca="1">WeeklyPlanned(Output_0000[[#Headers],[WP_HBase]], Output_0000[[#This Row],[Date]])</f>
        <v>33</v>
      </c>
      <c r="AN28" s="51"/>
      <c r="AO28" s="51">
        <f ca="1">WeeklyPlanned(Output_0000[[#Headers],[WP_HWST]], Output_0000[[#This Row],[Date]])</f>
        <v>10.510204081632653</v>
      </c>
      <c r="AP28" s="51"/>
      <c r="AQ28" s="51" t="str">
        <f ca="1">WeeklyPlanned(Output_0000[[#Headers],[WP_HWSR]], Output_0000[[#This Row],[Date]])</f>
        <v/>
      </c>
      <c r="AR28" s="51"/>
      <c r="AS28" s="51" t="str">
        <f ca="1">WeeklyPlanned(Output_0000[[#Headers],[WP_HL2]], Output_0000[[#This Row],[Date]])</f>
        <v/>
      </c>
      <c r="AT28" s="51"/>
      <c r="AU28" s="51" t="str">
        <f ca="1">WeeklyPlanned(Output_0000[[#Headers],[WP_HBCeil]], Output_0000[[#This Row],[Date]])</f>
        <v/>
      </c>
      <c r="AV28" s="51"/>
    </row>
    <row r="29" spans="2:48" ht="15.5" x14ac:dyDescent="0.35">
      <c r="B29" s="3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43"/>
      <c r="AA29" s="47">
        <f t="shared" si="3"/>
        <v>44153</v>
      </c>
      <c r="AB29" s="49" t="str">
        <f t="shared" ca="1" si="1"/>
        <v>AL1, HWST</v>
      </c>
      <c r="AC2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1">
        <f ca="1">SUM($AC$14:AC29)</f>
        <v>979.05714285714282</v>
      </c>
      <c r="AF29" s="51" t="e">
        <f>IF(AD29="",NA(),SUM($AD$14:AD29))</f>
        <v>#N/A</v>
      </c>
      <c r="AG29" s="51" t="str">
        <f ca="1">WeeklyPlanned(Output_0000[[#Headers],[WP_ABC]], Output_0000[[#This Row],[Date]])</f>
        <v/>
      </c>
      <c r="AH29" s="51"/>
      <c r="AI29" s="51" t="str">
        <f ca="1">WeeklyPlanned(Output_0000[[#Headers],[WP_ACS]], Output_0000[[#This Row],[Date]])</f>
        <v/>
      </c>
      <c r="AJ29" s="51"/>
      <c r="AK29" s="51">
        <f ca="1">WeeklyPlanned(Output_0000[[#Headers],[WP_AL1]], Output_0000[[#This Row],[Date]])</f>
        <v>27.9</v>
      </c>
      <c r="AL29" s="51"/>
      <c r="AM29" s="51" t="str">
        <f ca="1">WeeklyPlanned(Output_0000[[#Headers],[WP_HBase]], Output_0000[[#This Row],[Date]])</f>
        <v/>
      </c>
      <c r="AN29" s="51"/>
      <c r="AO29" s="51">
        <f ca="1">WeeklyPlanned(Output_0000[[#Headers],[WP_HWST]], Output_0000[[#This Row],[Date]])</f>
        <v>10.510204081632653</v>
      </c>
      <c r="AP29" s="51"/>
      <c r="AQ29" s="51" t="str">
        <f ca="1">WeeklyPlanned(Output_0000[[#Headers],[WP_HWSR]], Output_0000[[#This Row],[Date]])</f>
        <v/>
      </c>
      <c r="AR29" s="51"/>
      <c r="AS29" s="51" t="str">
        <f ca="1">WeeklyPlanned(Output_0000[[#Headers],[WP_HL2]], Output_0000[[#This Row],[Date]])</f>
        <v/>
      </c>
      <c r="AT29" s="51"/>
      <c r="AU29" s="51" t="str">
        <f ca="1">WeeklyPlanned(Output_0000[[#Headers],[WP_HBCeil]], Output_0000[[#This Row],[Date]])</f>
        <v/>
      </c>
      <c r="AV29" s="51"/>
    </row>
    <row r="30" spans="2:48" ht="15.5" x14ac:dyDescent="0.35">
      <c r="B30" s="3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43"/>
      <c r="AA30" s="47">
        <f t="shared" si="3"/>
        <v>44160</v>
      </c>
      <c r="AB30" s="49" t="str">
        <f t="shared" ca="1" si="1"/>
        <v>HWST</v>
      </c>
      <c r="AC3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1">
        <f ca="1">SUM($AC$14:AC30)</f>
        <v>989.56734693877547</v>
      </c>
      <c r="AF30" s="51" t="e">
        <f>IF(AD30="",NA(),SUM($AD$14:AD30))</f>
        <v>#N/A</v>
      </c>
      <c r="AG30" s="51" t="str">
        <f ca="1">WeeklyPlanned(Output_0000[[#Headers],[WP_ABC]], Output_0000[[#This Row],[Date]])</f>
        <v/>
      </c>
      <c r="AH30" s="51"/>
      <c r="AI30" s="51" t="str">
        <f ca="1">WeeklyPlanned(Output_0000[[#Headers],[WP_ACS]], Output_0000[[#This Row],[Date]])</f>
        <v/>
      </c>
      <c r="AJ30" s="51"/>
      <c r="AK30" s="51" t="str">
        <f ca="1">WeeklyPlanned(Output_0000[[#Headers],[WP_AL1]], Output_0000[[#This Row],[Date]])</f>
        <v/>
      </c>
      <c r="AL30" s="51"/>
      <c r="AM30" s="51" t="str">
        <f ca="1">WeeklyPlanned(Output_0000[[#Headers],[WP_HBase]], Output_0000[[#This Row],[Date]])</f>
        <v/>
      </c>
      <c r="AN30" s="51"/>
      <c r="AO30" s="51">
        <f ca="1">WeeklyPlanned(Output_0000[[#Headers],[WP_HWST]], Output_0000[[#This Row],[Date]])</f>
        <v>10.510204081632653</v>
      </c>
      <c r="AP30" s="51"/>
      <c r="AQ30" s="51" t="str">
        <f ca="1">WeeklyPlanned(Output_0000[[#Headers],[WP_HWSR]], Output_0000[[#This Row],[Date]])</f>
        <v/>
      </c>
      <c r="AR30" s="51"/>
      <c r="AS30" s="51" t="str">
        <f ca="1">WeeklyPlanned(Output_0000[[#Headers],[WP_HL2]], Output_0000[[#This Row],[Date]])</f>
        <v/>
      </c>
      <c r="AT30" s="51"/>
      <c r="AU30" s="51" t="str">
        <f ca="1">WeeklyPlanned(Output_0000[[#Headers],[WP_HBCeil]], Output_0000[[#This Row],[Date]])</f>
        <v/>
      </c>
      <c r="AV30" s="51"/>
    </row>
    <row r="31" spans="2:48" ht="15.5" x14ac:dyDescent="0.35">
      <c r="B31" s="3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43"/>
      <c r="AA31" s="47">
        <f t="shared" si="3"/>
        <v>44167</v>
      </c>
      <c r="AB31" s="49" t="str">
        <f t="shared" ca="1" si="1"/>
        <v>HWST</v>
      </c>
      <c r="AC3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1">
        <f ca="1">SUM($AC$14:AC31)</f>
        <v>1000.0775510204081</v>
      </c>
      <c r="AF31" s="51" t="e">
        <f>IF(AD31="",NA(),SUM($AD$14:AD31))</f>
        <v>#N/A</v>
      </c>
      <c r="AG31" s="51" t="str">
        <f ca="1">WeeklyPlanned(Output_0000[[#Headers],[WP_ABC]], Output_0000[[#This Row],[Date]])</f>
        <v/>
      </c>
      <c r="AH31" s="51"/>
      <c r="AI31" s="51" t="str">
        <f ca="1">WeeklyPlanned(Output_0000[[#Headers],[WP_ACS]], Output_0000[[#This Row],[Date]])</f>
        <v/>
      </c>
      <c r="AJ31" s="51"/>
      <c r="AK31" s="51" t="str">
        <f ca="1">WeeklyPlanned(Output_0000[[#Headers],[WP_AL1]], Output_0000[[#This Row],[Date]])</f>
        <v/>
      </c>
      <c r="AL31" s="51"/>
      <c r="AM31" s="51" t="str">
        <f ca="1">WeeklyPlanned(Output_0000[[#Headers],[WP_HBase]], Output_0000[[#This Row],[Date]])</f>
        <v/>
      </c>
      <c r="AN31" s="51"/>
      <c r="AO31" s="51">
        <f ca="1">WeeklyPlanned(Output_0000[[#Headers],[WP_HWST]], Output_0000[[#This Row],[Date]])</f>
        <v>10.510204081632653</v>
      </c>
      <c r="AP31" s="51"/>
      <c r="AQ31" s="51" t="str">
        <f ca="1">WeeklyPlanned(Output_0000[[#Headers],[WP_HWSR]], Output_0000[[#This Row],[Date]])</f>
        <v/>
      </c>
      <c r="AR31" s="51"/>
      <c r="AS31" s="51" t="str">
        <f ca="1">WeeklyPlanned(Output_0000[[#Headers],[WP_HL2]], Output_0000[[#This Row],[Date]])</f>
        <v/>
      </c>
      <c r="AT31" s="51"/>
      <c r="AU31" s="51" t="str">
        <f ca="1">WeeklyPlanned(Output_0000[[#Headers],[WP_HBCeil]], Output_0000[[#This Row],[Date]])</f>
        <v/>
      </c>
      <c r="AV31" s="51"/>
    </row>
    <row r="32" spans="2:48" ht="15.5" x14ac:dyDescent="0.35">
      <c r="B32" s="3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3"/>
      <c r="AA32" s="47">
        <f t="shared" si="3"/>
        <v>44174</v>
      </c>
      <c r="AB32" s="49" t="str">
        <f t="shared" ca="1" si="1"/>
        <v>HWST</v>
      </c>
      <c r="AC3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1">
        <f ca="1">SUM($AC$14:AC32)</f>
        <v>1010.5877551020408</v>
      </c>
      <c r="AF32" s="51" t="e">
        <f>IF(AD32="",NA(),SUM($AD$14:AD32))</f>
        <v>#N/A</v>
      </c>
      <c r="AG32" s="51" t="str">
        <f ca="1">WeeklyPlanned(Output_0000[[#Headers],[WP_ABC]], Output_0000[[#This Row],[Date]])</f>
        <v/>
      </c>
      <c r="AH32" s="51"/>
      <c r="AI32" s="51" t="str">
        <f ca="1">WeeklyPlanned(Output_0000[[#Headers],[WP_ACS]], Output_0000[[#This Row],[Date]])</f>
        <v/>
      </c>
      <c r="AJ32" s="51"/>
      <c r="AK32" s="51" t="str">
        <f ca="1">WeeklyPlanned(Output_0000[[#Headers],[WP_AL1]], Output_0000[[#This Row],[Date]])</f>
        <v/>
      </c>
      <c r="AL32" s="51"/>
      <c r="AM32" s="51" t="str">
        <f ca="1">WeeklyPlanned(Output_0000[[#Headers],[WP_HBase]], Output_0000[[#This Row],[Date]])</f>
        <v/>
      </c>
      <c r="AN32" s="51"/>
      <c r="AO32" s="51">
        <f ca="1">WeeklyPlanned(Output_0000[[#Headers],[WP_HWST]], Output_0000[[#This Row],[Date]])</f>
        <v>10.510204081632653</v>
      </c>
      <c r="AP32" s="51"/>
      <c r="AQ32" s="51" t="str">
        <f ca="1">WeeklyPlanned(Output_0000[[#Headers],[WP_HWSR]], Output_0000[[#This Row],[Date]])</f>
        <v/>
      </c>
      <c r="AR32" s="51"/>
      <c r="AS32" s="51" t="str">
        <f ca="1">WeeklyPlanned(Output_0000[[#Headers],[WP_HL2]], Output_0000[[#This Row],[Date]])</f>
        <v/>
      </c>
      <c r="AT32" s="51"/>
      <c r="AU32" s="51" t="str">
        <f ca="1">WeeklyPlanned(Output_0000[[#Headers],[WP_HBCeil]], Output_0000[[#This Row],[Date]])</f>
        <v/>
      </c>
      <c r="AV32" s="51"/>
    </row>
    <row r="33" spans="2:48" ht="15.5" x14ac:dyDescent="0.35">
      <c r="B33" s="3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43"/>
      <c r="AA33" s="47">
        <f t="shared" si="3"/>
        <v>44181</v>
      </c>
      <c r="AB33" s="49" t="str">
        <f t="shared" ca="1" si="1"/>
        <v>HWST</v>
      </c>
      <c r="AC3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1">
        <f ca="1">SUM($AC$14:AC33)</f>
        <v>1021.0979591836734</v>
      </c>
      <c r="AF33" s="51" t="e">
        <f>IF(AD33="",NA(),SUM($AD$14:AD33))</f>
        <v>#N/A</v>
      </c>
      <c r="AG33" s="51" t="str">
        <f ca="1">WeeklyPlanned(Output_0000[[#Headers],[WP_ABC]], Output_0000[[#This Row],[Date]])</f>
        <v/>
      </c>
      <c r="AH33" s="51"/>
      <c r="AI33" s="51" t="str">
        <f ca="1">WeeklyPlanned(Output_0000[[#Headers],[WP_ACS]], Output_0000[[#This Row],[Date]])</f>
        <v/>
      </c>
      <c r="AJ33" s="51"/>
      <c r="AK33" s="51" t="str">
        <f ca="1">WeeklyPlanned(Output_0000[[#Headers],[WP_AL1]], Output_0000[[#This Row],[Date]])</f>
        <v/>
      </c>
      <c r="AL33" s="51"/>
      <c r="AM33" s="51" t="str">
        <f ca="1">WeeklyPlanned(Output_0000[[#Headers],[WP_HBase]], Output_0000[[#This Row],[Date]])</f>
        <v/>
      </c>
      <c r="AN33" s="51"/>
      <c r="AO33" s="51">
        <f ca="1">WeeklyPlanned(Output_0000[[#Headers],[WP_HWST]], Output_0000[[#This Row],[Date]])</f>
        <v>10.510204081632653</v>
      </c>
      <c r="AP33" s="51"/>
      <c r="AQ33" s="51" t="str">
        <f ca="1">WeeklyPlanned(Output_0000[[#Headers],[WP_HWSR]], Output_0000[[#This Row],[Date]])</f>
        <v/>
      </c>
      <c r="AR33" s="51"/>
      <c r="AS33" s="51" t="str">
        <f ca="1">WeeklyPlanned(Output_0000[[#Headers],[WP_HL2]], Output_0000[[#This Row],[Date]])</f>
        <v/>
      </c>
      <c r="AT33" s="51"/>
      <c r="AU33" s="51" t="str">
        <f ca="1">WeeklyPlanned(Output_0000[[#Headers],[WP_HBCeil]], Output_0000[[#This Row],[Date]])</f>
        <v/>
      </c>
      <c r="AV33" s="51"/>
    </row>
    <row r="34" spans="2:48" ht="15.5" x14ac:dyDescent="0.35">
      <c r="B34" s="3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43"/>
      <c r="AA34" s="47">
        <f t="shared" si="3"/>
        <v>44188</v>
      </c>
      <c r="AB34" s="49" t="str">
        <f t="shared" ca="1" si="1"/>
        <v>HWST, HWSR</v>
      </c>
      <c r="AC3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1">
        <f ca="1">SUM($AC$14:AC34)</f>
        <v>1036.5333333333333</v>
      </c>
      <c r="AF34" s="51" t="e">
        <f>IF(AD34="",NA(),SUM($AD$14:AD34))</f>
        <v>#N/A</v>
      </c>
      <c r="AG34" s="51" t="str">
        <f ca="1">WeeklyPlanned(Output_0000[[#Headers],[WP_ABC]], Output_0000[[#This Row],[Date]])</f>
        <v/>
      </c>
      <c r="AH34" s="51"/>
      <c r="AI34" s="51" t="str">
        <f ca="1">WeeklyPlanned(Output_0000[[#Headers],[WP_ACS]], Output_0000[[#This Row],[Date]])</f>
        <v/>
      </c>
      <c r="AJ34" s="51"/>
      <c r="AK34" s="51" t="str">
        <f ca="1">WeeklyPlanned(Output_0000[[#Headers],[WP_AL1]], Output_0000[[#This Row],[Date]])</f>
        <v/>
      </c>
      <c r="AL34" s="51"/>
      <c r="AM34" s="51" t="str">
        <f ca="1">WeeklyPlanned(Output_0000[[#Headers],[WP_HBase]], Output_0000[[#This Row],[Date]])</f>
        <v/>
      </c>
      <c r="AN34" s="51"/>
      <c r="AO34" s="51">
        <f ca="1">WeeklyPlanned(Output_0000[[#Headers],[WP_HWST]], Output_0000[[#This Row],[Date]])</f>
        <v>2.1020408163265305</v>
      </c>
      <c r="AP34" s="51"/>
      <c r="AQ34" s="51">
        <f ca="1">WeeklyPlanned(Output_0000[[#Headers],[WP_HWSR]], Output_0000[[#This Row],[Date]])</f>
        <v>13.333333333333334</v>
      </c>
      <c r="AR34" s="51"/>
      <c r="AS34" s="51" t="str">
        <f ca="1">WeeklyPlanned(Output_0000[[#Headers],[WP_HL2]], Output_0000[[#This Row],[Date]])</f>
        <v/>
      </c>
      <c r="AT34" s="51"/>
      <c r="AU34" s="51" t="str">
        <f ca="1">WeeklyPlanned(Output_0000[[#Headers],[WP_HBCeil]], Output_0000[[#This Row],[Date]])</f>
        <v/>
      </c>
      <c r="AV34" s="51"/>
    </row>
    <row r="35" spans="2:48" ht="15.5" x14ac:dyDescent="0.35">
      <c r="B35" s="3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43"/>
      <c r="AA35" s="47">
        <f t="shared" si="3"/>
        <v>44195</v>
      </c>
      <c r="AB35" s="49" t="str">
        <f t="shared" ca="1" si="1"/>
        <v>HWSR</v>
      </c>
      <c r="AC3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1">
        <f ca="1">SUM($AC$14:AC35)</f>
        <v>1049.8666666666666</v>
      </c>
      <c r="AF35" s="51" t="e">
        <f>IF(AD35="",NA(),SUM($AD$14:AD35))</f>
        <v>#N/A</v>
      </c>
      <c r="AG35" s="51" t="str">
        <f ca="1">WeeklyPlanned(Output_0000[[#Headers],[WP_ABC]], Output_0000[[#This Row],[Date]])</f>
        <v/>
      </c>
      <c r="AH35" s="51"/>
      <c r="AI35" s="51" t="str">
        <f ca="1">WeeklyPlanned(Output_0000[[#Headers],[WP_ACS]], Output_0000[[#This Row],[Date]])</f>
        <v/>
      </c>
      <c r="AJ35" s="51"/>
      <c r="AK35" s="51" t="str">
        <f ca="1">WeeklyPlanned(Output_0000[[#Headers],[WP_AL1]], Output_0000[[#This Row],[Date]])</f>
        <v/>
      </c>
      <c r="AL35" s="51"/>
      <c r="AM35" s="51" t="str">
        <f ca="1">WeeklyPlanned(Output_0000[[#Headers],[WP_HBase]], Output_0000[[#This Row],[Date]])</f>
        <v/>
      </c>
      <c r="AN35" s="51"/>
      <c r="AO35" s="51" t="str">
        <f ca="1">WeeklyPlanned(Output_0000[[#Headers],[WP_HWST]], Output_0000[[#This Row],[Date]])</f>
        <v/>
      </c>
      <c r="AP35" s="51"/>
      <c r="AQ35" s="51">
        <f ca="1">WeeklyPlanned(Output_0000[[#Headers],[WP_HWSR]], Output_0000[[#This Row],[Date]])</f>
        <v>13.333333333333334</v>
      </c>
      <c r="AR35" s="51"/>
      <c r="AS35" s="51" t="str">
        <f ca="1">WeeklyPlanned(Output_0000[[#Headers],[WP_HL2]], Output_0000[[#This Row],[Date]])</f>
        <v/>
      </c>
      <c r="AT35" s="51"/>
      <c r="AU35" s="51" t="str">
        <f ca="1">WeeklyPlanned(Output_0000[[#Headers],[WP_HBCeil]], Output_0000[[#This Row],[Date]])</f>
        <v/>
      </c>
      <c r="AV35" s="51"/>
    </row>
    <row r="36" spans="2:48" ht="15.5" x14ac:dyDescent="0.35">
      <c r="B36" s="3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43"/>
      <c r="AA36" s="47">
        <f t="shared" si="3"/>
        <v>44202</v>
      </c>
      <c r="AB36" s="49" t="str">
        <f t="shared" ca="1" si="1"/>
        <v>HWSR</v>
      </c>
      <c r="AC3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1">
        <f ca="1">SUM($AC$14:AC36)</f>
        <v>1053.1999999999998</v>
      </c>
      <c r="AF36" s="51" t="e">
        <f>IF(AD36="",NA(),SUM($AD$14:AD36))</f>
        <v>#N/A</v>
      </c>
      <c r="AG36" s="51" t="str">
        <f ca="1">WeeklyPlanned(Output_0000[[#Headers],[WP_ABC]], Output_0000[[#This Row],[Date]])</f>
        <v/>
      </c>
      <c r="AH36" s="51"/>
      <c r="AI36" s="51" t="str">
        <f ca="1">WeeklyPlanned(Output_0000[[#Headers],[WP_ACS]], Output_0000[[#This Row],[Date]])</f>
        <v/>
      </c>
      <c r="AJ36" s="51"/>
      <c r="AK36" s="51" t="str">
        <f ca="1">WeeklyPlanned(Output_0000[[#Headers],[WP_AL1]], Output_0000[[#This Row],[Date]])</f>
        <v/>
      </c>
      <c r="AL36" s="51"/>
      <c r="AM36" s="51" t="str">
        <f ca="1">WeeklyPlanned(Output_0000[[#Headers],[WP_HBase]], Output_0000[[#This Row],[Date]])</f>
        <v/>
      </c>
      <c r="AN36" s="51"/>
      <c r="AO36" s="51" t="str">
        <f ca="1">WeeklyPlanned(Output_0000[[#Headers],[WP_HWST]], Output_0000[[#This Row],[Date]])</f>
        <v/>
      </c>
      <c r="AP36" s="51"/>
      <c r="AQ36" s="51">
        <f ca="1">WeeklyPlanned(Output_0000[[#Headers],[WP_HWSR]], Output_0000[[#This Row],[Date]])</f>
        <v>3.3333333333333335</v>
      </c>
      <c r="AR36" s="51"/>
      <c r="AS36" s="51" t="str">
        <f ca="1">WeeklyPlanned(Output_0000[[#Headers],[WP_HL2]], Output_0000[[#This Row],[Date]])</f>
        <v/>
      </c>
      <c r="AT36" s="51"/>
      <c r="AU36" s="51" t="str">
        <f ca="1">WeeklyPlanned(Output_0000[[#Headers],[WP_HBCeil]], Output_0000[[#This Row],[Date]])</f>
        <v/>
      </c>
      <c r="AV36" s="51"/>
    </row>
    <row r="37" spans="2:48" ht="15" x14ac:dyDescent="0.3">
      <c r="B37" s="3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43"/>
    </row>
    <row r="38" spans="2:48" ht="15" x14ac:dyDescent="0.3">
      <c r="B38" s="3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43"/>
    </row>
    <row r="39" spans="2:48" ht="15" x14ac:dyDescent="0.3">
      <c r="B39" s="3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43"/>
    </row>
    <row r="40" spans="2:48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V27" sqref="V27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2" width="9.453125" style="69" customWidth="1"/>
    <col min="13" max="13" width="12.0898437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49" ht="14.5" thickBot="1" x14ac:dyDescent="0.35"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3"/>
      <c r="AB2" s="54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3"/>
      <c r="AB3" s="54"/>
      <c r="AC3" s="64">
        <v>44022.573796296296</v>
      </c>
      <c r="AE3" s="38"/>
      <c r="AF3" s="6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3"/>
      <c r="AB4" s="54"/>
      <c r="AC4" s="64">
        <v>44022.575659722221</v>
      </c>
      <c r="AE4" s="38"/>
      <c r="AF4" s="6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str">
        <f>Main!C16</f>
        <v>Glassey Steel Works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5"/>
      <c r="AB7" s="56"/>
      <c r="AC7" s="69" t="str">
        <f>TEXT(AC4-AC3, "hh:mm:ss")</f>
        <v>00:02:41</v>
      </c>
    </row>
    <row r="8" spans="2:4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4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6"/>
      <c r="AC10" s="65"/>
      <c r="AD10" s="63"/>
    </row>
    <row r="11" spans="2:4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63"/>
      <c r="AD11" s="63"/>
    </row>
    <row r="12" spans="2:4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9">
        <v>202</v>
      </c>
      <c r="X14" s="69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9">
        <v>102</v>
      </c>
      <c r="X15" s="69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9">
        <v>324</v>
      </c>
      <c r="X16" s="69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59" t="s">
        <v>140</v>
      </c>
      <c r="T17" s="59" t="s">
        <v>95</v>
      </c>
      <c r="U17" s="60">
        <v>44131</v>
      </c>
      <c r="V17" s="60">
        <v>44140</v>
      </c>
      <c r="W17" s="69">
        <v>132</v>
      </c>
      <c r="X17" s="69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59" t="s">
        <v>144</v>
      </c>
      <c r="T18" s="59" t="s">
        <v>96</v>
      </c>
      <c r="U18" s="60">
        <v>44113</v>
      </c>
      <c r="V18" s="60">
        <v>44181</v>
      </c>
      <c r="W18" s="69">
        <v>273</v>
      </c>
      <c r="X18" s="69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R19" s="36"/>
      <c r="S19" s="59" t="s">
        <v>143</v>
      </c>
      <c r="T19" s="59" t="s">
        <v>97</v>
      </c>
      <c r="U19" s="60">
        <v>44182</v>
      </c>
      <c r="V19" s="60">
        <v>44195</v>
      </c>
      <c r="W19" s="69">
        <v>32</v>
      </c>
      <c r="X19" s="69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R20" s="36"/>
      <c r="S20" s="59" t="s">
        <v>142</v>
      </c>
      <c r="T20" s="59" t="s">
        <v>98</v>
      </c>
      <c r="U20" s="60">
        <v>44109</v>
      </c>
      <c r="V20" s="60">
        <v>44127</v>
      </c>
      <c r="W20" s="69">
        <v>250</v>
      </c>
      <c r="X20" s="69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R21" s="36"/>
      <c r="S21" s="59" t="s">
        <v>141</v>
      </c>
      <c r="T21" s="59" t="s">
        <v>99</v>
      </c>
      <c r="U21" s="60">
        <v>44089</v>
      </c>
      <c r="V21" s="60">
        <v>44104</v>
      </c>
      <c r="W21" s="69">
        <v>29</v>
      </c>
      <c r="X21" s="69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2020-07-15T00:16:27Z</cp:lastPrinted>
  <dcterms:created xsi:type="dcterms:W3CDTF">2019-04-09T17:53:55Z</dcterms:created>
  <dcterms:modified xsi:type="dcterms:W3CDTF">2020-07-15T15:43:51Z</dcterms:modified>
</cp:coreProperties>
</file>