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3882C31F-BC4A-41EB-A9BC-399FDA246943}" xr6:coauthVersionLast="45" xr6:coauthVersionMax="45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6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 calcMode="manual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" i="3" l="1"/>
  <c r="R1" i="10"/>
  <c r="H16" i="2"/>
  <c r="A1" i="9" l="1"/>
  <c r="J2" i="2" l="1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D28" i="11"/>
  <c r="AD27" i="11"/>
  <c r="AD26" i="11"/>
  <c r="AD25" i="11"/>
  <c r="AD24" i="11"/>
  <c r="AD23" i="11"/>
  <c r="AF23" i="11" s="1"/>
  <c r="AD22" i="11"/>
  <c r="AD21" i="11"/>
  <c r="AF21" i="11" s="1"/>
  <c r="AD20" i="11"/>
  <c r="AF20" i="11" s="1"/>
  <c r="AD19" i="11"/>
  <c r="AD18" i="11"/>
  <c r="AD17" i="1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AK37" i="11"/>
  <c r="AI30" i="11"/>
  <c r="AG23" i="11"/>
  <c r="AK30" i="11"/>
  <c r="AG18" i="11"/>
  <c r="AK29" i="11"/>
  <c r="AK27" i="11"/>
  <c r="AK42" i="11"/>
  <c r="AI38" i="11"/>
  <c r="AK24" i="11"/>
  <c r="AK20" i="11"/>
  <c r="AG28" i="11"/>
  <c r="AK38" i="11"/>
  <c r="AI39" i="11"/>
  <c r="AI34" i="11"/>
  <c r="AI27" i="11"/>
  <c r="AG26" i="11"/>
  <c r="AI15" i="11"/>
  <c r="AG43" i="11"/>
  <c r="AK25" i="11"/>
  <c r="AI14" i="11"/>
  <c r="AG33" i="11"/>
  <c r="AI16" i="11"/>
  <c r="AG27" i="11"/>
  <c r="AG14" i="11"/>
  <c r="AG19" i="11"/>
  <c r="AI19" i="11"/>
  <c r="AI23" i="11"/>
  <c r="AK16" i="11"/>
  <c r="AK28" i="11"/>
  <c r="AG38" i="11"/>
  <c r="AK17" i="11"/>
  <c r="AG24" i="11"/>
  <c r="AI20" i="11"/>
  <c r="AG35" i="11"/>
  <c r="AK41" i="11"/>
  <c r="AI40" i="11"/>
  <c r="AI35" i="11"/>
  <c r="AK40" i="11"/>
  <c r="AK39" i="11"/>
  <c r="AK33" i="11"/>
  <c r="AI37" i="11"/>
  <c r="AK31" i="11"/>
  <c r="AG34" i="11"/>
  <c r="AG41" i="11"/>
  <c r="AI29" i="11"/>
  <c r="AK23" i="11"/>
  <c r="AG30" i="11"/>
  <c r="AI25" i="11"/>
  <c r="AI17" i="11"/>
  <c r="AG31" i="11"/>
  <c r="AK43" i="11"/>
  <c r="AI42" i="11"/>
  <c r="AG42" i="11"/>
  <c r="I16" i="2"/>
  <c r="AI21" i="11"/>
  <c r="AG21" i="11"/>
  <c r="AG25" i="11"/>
  <c r="AI36" i="11"/>
  <c r="AK21" i="11"/>
  <c r="AK34" i="11"/>
  <c r="AI26" i="11"/>
  <c r="AG15" i="11"/>
  <c r="AI41" i="11"/>
  <c r="AG16" i="11"/>
  <c r="AG40" i="11"/>
  <c r="AG20" i="11"/>
  <c r="AI28" i="11"/>
  <c r="AI22" i="11"/>
  <c r="AK18" i="11"/>
  <c r="AK35" i="11"/>
  <c r="AI32" i="11"/>
  <c r="AG37" i="11"/>
  <c r="AI43" i="11"/>
  <c r="AK26" i="11"/>
  <c r="AI18" i="11"/>
  <c r="AG39" i="11"/>
  <c r="AK15" i="11"/>
  <c r="AG22" i="11"/>
  <c r="AI24" i="11"/>
  <c r="AG29" i="11"/>
  <c r="AK14" i="11"/>
  <c r="AK32" i="11"/>
  <c r="AK19" i="11"/>
  <c r="AG32" i="11"/>
  <c r="AK36" i="11"/>
  <c r="AG36" i="11"/>
  <c r="AK22" i="11"/>
  <c r="AG17" i="11"/>
  <c r="I33" i="2"/>
  <c r="AI33" i="11"/>
  <c r="AI31" i="11"/>
  <c r="O10" i="11"/>
  <c r="AF22" i="11" l="1"/>
  <c r="AF24" i="11"/>
  <c r="AF25" i="11"/>
  <c r="AF26" i="11"/>
  <c r="AF27" i="11"/>
  <c r="AF28" i="11"/>
  <c r="AF17" i="11"/>
  <c r="AF29" i="11"/>
  <c r="AF18" i="11"/>
  <c r="AF19" i="11"/>
  <c r="AC14" i="1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B20" i="11"/>
  <c r="AB19" i="11"/>
  <c r="AB32" i="11"/>
  <c r="N8" i="11"/>
  <c r="O9" i="11"/>
  <c r="AB35" i="11"/>
  <c r="O6" i="11"/>
  <c r="AB39" i="11"/>
  <c r="AB27" i="11"/>
  <c r="AB38" i="11"/>
  <c r="O8" i="11"/>
  <c r="AB24" i="11"/>
  <c r="AB15" i="11"/>
  <c r="AB42" i="11"/>
  <c r="AB29" i="11"/>
  <c r="AB16" i="11"/>
  <c r="AB37" i="11"/>
  <c r="N10" i="11"/>
  <c r="AB22" i="11"/>
  <c r="AB40" i="11"/>
  <c r="AB23" i="11"/>
  <c r="AB30" i="11"/>
  <c r="AB31" i="11"/>
  <c r="AB41" i="11"/>
  <c r="N11" i="11"/>
  <c r="AB43" i="11"/>
  <c r="AB17" i="11"/>
  <c r="AB25" i="11"/>
  <c r="AB34" i="11"/>
  <c r="AB14" i="11"/>
  <c r="AB18" i="11"/>
  <c r="N9" i="11"/>
  <c r="AB21" i="11"/>
  <c r="AB28" i="11"/>
  <c r="AB36" i="11"/>
  <c r="N12" i="11"/>
  <c r="AG15" i="10"/>
  <c r="AB33" i="11"/>
  <c r="AB26" i="11"/>
  <c r="N6" i="11"/>
  <c r="O7" i="11"/>
  <c r="O5" i="11" l="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0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F36" i="10" s="1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F24" i="10" s="1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D16" i="10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U35" i="10"/>
  <c r="AU44" i="10"/>
  <c r="AI27" i="10"/>
  <c r="AI22" i="10"/>
  <c r="AM28" i="10"/>
  <c r="AK26" i="10"/>
  <c r="AU20" i="10"/>
  <c r="AO39" i="10"/>
  <c r="AS26" i="10"/>
  <c r="AG21" i="10"/>
  <c r="AG29" i="10"/>
  <c r="AK24" i="10"/>
  <c r="AQ26" i="10"/>
  <c r="AM25" i="10"/>
  <c r="AQ40" i="10"/>
  <c r="AQ21" i="10"/>
  <c r="AM44" i="10"/>
  <c r="AG16" i="10"/>
  <c r="AI34" i="10"/>
  <c r="AO38" i="10"/>
  <c r="AG23" i="10"/>
  <c r="AG30" i="10"/>
  <c r="AG18" i="10"/>
  <c r="AG19" i="10"/>
  <c r="AS38" i="10"/>
  <c r="AO27" i="10"/>
  <c r="AS15" i="10"/>
  <c r="AU36" i="10"/>
  <c r="AG27" i="10"/>
  <c r="AS35" i="10"/>
  <c r="AU31" i="10"/>
  <c r="AU29" i="10"/>
  <c r="AO29" i="10"/>
  <c r="AK28" i="10"/>
  <c r="AM41" i="10"/>
  <c r="AQ29" i="10"/>
  <c r="AI42" i="10"/>
  <c r="AS28" i="10"/>
  <c r="AI18" i="10"/>
  <c r="AK37" i="10"/>
  <c r="AK27" i="10"/>
  <c r="AO40" i="10"/>
  <c r="AK41" i="10"/>
  <c r="AQ19" i="10"/>
  <c r="AI43" i="10"/>
  <c r="AG20" i="10"/>
  <c r="AQ33" i="10"/>
  <c r="AI39" i="10"/>
  <c r="AS19" i="10"/>
  <c r="AM30" i="10"/>
  <c r="N13" i="11"/>
  <c r="AM37" i="10"/>
  <c r="AO24" i="10"/>
  <c r="AS29" i="10"/>
  <c r="AK33" i="10"/>
  <c r="AU37" i="10"/>
  <c r="AI40" i="10"/>
  <c r="AG38" i="10"/>
  <c r="AO42" i="10"/>
  <c r="AG25" i="10"/>
  <c r="AM35" i="10"/>
  <c r="AQ14" i="10"/>
  <c r="AI24" i="10"/>
  <c r="AG37" i="10"/>
  <c r="AK34" i="10"/>
  <c r="AI15" i="10"/>
  <c r="AU25" i="10"/>
  <c r="AS45" i="10"/>
  <c r="AK18" i="10"/>
  <c r="AQ34" i="10"/>
  <c r="AI37" i="10"/>
  <c r="AS44" i="10"/>
  <c r="AI20" i="10"/>
  <c r="AM24" i="10"/>
  <c r="AI17" i="10"/>
  <c r="AI14" i="10"/>
  <c r="AG40" i="10"/>
  <c r="AO21" i="10"/>
  <c r="AO22" i="10"/>
  <c r="AI35" i="10"/>
  <c r="AK35" i="10"/>
  <c r="AQ38" i="10"/>
  <c r="AU32" i="10"/>
  <c r="AS25" i="10"/>
  <c r="AI45" i="10"/>
  <c r="N7" i="11"/>
  <c r="AU42" i="10"/>
  <c r="AI32" i="10"/>
  <c r="AK19" i="10"/>
  <c r="AU14" i="10"/>
  <c r="AS24" i="10"/>
  <c r="AI31" i="10"/>
  <c r="AO44" i="10"/>
  <c r="AO32" i="10"/>
  <c r="AS27" i="10"/>
  <c r="AS18" i="10"/>
  <c r="AO43" i="10"/>
  <c r="AO45" i="10"/>
  <c r="AK29" i="10"/>
  <c r="AI26" i="10"/>
  <c r="AO30" i="10"/>
  <c r="AM26" i="10"/>
  <c r="AQ24" i="10"/>
  <c r="AO41" i="10"/>
  <c r="AK14" i="10"/>
  <c r="AQ25" i="10"/>
  <c r="AQ30" i="10"/>
  <c r="AG24" i="10"/>
  <c r="AG35" i="10"/>
  <c r="AQ35" i="10"/>
  <c r="AI28" i="10"/>
  <c r="AU15" i="10"/>
  <c r="AM20" i="10"/>
  <c r="AG36" i="10"/>
  <c r="AU34" i="10"/>
  <c r="AG42" i="10"/>
  <c r="AU23" i="10"/>
  <c r="AO33" i="10"/>
  <c r="AO23" i="10"/>
  <c r="AS40" i="10"/>
  <c r="AM19" i="10"/>
  <c r="AQ41" i="10"/>
  <c r="AG22" i="10"/>
  <c r="AI16" i="10"/>
  <c r="AO18" i="10"/>
  <c r="AK36" i="10"/>
  <c r="AS30" i="10"/>
  <c r="AO25" i="10"/>
  <c r="AQ42" i="10"/>
  <c r="AM17" i="10"/>
  <c r="AU45" i="10"/>
  <c r="AI29" i="10"/>
  <c r="AO20" i="10"/>
  <c r="AU39" i="10"/>
  <c r="AS34" i="10"/>
  <c r="AM43" i="10"/>
  <c r="AO37" i="10"/>
  <c r="AM40" i="10"/>
  <c r="AK23" i="10"/>
  <c r="AK42" i="10"/>
  <c r="AM39" i="10"/>
  <c r="AO16" i="10"/>
  <c r="AK25" i="10"/>
  <c r="AI36" i="10"/>
  <c r="AU24" i="10"/>
  <c r="AQ44" i="10"/>
  <c r="AS20" i="10"/>
  <c r="AU40" i="10"/>
  <c r="AK44" i="10"/>
  <c r="AK20" i="10"/>
  <c r="AU43" i="10"/>
  <c r="AM45" i="10"/>
  <c r="AI19" i="10"/>
  <c r="AS14" i="10"/>
  <c r="AU22" i="10"/>
  <c r="AM16" i="10"/>
  <c r="AK38" i="10"/>
  <c r="AK21" i="10"/>
  <c r="AM36" i="10"/>
  <c r="AI30" i="10"/>
  <c r="AQ37" i="10"/>
  <c r="AM29" i="10"/>
  <c r="AG28" i="10"/>
  <c r="AU16" i="10"/>
  <c r="AS16" i="10"/>
  <c r="AS31" i="10"/>
  <c r="AQ27" i="10"/>
  <c r="AQ17" i="10"/>
  <c r="AI25" i="10"/>
  <c r="AO36" i="10"/>
  <c r="AS41" i="10"/>
  <c r="AM22" i="10"/>
  <c r="AU27" i="10"/>
  <c r="AU17" i="10"/>
  <c r="AO17" i="10"/>
  <c r="AK22" i="10"/>
  <c r="AS22" i="10"/>
  <c r="AS33" i="10"/>
  <c r="AI41" i="10"/>
  <c r="AQ43" i="10"/>
  <c r="AG14" i="10"/>
  <c r="AU33" i="10"/>
  <c r="AS43" i="10"/>
  <c r="AS21" i="10"/>
  <c r="AO31" i="10"/>
  <c r="AQ39" i="10"/>
  <c r="AO28" i="10"/>
  <c r="AK39" i="10"/>
  <c r="AS23" i="10"/>
  <c r="AG39" i="10"/>
  <c r="AU41" i="10"/>
  <c r="AG43" i="10"/>
  <c r="AQ18" i="10"/>
  <c r="AU19" i="10"/>
  <c r="AU26" i="10"/>
  <c r="AU21" i="10"/>
  <c r="AM14" i="10"/>
  <c r="AO26" i="10"/>
  <c r="AQ16" i="10"/>
  <c r="AG33" i="10"/>
  <c r="AI23" i="10"/>
  <c r="AQ45" i="10"/>
  <c r="AO15" i="10"/>
  <c r="AO19" i="10"/>
  <c r="AM34" i="10"/>
  <c r="AG45" i="10"/>
  <c r="AG17" i="10"/>
  <c r="AG44" i="10"/>
  <c r="AM23" i="10"/>
  <c r="AI33" i="10"/>
  <c r="AQ23" i="10"/>
  <c r="AQ31" i="10"/>
  <c r="AM42" i="10"/>
  <c r="AK17" i="10"/>
  <c r="AI44" i="10"/>
  <c r="AK40" i="10"/>
  <c r="AM38" i="10"/>
  <c r="AS17" i="10"/>
  <c r="AK45" i="10"/>
  <c r="AM18" i="10"/>
  <c r="AK43" i="10"/>
  <c r="AO14" i="10"/>
  <c r="AK16" i="10"/>
  <c r="AK31" i="10"/>
  <c r="AO34" i="10"/>
  <c r="AG32" i="10"/>
  <c r="AG41" i="10"/>
  <c r="AS32" i="10"/>
  <c r="AQ22" i="10"/>
  <c r="AG31" i="10"/>
  <c r="AM32" i="10"/>
  <c r="AO35" i="10"/>
  <c r="AU30" i="10"/>
  <c r="AS39" i="10"/>
  <c r="AQ20" i="10"/>
  <c r="AQ15" i="10"/>
  <c r="AG34" i="10"/>
  <c r="AM15" i="10"/>
  <c r="AK15" i="10"/>
  <c r="AQ28" i="10"/>
  <c r="AI21" i="10"/>
  <c r="AS37" i="10"/>
  <c r="AS36" i="10"/>
  <c r="AK32" i="10"/>
  <c r="AG26" i="10"/>
  <c r="AQ32" i="10"/>
  <c r="AM21" i="10"/>
  <c r="AU28" i="10"/>
  <c r="AI38" i="10"/>
  <c r="AM31" i="10"/>
  <c r="AU18" i="10"/>
  <c r="AU38" i="10"/>
  <c r="AQ36" i="10"/>
  <c r="AS42" i="10"/>
  <c r="AK30" i="10"/>
  <c r="AM27" i="10"/>
  <c r="AM33" i="10"/>
  <c r="O10" i="10"/>
  <c r="AF16" i="10" l="1"/>
  <c r="AF17" i="10"/>
  <c r="AF18" i="10"/>
  <c r="N5" i="1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6" i="10"/>
  <c r="AB32" i="10"/>
  <c r="AB19" i="10"/>
  <c r="N9" i="10"/>
  <c r="O7" i="10"/>
  <c r="AB42" i="10"/>
  <c r="AB31" i="10"/>
  <c r="AB29" i="10"/>
  <c r="N8" i="10"/>
  <c r="AB39" i="10"/>
  <c r="N11" i="10"/>
  <c r="AB21" i="10"/>
  <c r="AB45" i="10"/>
  <c r="AB23" i="10"/>
  <c r="AB35" i="10"/>
  <c r="AB30" i="10"/>
  <c r="AB14" i="10"/>
  <c r="N10" i="10"/>
  <c r="AB33" i="10"/>
  <c r="O9" i="10"/>
  <c r="AB22" i="10"/>
  <c r="AB16" i="10"/>
  <c r="AB24" i="10"/>
  <c r="AB27" i="10"/>
  <c r="AB15" i="10"/>
  <c r="AB43" i="10"/>
  <c r="AB44" i="10"/>
  <c r="AB41" i="10"/>
  <c r="N12" i="10"/>
  <c r="AB25" i="10"/>
  <c r="O8" i="10"/>
  <c r="AB34" i="10"/>
  <c r="O6" i="10"/>
  <c r="AB36" i="10"/>
  <c r="AB37" i="10"/>
  <c r="N6" i="10"/>
  <c r="AB28" i="10"/>
  <c r="O11" i="11"/>
  <c r="AB20" i="10"/>
  <c r="AB40" i="10"/>
  <c r="AB38" i="10"/>
  <c r="AB18" i="10"/>
  <c r="AB17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5" i="3" l="1"/>
  <c r="AF27" i="3"/>
  <c r="AF26" i="3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O11" i="10"/>
  <c r="N13" i="10"/>
  <c r="V2" i="10" l="1"/>
  <c r="D16" i="2"/>
  <c r="S4" i="3" l="1"/>
  <c r="S5" i="3" l="1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B14" i="3"/>
  <c r="AI15" i="3"/>
  <c r="AG15" i="3"/>
  <c r="AK15" i="3"/>
  <c r="N12" i="3"/>
  <c r="AC15" i="3" l="1"/>
  <c r="AE15" i="3" s="1"/>
  <c r="AE14" i="3"/>
  <c r="AA16" i="3"/>
  <c r="B2" i="3"/>
  <c r="C5" i="3"/>
  <c r="C4" i="3"/>
  <c r="AB15" i="3"/>
  <c r="AI16" i="3"/>
  <c r="N6" i="3"/>
  <c r="AK16" i="3"/>
  <c r="AG16" i="3"/>
  <c r="AC16" i="3" l="1"/>
  <c r="AA17" i="3"/>
  <c r="AG17" i="3"/>
  <c r="AI17" i="3"/>
  <c r="AB16" i="3"/>
  <c r="AK17" i="3"/>
  <c r="AC17" i="3" l="1"/>
  <c r="AE16" i="3"/>
  <c r="AA18" i="3"/>
  <c r="B8" i="2"/>
  <c r="B7" i="2"/>
  <c r="B6" i="2"/>
  <c r="AI18" i="3"/>
  <c r="AB17" i="3"/>
  <c r="AK18" i="3"/>
  <c r="AG18" i="3"/>
  <c r="AC18" i="3" l="1"/>
  <c r="AA19" i="3"/>
  <c r="AE17" i="3"/>
  <c r="B2" i="2"/>
  <c r="B4" i="2"/>
  <c r="AI19" i="3"/>
  <c r="AB18" i="3"/>
  <c r="AK19" i="3"/>
  <c r="AG19" i="3"/>
  <c r="AC19" i="3" l="1"/>
  <c r="AE18" i="3"/>
  <c r="AA20" i="3"/>
  <c r="C6" i="1"/>
  <c r="AK20" i="3"/>
  <c r="AI20" i="3"/>
  <c r="AB19" i="3"/>
  <c r="AG20" i="3"/>
  <c r="AC20" i="3" l="1"/>
  <c r="AE20" i="3" s="1"/>
  <c r="AA21" i="3"/>
  <c r="AE19" i="3"/>
  <c r="AG21" i="3"/>
  <c r="AB20" i="3"/>
  <c r="AK21" i="3"/>
  <c r="AI21" i="3"/>
  <c r="AC21" i="3" l="1"/>
  <c r="AA22" i="3"/>
  <c r="AB21" i="3"/>
  <c r="AK22" i="3"/>
  <c r="AI22" i="3"/>
  <c r="AG22" i="3"/>
  <c r="AC22" i="3" l="1"/>
  <c r="AE22" i="3" s="1"/>
  <c r="AA23" i="3"/>
  <c r="AE21" i="3"/>
  <c r="AK23" i="3"/>
  <c r="AI23" i="3"/>
  <c r="AB22" i="3"/>
  <c r="AG23" i="3"/>
  <c r="AC23" i="3" l="1"/>
  <c r="AA24" i="3"/>
  <c r="AK24" i="3"/>
  <c r="AB23" i="3"/>
  <c r="AI24" i="3"/>
  <c r="AG24" i="3"/>
  <c r="AC24" i="3" l="1"/>
  <c r="AE23" i="3"/>
  <c r="AA25" i="3"/>
  <c r="AG25" i="3"/>
  <c r="AB24" i="3"/>
  <c r="AI25" i="3"/>
  <c r="AK25" i="3"/>
  <c r="AC25" i="3" l="1"/>
  <c r="AA26" i="3"/>
  <c r="AE24" i="3"/>
  <c r="AB25" i="3"/>
  <c r="AG26" i="3"/>
  <c r="AI26" i="3"/>
  <c r="AK26" i="3"/>
  <c r="AC26" i="3" l="1"/>
  <c r="AA27" i="3"/>
  <c r="AE25" i="3"/>
  <c r="AI27" i="3"/>
  <c r="AB26" i="3"/>
  <c r="AG27" i="3"/>
  <c r="AK27" i="3"/>
  <c r="AC27" i="3" l="1"/>
  <c r="AA28" i="3"/>
  <c r="AE26" i="3"/>
  <c r="AI28" i="3"/>
  <c r="AB27" i="3"/>
  <c r="AK28" i="3"/>
  <c r="AG28" i="3"/>
  <c r="AC28" i="3" l="1"/>
  <c r="AA29" i="3"/>
  <c r="AE27" i="3"/>
  <c r="AI29" i="3"/>
  <c r="AB28" i="3"/>
  <c r="AK29" i="3"/>
  <c r="AG29" i="3"/>
  <c r="AC29" i="3" l="1"/>
  <c r="AA30" i="3"/>
  <c r="AE28" i="3"/>
  <c r="AI30" i="3"/>
  <c r="AG30" i="3"/>
  <c r="AB29" i="3"/>
  <c r="AK30" i="3"/>
  <c r="AC30" i="3" l="1"/>
  <c r="AA31" i="3"/>
  <c r="AE29" i="3"/>
  <c r="AB30" i="3"/>
  <c r="AK31" i="3"/>
  <c r="AG31" i="3"/>
  <c r="AI31" i="3"/>
  <c r="AC31" i="3" l="1"/>
  <c r="AA32" i="3"/>
  <c r="AE30" i="3"/>
  <c r="AK32" i="3"/>
  <c r="AI32" i="3"/>
  <c r="AG32" i="3"/>
  <c r="AB31" i="3"/>
  <c r="AC32" i="3" l="1"/>
  <c r="AA33" i="3"/>
  <c r="AE31" i="3"/>
  <c r="AI33" i="3"/>
  <c r="AB32" i="3"/>
  <c r="AG33" i="3"/>
  <c r="AK33" i="3"/>
  <c r="AC33" i="3" l="1"/>
  <c r="AA34" i="3"/>
  <c r="AE32" i="3"/>
  <c r="AG34" i="3"/>
  <c r="AK34" i="3"/>
  <c r="AI34" i="3"/>
  <c r="AB33" i="3"/>
  <c r="AC34" i="3" l="1"/>
  <c r="AA35" i="3"/>
  <c r="AE33" i="3"/>
  <c r="AG35" i="3"/>
  <c r="AK35" i="3"/>
  <c r="AB34" i="3"/>
  <c r="AI35" i="3"/>
  <c r="AC35" i="3" l="1"/>
  <c r="AA36" i="3"/>
  <c r="AE34" i="3"/>
  <c r="AI36" i="3"/>
  <c r="AK36" i="3"/>
  <c r="AB35" i="3"/>
  <c r="AG36" i="3"/>
  <c r="AC36" i="3" l="1"/>
  <c r="AA37" i="3"/>
  <c r="AE35" i="3"/>
  <c r="AK37" i="3"/>
  <c r="AG37" i="3"/>
  <c r="AB36" i="3"/>
  <c r="AI37" i="3"/>
  <c r="AC37" i="3" l="1"/>
  <c r="AA38" i="3"/>
  <c r="AE36" i="3"/>
  <c r="AK38" i="3"/>
  <c r="AI38" i="3"/>
  <c r="AG38" i="3"/>
  <c r="AB37" i="3"/>
  <c r="AC38" i="3" l="1"/>
  <c r="AA39" i="3"/>
  <c r="AE37" i="3"/>
  <c r="AI39" i="3"/>
  <c r="AB38" i="3"/>
  <c r="AG39" i="3"/>
  <c r="AK39" i="3"/>
  <c r="AC39" i="3" l="1"/>
  <c r="AA40" i="3"/>
  <c r="AE38" i="3"/>
  <c r="AK40" i="3"/>
  <c r="AB39" i="3"/>
  <c r="AG40" i="3"/>
  <c r="AI40" i="3"/>
  <c r="AC40" i="3" l="1"/>
  <c r="AA41" i="3"/>
  <c r="AE39" i="3"/>
  <c r="AG41" i="3"/>
  <c r="AK41" i="3"/>
  <c r="AB40" i="3"/>
  <c r="AI41" i="3"/>
  <c r="AC41" i="3" l="1"/>
  <c r="AA42" i="3"/>
  <c r="AE40" i="3"/>
  <c r="AI42" i="3"/>
  <c r="AG42" i="3"/>
  <c r="AB41" i="3"/>
  <c r="AK42" i="3"/>
  <c r="AC42" i="3" l="1"/>
  <c r="AA43" i="3"/>
  <c r="AE41" i="3"/>
  <c r="AG43" i="3"/>
  <c r="N7" i="3"/>
  <c r="O10" i="3"/>
  <c r="N10" i="3"/>
  <c r="O7" i="3"/>
  <c r="O8" i="3"/>
  <c r="AB42" i="3"/>
  <c r="O9" i="3"/>
  <c r="N8" i="3"/>
  <c r="AK43" i="3"/>
  <c r="AI43" i="3"/>
  <c r="N5" i="3" l="1"/>
  <c r="V2" i="3" s="1"/>
  <c r="AC43" i="3"/>
  <c r="AE42" i="3"/>
  <c r="O6" i="3"/>
  <c r="AB43" i="3"/>
  <c r="N9" i="3"/>
  <c r="N11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B54D365C-D0FE-4F44-ABD2-3CE3C1552405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89DC96AC-2EB6-48A7-BD8E-9C8473846F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01682518-9E52-44EC-97F8-48E5F01EA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6E8307DA-C492-495A-A201-211E39BFB7E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C4D07DF0-F5DA-42FE-8968-7802FB34CF4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30FBF73-6070-4203-9D1C-60C50BD28EE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F20C85D4-8103-4EB1-AA72-FCA50888C86A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6BEF04F3-8322-4FC0-A784-9705B644315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B58CE9AD-B833-4921-B015-BBCDA983E3B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738329FC-DF2A-49E9-B940-4C2098F37F0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7FB0217D-A24B-471C-BF4D-4ACD0F49522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85A5D1A8-CC7D-4C4B-82EE-7C1C3CA79DD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64726B8-757C-408F-B93B-7B80DA7782F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6EDA4242-2291-4E0B-A78D-5B9CF853D88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62E69DE-65EC-4181-A9D7-FEEF4399155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9A6F6ECC-E41B-4716-96A3-E2634370A17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81381898-B0E6-4239-A133-578B8BB503D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<sst xmlns="http://schemas.openxmlformats.org/spreadsheetml/2006/main" count="521" uniqueCount="161">
  <si>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</si>
  <si>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</si>
  <si>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</si>
  <si>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</si>
  <si>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</si>
  <si>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</si>
  <si>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</si>
  <si>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</si>
  <si>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</si>
  <si>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</si>
  <si>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</si>
  <si>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</si>
  <si>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</si>
  <si>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</si>
  <si>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</si>
  <si>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</si>
  <si>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</si>
  <si>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</si>
  <si>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</si>
  <si>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</si>
  <si>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</si>
  <si>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</si>
  <si>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</si>
  <si>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</si>
  <si>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</si>
  <si>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</si>
  <si>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</si>
  <si>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</si>
  <si>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</si>
  <si>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</si>
  <si>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</si>
  <si>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</si>
  <si>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</si>
  <si>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</si>
  <si>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</si>
  <si>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</si>
  <si>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</si>
  <si>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</si>
  <si>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</si>
  <si>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</si>
  <si>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</si>
  <si>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</si>
  <si>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</si>
  <si>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</si>
  <si>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</si>
  <si>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</si>
  <si>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</si>
  <si>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</si>
  <si>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</si>
  <si>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</si>
  <si>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</si>
  <si>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</si>
  <si>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</si>
  <si>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</si>
  <si>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</si>
  <si>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</si>
  <si>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</si>
  <si>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</si>
  <si>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</si>
  <si>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</si>
  <si>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</si>
  <si>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</si>
  <si>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</si>
  <si>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</si>
  <si>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</si>
  <si>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</si>
  <si>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</si>
  <si>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</si>
  <si>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</si>
  <si>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</si>
  <si>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</si>
  <si>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</si>
  <si>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</si>
  <si>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</si>
  <si>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</si>
  <si>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</si>
  <si>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</si>
  <si>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</si>
  <si>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</si>
  <si>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</si>
  <si>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</si>
  <si>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</si>
  <si>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</si>
  <si>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</si>
  <si>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</si>
  <si>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</si>
  <si>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</si>
  <si>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</si>
  <si>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</si>
  <si>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</si>
  <si>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</si>
  <si>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</si>
  <si>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</si>
  <si>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</si>
  <si>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</si>
  <si>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</si>
  <si>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</si>
  <si>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</si>
  <si>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</si>
  <si>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</si>
  <si>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</si>
  <si>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</si>
  <si>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</si>
  <si>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</si>
  <si>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</si>
  <si>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</si>
  <si>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</si>
  <si>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</si>
  <si>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</si>
  <si>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</si>
  <si>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</si>
  <si>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</si>
  <si>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</si>
  <si>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</si>
  <si>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</si>
  <si>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</si>
  <si>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</si>
  <si>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</si>
  <si>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</si>
  <si>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</si>
  <si>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</si>
  <si>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</si>
  <si>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</si>
  <si>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</si>
  <si>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</si>
  <si>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</si>
  <si>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</si>
  <si>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</si>
  <si>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</si>
  <si>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</si>
  <si>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</si>
  <si>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</si>
  <si>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</si>
  <si>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</si>
  <si>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</si>
  <si>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</si>
  <si>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</si>
  <si>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</si>
  <si>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</si>
  <si>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</si>
  <si>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</si>
  <si>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</si>
  <si>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</si>
  <si>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</si>
  <si>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</si>
  <si>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</si>
  <si>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</si>
  <si>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</si>
  <si>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</si>
  <si>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</si>
  <si>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</si>
  <si>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</si>
  <si>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</si>
  <si>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</si>
  <si>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</si>
  <si>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</si>
  <si>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</si>
  <si>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</si>
  <si>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</si>
  <si>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</si>
  <si>
    <t>&lt;-- Hide Don't Delete Division Header &amp; The Trade Rows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</si>
</sst>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08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9" fillId="0" borderId="0" xfId="0" applyFont="1"/>
    <xf numFmtId="0" fontId="9" fillId="0" borderId="0" xfId="0" applyFont="1"/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1" fillId="0" borderId="0" xfId="3" applyNumberFormat="1"/>
    <xf numFmtId="0" fontId="21" fillId="0" borderId="0" xfId="3" applyAlignment="1">
      <alignment horizontal="right"/>
    </xf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19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BE0700B-F83C-409C-BED1-F2B391BA22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E4197B-70EC-4BBA-8F59-6BB1BBB872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5746CA-D0A6-4584-8638-58891BDBE2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F1D030-A3C7-4880-9A5E-D816C01D92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35C475-8F1D-4EAD-8ACE-213BB2A361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4B9C2D-A5A1-4479-A5B4-9097F1F2CD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E3AEEA-8D1C-4307-B133-98C0605B12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615619-160D-490D-9CD0-1BFA0B0D8A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F759FB-AACB-451C-99C9-8F97FBB31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8FFCAC-D3C9-468C-949B-9653A761BB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A922E6-6068-4100-AD9C-DCD99ACF62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77D100-23F8-4ADE-94C3-DF132D95DF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BFF120-D921-4BD5-AF39-F2FFB6F21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8CA277-A140-46A6-B65C-806EC069A2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5FC144-C33D-45BA-AC24-0C9E011B49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7BCD61-5F3C-4BFA-BFAC-16502CEF37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13BEAE-A046-4958-BA9E-AF5453368D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896F5A-AF09-4D4E-BA2F-9466862EAE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7566BA9-209A-496C-A750-29198F35E6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23B314-FF69-43B7-B9AE-AE96DB4DFC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8EEC9AD-8A4B-4693-B203-F95CC2563F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2C5F32-6E66-4E88-816A-C594ACF35D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791614-6F93-41EA-91B7-CD9BE706E5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341CA9-2D06-4A14-9086-F455C51844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EAA9DFF-2F46-435A-B8CF-12586A71B3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21D8B9-F72B-4975-B857-671DC1A945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5E6CBE-CD5C-4920-9441-4E0F32467F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0333B4-08A0-4B30-BBE3-1D0488842D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EEAC84B-8B21-4FBD-8603-D8102CF9B5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E310F5-89A9-4636-AA5E-9249876830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DFB163F-7D1B-4D73-A0DF-9028ABCF99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C1EBA5-5D76-41BA-B740-13F637FAF8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92734A-B233-4515-BEE0-17D8880B1C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50D670-9782-4055-B4CC-FB24113B79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200132-B3C4-4DEC-A521-4E31B0AAD9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675795-8FD4-4178-A724-2EABFC433A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48777C-B7F4-4D7F-9EB9-8141034DCC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14297DE-CED9-42C6-A2D1-546FCBEE8A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5B436F-F00C-45DB-8FA3-2899F667F1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B77DF7-4FBA-4B0B-BB56-4DF3BE8224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D9315F-6F98-410C-84DA-01E2BF4C6B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1B3192-E9A1-447B-94B3-135EBD0BE4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EC2B45-399E-44CF-AE80-52C2F36DCC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95DF32-432F-49A0-9AF8-A6AE27BB81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212FE8-344A-4B50-8FBF-7A93572FB0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AE088AA-0650-471C-BA2F-F2C3CFE2B8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B53865-C299-4FE5-884E-59A9828173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67E45C-223E-4141-AD31-C9824E3DE5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0F4CCF-828A-42A4-B0D6-BCB9D110EE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0C47F6-2C48-440D-9BB1-EE82E8CEB2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0AF56D-6CFF-4C08-BDA4-85A49342A2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95287D-5837-4C95-A530-CB4A4662A8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E77747-D4E8-4FBE-88E8-F13E889745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737D42-BDA6-4957-80CC-B9C57D073E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CAD71F-67C8-4D5A-AF3A-885D972809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BC8797-9923-4CA5-87A1-C29CFBAD30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9380E9-B5F9-47BD-8D27-0EB625FBC2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C3D399-476D-43B4-9DA3-24F76A6BE4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137F85-A6F7-41FF-9F5F-D0208F460F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6D7E7F-0A6B-4641-B8F5-DC570EC124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7F28582-B2F1-487A-A2AD-20DB3EAE41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162438-FAFE-4728-96ED-8FDD01FD9B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A4B3F8B-BA30-4C33-BA29-403118E4E8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16E33A-707A-4E7D-BECD-8961360562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46BFF5-5A2D-4B48-904F-036B20177C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A997A2-E1EF-40B1-B3DC-99ED84C23E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18BD78-DE44-4679-A25B-4A28D140DF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55334B9-AEEF-43B0-A8EA-7F98712EDC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22FDF3-EC9B-4C3E-9E17-9681BE1B42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0312C7-580A-4BCD-B4B8-1D59B61F7C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8F8984-C67B-4DC8-B513-F6A54C10D5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BDEB12-9355-4A2F-A93C-BA807FF3F2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474F432-0B10-47E8-99C2-2C6B5F1230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56395C-141F-4830-B9B1-212D7D0580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3AD39DB-4A45-4BA9-96AC-1075664D26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F14D96-ECDC-4501-9330-3C633DCCA0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FDE9491-0258-4D21-81AE-7EC82DEC37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3B31D7-FEEF-4B7A-A91A-67111EB1E2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98822B6-488D-45F0-B3D8-97B5B92011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54BBA1E-FE4B-4DED-A983-285FC9C61B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7CEA95-FF75-40FA-A213-3912C69656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3B2152-73E5-4AFD-936A-8785B9601A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0979CC-6A5D-4D24-A024-261FC75811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9F5F57-640C-412A-9366-F00A8F3DC7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02523B-87C1-4201-A772-01C94E42F0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2BA06B-FB14-47BD-A4DD-30A731F9A0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81ECFDC-AE9B-43D2-BAA5-F09E05E458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1B7CD4-9619-4094-B0CE-45E3B6556F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9852681-DADF-4E4A-8AF3-DD13E8E627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35668E-2EE7-4FC5-901C-65F85B8186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744F80-29F9-4B3C-AE5A-CA3AEB9C17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02D93EC-DF17-47FF-984E-E52B3F623D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8180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19386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8" dataDxfId="117">
  <autoFilter ref="R13:X16" xr:uid="{FF2C9E8B-1A62-479C-AF68-79B236C0B7BB}"/>
  <tableColumns count="7">
    <tableColumn id="1" xr3:uid="{727C6146-39EA-4E15-8783-53CAA87FAF36}" name="Zone ID" dataDxfId="116"/>
    <tableColumn id="2" xr3:uid="{2CA65110-6DD7-46D8-BFC2-5EB0C0E57567}" name="Description" dataDxfId="115"/>
    <tableColumn id="3" xr3:uid="{12D64F80-6A69-494F-BF8F-E326D34A185A}" name="Short Description" dataDxfId="114"/>
    <tableColumn id="4" xr3:uid="{71F3F5B2-8F6B-4985-B1FC-5A9D60095474}" name="Start Date" dataDxfId="113"/>
    <tableColumn id="5" xr3:uid="{57258378-8FED-4727-89AC-D938CB414B7B}" name="Finish Date" dataDxfId="112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1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0">
      <calculatedColumnFormula>IF(AA13 = "Date", $S$4, AA13+7)</calculatedColumnFormula>
    </tableColumn>
    <tableColumn id="6" xr3:uid="{5740AC03-CF53-4345-8667-6AC0CA6843D0}" name="Primary Areas" dataDxfId="109">
      <calculatedColumnFormula>PrimaryAreas(3)</calculatedColumnFormula>
    </tableColumn>
    <tableColumn id="2" xr3:uid="{AF232D3D-EC3F-4232-BA5D-1427173C2D6A}" name="Weekly Plan" dataDxfId="108">
      <calculatedColumnFormula xml:space="preserve"> IF(#REF!="", 0,#REF!)+ IF(#REF!="", 0,#REF!)+ IF(#REF!="", 0,#REF!)</calculatedColumnFormula>
    </tableColumn>
    <tableColumn id="3" xr3:uid="{B28103F6-7596-4848-9F0D-3E4A9E5CBEFE}" name="Weekly Actual" dataDxfId="107">
      <calculatedColumnFormula>IF(AND(ISBLANK(#REF!),ISBLANK(#REF!),ISBLANK(#REF!)),"",#REF! +#REF!+#REF!)</calculatedColumnFormula>
    </tableColumn>
    <tableColumn id="4" xr3:uid="{EF1C6009-71E6-491B-B64F-04049D2D9103}" name="Accumulated Plan" dataDxfId="106">
      <calculatedColumnFormula>SUM($AC$14:AC14)</calculatedColumnFormula>
    </tableColumn>
    <tableColumn id="5" xr3:uid="{442DAB73-1233-4C61-8DE9-3B44CE2C5D69}" name="Accumulated Actual" dataDxfId="105">
      <calculatedColumnFormula>IF(AD14="",NA(),SUM($AD$14:AD14))</calculatedColumnFormula>
    </tableColumn>
    <tableColumn id="43" xr3:uid="{CE31DBAF-57B0-4D4D-852A-B07516A73A41}" name="WP_A1" dataDxfId="104">
      <calculatedColumnFormula>WeeklyPlanned(Output_Template[[#Headers],[WP_A1]], Output_Template[[#This Row],[Date]])</calculatedColumnFormula>
    </tableColumn>
    <tableColumn id="44" xr3:uid="{A0857F89-2BC6-42D6-B02F-90D9272451CA}" name="WA_A1" dataDxfId="103"/>
    <tableColumn id="45" xr3:uid="{2A74D439-B21B-40DD-BB55-7D2C2B18629E}" name="WP_A2" dataDxfId="102">
      <calculatedColumnFormula>WeeklyPlanned(Output_Template[[#Headers],[WP_A2]], Output_Template[[#This Row],[Date]])</calculatedColumnFormula>
    </tableColumn>
    <tableColumn id="46" xr3:uid="{670DB326-434A-466C-9E3C-6A8FE180F21F}" name="WA_A2" dataDxfId="101"/>
    <tableColumn id="47" xr3:uid="{B6798EC6-DE2D-49BB-961E-220FED1F6F10}" name="WP_A3" dataDxfId="100">
      <calculatedColumnFormula>WeeklyPlanned(Output_Template[[#Headers],[WP_A3]], Output_Template[[#This Row],[Date]])</calculatedColumnFormula>
    </tableColumn>
    <tableColumn id="48" xr3:uid="{B2CB6DA2-6E53-4BAC-881B-229E451DFCE0}" name="WA_A3" dataDxfId="99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8">
  <autoFilter ref="H2:H5" xr:uid="{1041DC80-58D6-4308-9DE1-A4EC8AAD3C20}"/>
  <tableColumns count="1">
    <tableColumn id="1" xr3:uid="{0E6D3E77-7CB7-40A1-BCA6-DDC8164AAEB9}" name="Holidays" dataDxfId="97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Divisions_Table" displayName="Divisions_Table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96" dataDxfId="95">
  <autoFilter ref="R13:X21" xr:uid="{FF2C9E8B-1A62-479C-AF68-79B236C0B7BB}"/>
  <tableColumns count="7">
    <tableColumn id="1" xr3:uid="{9FED2BA1-A1A7-4513-A20F-F09DB113155D}" name="Zone ID" dataDxfId="94"/>
    <tableColumn id="2" xr3:uid="{8B67A205-5329-400B-84DC-CB06A032CF16}" name="Description" dataDxfId="93"/>
    <tableColumn id="3" xr3:uid="{2253D560-C30C-43DE-ABAB-BFAFD145DF40}" name="Short Description" dataDxfId="92"/>
    <tableColumn id="4" xr3:uid="{09E57ADB-1BEB-4CFB-B160-A9C7ADA56DE0}" name="Start Date" dataDxfId="91"/>
    <tableColumn id="5" xr3:uid="{B704EAFC-B4AE-45F3-A5AC-5189060C6D42}" name="Finish Date" dataDxfId="90"/>
    <tableColumn id="6" xr3:uid="{FAFABCDE-D7F7-45A9-83E7-80ADC6F01B0B}" name="Total" dataDxfId="89" dataCellStyle="Normal"/>
    <tableColumn id="7" xr3:uid="{F8D69A8D-7550-4939-9D63-599172BCFFFD}" name="Completed Total" dataDxfId="88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87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86">
      <calculatedColumnFormula>IF(AA13 = "Date", $S$4, AA13+7)</calculatedColumnFormula>
    </tableColumn>
    <tableColumn id="6" xr3:uid="{DE271CBB-C0FC-482D-929A-C21AEFAC32E4}" name="Primary Areas" dataDxfId="85">
      <calculatedColumnFormula>PrimaryAreas(8)</calculatedColumnFormula>
    </tableColumn>
    <tableColumn id="2" xr3:uid="{71EE47CC-75E0-49E1-B527-E1364059B0A6}" name="Weekly Plan" dataDxfId="84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83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82">
      <calculatedColumnFormula>SUM($AC$14:AC14)</calculatedColumnFormula>
    </tableColumn>
    <tableColumn id="5" xr3:uid="{CB7FAB5B-BEAB-4D4A-BD18-57DE0B5DE266}" name="Accumulated Actual" dataDxfId="81">
      <calculatedColumnFormula>IF(AD14="",NA(),SUM($AD$14:AD14))</calculatedColumnFormula>
    </tableColumn>
    <tableColumn id="7" xr3:uid="{2A1CBA5C-29D6-4EB1-8BAA-AF2C064B4A02}" name="WP_ABC" dataDxfId="80">
      <calculatedColumnFormula>WeeklyPlanned(Output_0501[[#Headers],[WP_ABC]], Output_0501[[#This Row],[Date]])</calculatedColumnFormula>
    </tableColumn>
    <tableColumn id="8" xr3:uid="{04DC9374-2B37-4BF5-AA39-F11FC0149281}" name="WA_ABC" dataDxfId="79"/>
    <tableColumn id="9" xr3:uid="{4F88CC2C-A480-4C5B-BA01-24B210AB447A}" name="WP_ACS" dataDxfId="78">
      <calculatedColumnFormula>WeeklyPlanned(Output_0501[[#Headers],[WP_ACS]], Output_0501[[#This Row],[Date]])</calculatedColumnFormula>
    </tableColumn>
    <tableColumn id="10" xr3:uid="{48C24C77-4D2B-435F-BBC2-FAD4AD540AB6}" name="WA_ACS" dataDxfId="77"/>
    <tableColumn id="11" xr3:uid="{75D5C587-305D-4077-9FAA-C79F65923E57}" name="WP_AL1" dataDxfId="76">
      <calculatedColumnFormula>WeeklyPlanned(Output_0501[[#Headers],[WP_AL1]], Output_0501[[#This Row],[Date]])</calculatedColumnFormula>
    </tableColumn>
    <tableColumn id="12" xr3:uid="{8077796C-E6FC-4EE3-89F7-798709387F7F}" name="WA_AL1" dataDxfId="75"/>
    <tableColumn id="13" xr3:uid="{792F3323-B0E8-4776-9689-FD45E57B619D}" name="WP_HBase" dataDxfId="74">
      <calculatedColumnFormula>WeeklyPlanned(Output_0501[[#Headers],[WP_HBase]], Output_0501[[#This Row],[Date]])</calculatedColumnFormula>
    </tableColumn>
    <tableColumn id="14" xr3:uid="{9E7E74B1-B432-4576-8F57-2DCED559C004}" name="WA_HBase" dataDxfId="73"/>
    <tableColumn id="15" xr3:uid="{6C8A9406-B3E7-4378-8961-19DE99A823B8}" name="WP_HWST" dataDxfId="72">
      <calculatedColumnFormula>WeeklyPlanned(Output_0501[[#Headers],[WP_HWST]], Output_0501[[#This Row],[Date]])</calculatedColumnFormula>
    </tableColumn>
    <tableColumn id="16" xr3:uid="{85632008-1A06-41BF-96BF-DF4F2942C8E3}" name="WA_HWST" dataDxfId="71"/>
    <tableColumn id="17" xr3:uid="{4ED0746A-56E1-4B9A-8D82-621AD6A805EE}" name="WP_HWSR" dataDxfId="70">
      <calculatedColumnFormula>WeeklyPlanned(Output_0501[[#Headers],[WP_HWSR]], Output_0501[[#This Row],[Date]])</calculatedColumnFormula>
    </tableColumn>
    <tableColumn id="18" xr3:uid="{616A2447-10D3-4C5E-BE98-C8594A351722}" name="WA_HWSR" dataDxfId="69"/>
    <tableColumn id="19" xr3:uid="{13711C20-54F0-41FE-93CC-92DB5745C53C}" name="WP_HL2" dataDxfId="68">
      <calculatedColumnFormula>WeeklyPlanned(Output_0501[[#Headers],[WP_HL2]], Output_0501[[#This Row],[Date]])</calculatedColumnFormula>
    </tableColumn>
    <tableColumn id="20" xr3:uid="{AE155A80-4969-4902-8DAF-8DC808584420}" name="WA_HL2" dataDxfId="67"/>
    <tableColumn id="21" xr3:uid="{186F9C43-2DF5-47B7-A779-6A42D4C3454E}" name="WP_HBCeil" dataDxfId="66">
      <calculatedColumnFormula>WeeklyPlanned(Output_0501[[#Headers],[WP_HBCeil]], Output_0501[[#This Row],[Date]])</calculatedColumnFormula>
    </tableColumn>
    <tableColumn id="22" xr3:uid="{7F8ADB3E-C083-4C51-8B5A-9EACC6ABF4A0}" name="WA_HBCeil" dataDxfId="65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64" dataDxfId="63">
  <autoFilter ref="R13:X16" xr:uid="{FF2C9E8B-1A62-479C-AF68-79B236C0B7BB}"/>
  <tableColumns count="7">
    <tableColumn id="1" xr3:uid="{98B6CEFA-F45C-41F6-AA4B-12A3C8376FF3}" name="Zone ID" dataDxfId="62"/>
    <tableColumn id="2" xr3:uid="{0EED481C-6B7F-45EA-96EB-621E9C83F3F6}" name="Description" dataDxfId="61"/>
    <tableColumn id="3" xr3:uid="{92B65829-37BF-4514-B7D6-292B5B8F0C44}" name="Short Description" dataDxfId="60"/>
    <tableColumn id="4" xr3:uid="{80A86D55-7D1D-4DFA-811D-6869E0913B53}" name="Start Date" dataDxfId="59"/>
    <tableColumn id="5" xr3:uid="{93521AA3-7D74-4D93-B395-07061FC7E0C3}" name="Finish Date" dataDxfId="58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57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56">
      <calculatedColumnFormula>IF(AA13 = "Date", $S$4, AA13+7)</calculatedColumnFormula>
    </tableColumn>
    <tableColumn id="6" xr3:uid="{AB52DC66-705D-403C-9556-5F09775CDBB4}" name="Primary Areas" dataDxfId="55">
      <calculatedColumnFormula>PrimaryAreas(3)</calculatedColumnFormula>
    </tableColumn>
    <tableColumn id="2" xr3:uid="{B199DE9E-07BB-4F6F-BF0F-FD9612C1E4A1}" name="Weekly Plan" dataDxfId="54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53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52">
      <calculatedColumnFormula>SUM($AC$14:AC14)</calculatedColumnFormula>
    </tableColumn>
    <tableColumn id="5" xr3:uid="{651F866A-913C-41F0-96AF-A1AE2AFF845B}" name="Accumulated Actual" dataDxfId="51">
      <calculatedColumnFormula>IF(AD14="",NA(),SUM($AD$14:AD14))</calculatedColumnFormula>
    </tableColumn>
    <tableColumn id="43" xr3:uid="{32BBBBE6-824B-424A-A817-1078C82774BD}" name="WP_A1" dataDxfId="50">
      <calculatedColumnFormula>WeeklyPlanned(Output_0001[[#Headers],[WP_A1]], Output_0001[[#This Row],[Date]])</calculatedColumnFormula>
    </tableColumn>
    <tableColumn id="44" xr3:uid="{2E76C9D7-DBC3-40AA-B2D2-F2A8133ADEDC}" name="WA_A1" dataDxfId="49"/>
    <tableColumn id="45" xr3:uid="{8349A05E-AB3B-4D38-86D5-C3757AF0C549}" name="WP_A2" dataDxfId="48">
      <calculatedColumnFormula>WeeklyPlanned(Output_0001[[#Headers],[WP_A2]], Output_0001[[#This Row],[Date]])</calculatedColumnFormula>
    </tableColumn>
    <tableColumn id="46" xr3:uid="{98829D33-590E-463C-A7AE-DB10CF64BCCB}" name="WA_A2" dataDxfId="47"/>
    <tableColumn id="47" xr3:uid="{0C2A1C55-569B-4688-8BB0-54DD665AAD32}" name="WP_A3" dataDxfId="46">
      <calculatedColumnFormula>WeeklyPlanned(Output_0001[[#Headers],[WP_A3]], Output_0001[[#This Row],[Date]])</calculatedColumnFormula>
    </tableColumn>
    <tableColumn id="48" xr3:uid="{5EA3C838-64EE-4DF3-8DFE-BE9B5AC605F5}" name="WA_A3" dataDxfId="45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5" thickBot="1" x14ac:dyDescent="0.4">
      <c r="R1" s="107" t="str">
        <f>HYPERLINK("#Main!A1", "Back to Main")</f>
        <v>Back to Main</v>
      </c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154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157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155</v>
      </c>
      <c r="V10" s="85"/>
      <c r="W10" s="85"/>
      <c r="X10" s="85"/>
      <c r="AB10" s="62"/>
      <c r="AC10" s="61"/>
      <c r="AD10" s="59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5"/>
      <c r="V11" s="85"/>
      <c r="W11" s="85"/>
      <c r="X11" s="85"/>
      <c r="AC11" s="59"/>
      <c r="AD11" s="59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80" t="s">
        <v>46</v>
      </c>
      <c r="K13" s="80"/>
      <c r="L13" s="80"/>
      <c r="M13" s="80"/>
      <c r="N13" s="81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44" priority="10">
      <formula>ISERROR(AF14)</formula>
    </cfRule>
  </conditionalFormatting>
  <conditionalFormatting sqref="W13:X13">
    <cfRule type="expression" dxfId="43" priority="8">
      <formula>IF(OR($S$8 = "Assemble Addin", $S$8 = "Bluebeam QL"), TRUE, FALSE)</formula>
    </cfRule>
  </conditionalFormatting>
  <conditionalFormatting sqref="N6:O6">
    <cfRule type="expression" dxfId="42" priority="7">
      <formula>IF($N$6=$O$6, FALSE, TRUE)</formula>
    </cfRule>
  </conditionalFormatting>
  <conditionalFormatting sqref="W14:X16">
    <cfRule type="expression" dxfId="41" priority="5">
      <formula>IF(OR($S$8 = "Assemble Addin", $S$8 = "Bluebeam QL"), TRUE, FALSE)</formula>
    </cfRule>
    <cfRule type="expression" dxfId="40" priority="6">
      <formula>IF(OR($S$8 = "Assemble Addin", $S$8 = "Bluebeam QL"), MOD(ROW(), 2)=0, FALSE)</formula>
    </cfRule>
  </conditionalFormatting>
  <conditionalFormatting sqref="R13">
    <cfRule type="expression" dxfId="39" priority="2">
      <formula>IF($S$8 = "Assemble Addin", TRUE, FALSE)</formula>
    </cfRule>
  </conditionalFormatting>
  <conditionalFormatting sqref="R14:R16">
    <cfRule type="expression" dxfId="38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9" t="str">
        <f>UPPER("Structural Steel 07/01/2020")</f>
        <v>STRUCTURAL STEEL 07/01/2020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 x14ac:dyDescent="0.3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4" spans="1:14" x14ac:dyDescent="0.35">
      <c r="A34" s="100" t="s">
        <v>116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A20" sqref="A2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2" t="s">
        <v>5</v>
      </c>
      <c r="F1" s="102"/>
      <c r="H1" s="2" t="s">
        <v>9</v>
      </c>
      <c r="J1" t="s">
        <v>144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3" t="s">
        <v>6</v>
      </c>
      <c r="C2" s="103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153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150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151</v>
      </c>
      <c r="H7" s="1"/>
      <c r="J7" t="s">
        <v>30</v>
      </c>
    </row>
    <row r="8" spans="2:29" x14ac:dyDescent="0.35">
      <c r="B8" t="s">
        <v>19</v>
      </c>
      <c r="C8" s="4" t="s">
        <v>145</v>
      </c>
      <c r="H8" s="1"/>
      <c r="J8" t="s">
        <v>127</v>
      </c>
    </row>
    <row r="9" spans="2:29" x14ac:dyDescent="0.35">
      <c r="B9" t="s">
        <v>20</v>
      </c>
      <c r="C9" s="4" t="s">
        <v>147</v>
      </c>
      <c r="H9" s="1"/>
      <c r="J9" t="s">
        <v>128</v>
      </c>
    </row>
    <row r="10" spans="2:29" x14ac:dyDescent="0.35">
      <c r="B10" t="s">
        <v>21</v>
      </c>
      <c r="C10" s="4" t="s">
        <v>146</v>
      </c>
      <c r="H10" s="1"/>
      <c r="J10" t="s">
        <v>129</v>
      </c>
    </row>
    <row r="11" spans="2:29" x14ac:dyDescent="0.35">
      <c r="B11" t="s">
        <v>87</v>
      </c>
      <c r="C11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G36" sqref="G36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5" t="str">
        <f>"PROGRESS REPORT "&amp; TEXT(Report_Date, "mm/dd/yyy")</f>
        <v>PROGRESS REPORT 07/01/2020</v>
      </c>
      <c r="C2" s="105"/>
      <c r="D2" s="105"/>
      <c r="E2" s="105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156</v>
      </c>
      <c r="J10" s="12" t="s">
        <v>35</v>
      </c>
      <c r="K10" s="12" t="s">
        <v>34</v>
      </c>
    </row>
    <row r="11" spans="2:12" ht="15" x14ac:dyDescent="0.3">
      <c r="B11" s="104" t="s">
        <v>26</v>
      </c>
      <c r="C11" s="104"/>
      <c r="D11" s="104"/>
      <c r="E11" s="104"/>
      <c r="F11" s="16"/>
      <c r="G11" s="16"/>
      <c r="H11" s="16"/>
      <c r="I11" s="16"/>
      <c r="J11" s="16"/>
      <c r="K11" s="16"/>
      <c r="L11" s="76" t="s">
        <v>160</v>
      </c>
    </row>
    <row r="12" spans="2:12" x14ac:dyDescent="0.3">
      <c r="B12" s="13"/>
      <c r="G12" s="38"/>
      <c r="H12" s="37"/>
    </row>
    <row r="13" spans="2:12" ht="15" x14ac:dyDescent="0.3">
      <c r="B13" s="104" t="s">
        <v>27</v>
      </c>
      <c r="C13" s="104"/>
      <c r="D13" s="104"/>
      <c r="E13" s="104"/>
      <c r="F13" s="16"/>
      <c r="G13" s="16"/>
      <c r="H13" s="16"/>
      <c r="I13" s="16"/>
      <c r="J13" s="16"/>
      <c r="K13" s="16"/>
      <c r="L13" s="76" t="s">
        <v>160</v>
      </c>
    </row>
    <row r="14" spans="2:12" s="77" customFormat="1" x14ac:dyDescent="0.3">
      <c r="B14" s="9"/>
      <c r="D14" s="10"/>
      <c r="E14" s="10"/>
      <c r="G14" s="73"/>
      <c r="H14" s="37"/>
    </row>
    <row r="15" spans="2:12" ht="15" x14ac:dyDescent="0.3">
      <c r="B15" s="104" t="s">
        <v>28</v>
      </c>
      <c r="C15" s="104"/>
      <c r="D15" s="104"/>
      <c r="E15" s="104"/>
      <c r="F15" s="16"/>
      <c r="G15" s="16"/>
      <c r="H15" s="16"/>
      <c r="I15" s="16"/>
      <c r="J15" s="16"/>
      <c r="K15" s="16"/>
      <c r="L15" s="76" t="s">
        <v>160</v>
      </c>
    </row>
    <row r="16" spans="2:12" ht="14.5" x14ac:dyDescent="0.35">
      <c r="B16" s="9" t="s">
        <v>149</v>
      </c>
      <c r="C16" s="67" t="s">
        <v>148</v>
      </c>
      <c r="D16" s="10">
        <f ca="1">'0501'!N5</f>
        <v>0</v>
      </c>
      <c r="E16" s="10">
        <f ca="1">'0501'!O5</f>
        <v>0.10714285714285712</v>
      </c>
      <c r="G16" s="73"/>
      <c r="H16" s="106" t="str">
        <f>HYPERLINK("#0501!A1", "0501")</f>
        <v>0501</v>
      </c>
      <c r="I16" s="74" t="str">
        <f ca="1">IF(Report_Date = INDIRECT(H16 &amp; "!S9"), "Ready", "Not Ready")</f>
        <v>Ready</v>
      </c>
      <c r="J16" s="67" t="s">
        <v>158</v>
      </c>
      <c r="K16" s="67" t="s">
        <v>159</v>
      </c>
    </row>
    <row r="17" spans="2:12" s="76" customFormat="1" x14ac:dyDescent="0.3">
      <c r="B17" s="9"/>
      <c r="D17" s="10"/>
      <c r="E17" s="10"/>
      <c r="G17" s="73"/>
      <c r="H17" s="37"/>
    </row>
    <row r="18" spans="2:12" ht="15" x14ac:dyDescent="0.3">
      <c r="B18" s="104" t="s">
        <v>29</v>
      </c>
      <c r="C18" s="104"/>
      <c r="D18" s="104"/>
      <c r="E18" s="104"/>
      <c r="F18" s="16"/>
      <c r="G18" s="16"/>
      <c r="H18" s="16"/>
      <c r="I18" s="16"/>
      <c r="J18" s="16"/>
      <c r="K18" s="16"/>
      <c r="L18" s="76" t="s">
        <v>160</v>
      </c>
    </row>
    <row r="19" spans="2:12" x14ac:dyDescent="0.3">
      <c r="B19" s="9"/>
      <c r="G19" s="73"/>
      <c r="H19" s="37"/>
    </row>
    <row r="20" spans="2:12" ht="15" x14ac:dyDescent="0.3">
      <c r="B20" s="104" t="s">
        <v>30</v>
      </c>
      <c r="C20" s="104"/>
      <c r="D20" s="104"/>
      <c r="E20" s="104"/>
      <c r="F20" s="16"/>
      <c r="G20" s="16"/>
      <c r="H20" s="16"/>
      <c r="I20" s="16"/>
      <c r="J20" s="16"/>
      <c r="K20" s="16"/>
      <c r="L20" s="76" t="s">
        <v>160</v>
      </c>
    </row>
    <row r="21" spans="2:12" x14ac:dyDescent="0.3">
      <c r="B21" s="9"/>
      <c r="G21" s="73"/>
      <c r="H21" s="37"/>
    </row>
    <row r="22" spans="2:12" ht="15" x14ac:dyDescent="0.3">
      <c r="B22" s="104" t="s">
        <v>127</v>
      </c>
      <c r="C22" s="104"/>
      <c r="D22" s="104"/>
      <c r="E22" s="104"/>
      <c r="F22" s="16"/>
      <c r="G22" s="16"/>
      <c r="H22" s="16"/>
      <c r="I22" s="16"/>
      <c r="J22" s="16"/>
      <c r="K22" s="16"/>
      <c r="L22" s="76" t="s">
        <v>160</v>
      </c>
    </row>
    <row r="23" spans="2:12" x14ac:dyDescent="0.3">
      <c r="B23" s="9"/>
      <c r="G23" s="73"/>
      <c r="H23" s="37"/>
    </row>
    <row r="24" spans="2:12" ht="15" x14ac:dyDescent="0.3">
      <c r="B24" s="104" t="s">
        <v>128</v>
      </c>
      <c r="C24" s="104"/>
      <c r="D24" s="104"/>
      <c r="E24" s="104"/>
      <c r="F24" s="16"/>
      <c r="G24" s="16"/>
      <c r="H24" s="16"/>
      <c r="I24" s="16"/>
      <c r="J24" s="16"/>
      <c r="K24" s="16"/>
      <c r="L24" s="76" t="s">
        <v>160</v>
      </c>
    </row>
    <row r="25" spans="2:12" x14ac:dyDescent="0.3">
      <c r="B25" s="9"/>
      <c r="G25" s="73"/>
      <c r="H25" s="37"/>
    </row>
    <row r="26" spans="2:12" ht="15" x14ac:dyDescent="0.3">
      <c r="B26" s="104" t="s">
        <v>129</v>
      </c>
      <c r="C26" s="104"/>
      <c r="D26" s="104"/>
      <c r="E26" s="104"/>
      <c r="F26" s="16"/>
      <c r="G26" s="16"/>
      <c r="H26" s="16"/>
      <c r="I26" s="16"/>
      <c r="J26" s="16"/>
      <c r="K26" s="16"/>
      <c r="L26" s="76" t="s">
        <v>160</v>
      </c>
    </row>
    <row r="27" spans="2:12" x14ac:dyDescent="0.3">
      <c r="B27" s="9"/>
      <c r="G27" s="73"/>
      <c r="H27" s="37"/>
    </row>
    <row r="28" spans="2:12" ht="15" x14ac:dyDescent="0.3">
      <c r="B28" s="104" t="s">
        <v>130</v>
      </c>
      <c r="C28" s="104"/>
      <c r="D28" s="104"/>
      <c r="E28" s="104"/>
      <c r="F28" s="16"/>
      <c r="G28" s="16"/>
      <c r="H28" s="16"/>
      <c r="I28" s="16"/>
      <c r="J28" s="16"/>
      <c r="K28" s="16"/>
      <c r="L28" s="76" t="s">
        <v>160</v>
      </c>
    </row>
    <row r="29" spans="2:12" x14ac:dyDescent="0.3">
      <c r="B29" s="9"/>
      <c r="G29" s="73"/>
      <c r="H29" s="37"/>
    </row>
    <row r="30" spans="2:12" ht="15" x14ac:dyDescent="0.3">
      <c r="B30" s="104" t="s">
        <v>131</v>
      </c>
      <c r="C30" s="104"/>
      <c r="D30" s="104"/>
      <c r="E30" s="104"/>
      <c r="F30" s="16"/>
      <c r="G30" s="16"/>
      <c r="H30" s="16"/>
      <c r="I30" s="16"/>
      <c r="J30" s="16"/>
      <c r="K30" s="16"/>
      <c r="L30" s="76" t="s">
        <v>160</v>
      </c>
    </row>
    <row r="31" spans="2:12" x14ac:dyDescent="0.3">
      <c r="B31" s="9"/>
      <c r="G31" s="73"/>
      <c r="H31" s="37"/>
    </row>
    <row r="32" spans="2:12" ht="15" x14ac:dyDescent="0.3">
      <c r="B32" s="104" t="s">
        <v>132</v>
      </c>
      <c r="C32" s="104"/>
      <c r="D32" s="104"/>
      <c r="E32" s="104"/>
      <c r="F32" s="16"/>
      <c r="G32" s="16"/>
      <c r="H32" s="16"/>
      <c r="I32" s="16"/>
      <c r="J32" s="16"/>
      <c r="K32" s="16"/>
      <c r="L32" s="67" t="s">
        <v>160</v>
      </c>
    </row>
    <row r="33" spans="2:10" x14ac:dyDescent="0.3">
      <c r="B33" s="9" t="s">
        <v>152</v>
      </c>
      <c r="C33" s="67" t="s">
        <v>133</v>
      </c>
      <c r="G33" s="73"/>
      <c r="H33" s="37" t="s">
        <v>134</v>
      </c>
      <c r="I33" s="74" t="str">
        <f ca="1">IF(Report_Date = INDIRECT(H33 &amp; "!S9"), "Ready", "Not Ready")</f>
        <v>Ready</v>
      </c>
      <c r="J33" s="67" t="s">
        <v>158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7:E21 E12:E15">
    <cfRule type="expression" dxfId="37" priority="57">
      <formula>IF(ISBLANK($D12), FALSE, IF(RedGreen_Formatting = "Enabled", $D12 &lt;= $E12 + Percent_Error, FALSE))</formula>
    </cfRule>
    <cfRule type="expression" dxfId="36" priority="58">
      <formula>IF(ISBLANK($D12), FALSE, IF(RedGreen_Formatting = "Enabled", $D12 &gt; $E12 + Percent_Error, FALSE))</formula>
    </cfRule>
  </conditionalFormatting>
  <conditionalFormatting sqref="E22">
    <cfRule type="expression" dxfId="35" priority="55">
      <formula>IF(ISBLANK($D22), FALSE, IF(RedGreen_Formatting = "Enabled", $D22 &lt;= $E22 + Percent_Error, FALSE))</formula>
    </cfRule>
    <cfRule type="expression" dxfId="34" priority="56">
      <formula>IF(ISBLANK($D22), FALSE, IF(RedGreen_Formatting = "Enabled", $D22 &gt; $E22 + Percent_Error, FALSE))</formula>
    </cfRule>
  </conditionalFormatting>
  <conditionalFormatting sqref="E24">
    <cfRule type="expression" dxfId="33" priority="53">
      <formula>IF(ISBLANK($D24), FALSE, IF(RedGreen_Formatting = "Enabled", $D24 &lt;= $E24 + Percent_Error, FALSE))</formula>
    </cfRule>
    <cfRule type="expression" dxfId="32" priority="54">
      <formula>IF(ISBLANK($D24), FALSE, IF(RedGreen_Formatting = "Enabled", $D24 &gt; $E24 + Percent_Error, FALSE))</formula>
    </cfRule>
  </conditionalFormatting>
  <conditionalFormatting sqref="E26">
    <cfRule type="expression" dxfId="31" priority="51">
      <formula>IF(ISBLANK($D26), FALSE, IF(RedGreen_Formatting = "Enabled", $D26 &lt;= $E26 + Percent_Error, FALSE))</formula>
    </cfRule>
    <cfRule type="expression" dxfId="30" priority="52">
      <formula>IF(ISBLANK($D26), FALSE, IF(RedGreen_Formatting = "Enabled", $D26 &gt; $E26 + Percent_Error, FALSE))</formula>
    </cfRule>
  </conditionalFormatting>
  <conditionalFormatting sqref="E28">
    <cfRule type="expression" dxfId="29" priority="49">
      <formula>IF(ISBLANK($D28), FALSE, IF(RedGreen_Formatting = "Enabled", $D28 &lt;= $E28 + Percent_Error, FALSE))</formula>
    </cfRule>
    <cfRule type="expression" dxfId="28" priority="50">
      <formula>IF(ISBLANK($D28), FALSE, IF(RedGreen_Formatting = "Enabled", $D28 &gt; $E28 + Percent_Error, FALSE))</formula>
    </cfRule>
  </conditionalFormatting>
  <conditionalFormatting sqref="E30">
    <cfRule type="expression" dxfId="27" priority="47">
      <formula>IF(ISBLANK($D30), FALSE, IF(RedGreen_Formatting = "Enabled", $D30 &lt;= $E30 + Percent_Error, FALSE))</formula>
    </cfRule>
    <cfRule type="expression" dxfId="26" priority="48">
      <formula>IF(ISBLANK($D30), FALSE, IF(RedGreen_Formatting = "Enabled", $D30 &gt; $E30 + Percent_Error, FALSE))</formula>
    </cfRule>
  </conditionalFormatting>
  <conditionalFormatting sqref="E32">
    <cfRule type="expression" dxfId="25" priority="45">
      <formula>IF(ISBLANK($D32), FALSE, IF(RedGreen_Formatting = "Enabled", $D32 &lt;= $E32 + Percent_Error, FALSE))</formula>
    </cfRule>
    <cfRule type="expression" dxfId="24" priority="46">
      <formula>IF(ISBLANK($D32), FALSE, IF(RedGreen_Formatting = "Enabled", $D32 &gt; $E32 + Percent_Error, FALSE))</formula>
    </cfRule>
  </conditionalFormatting>
  <conditionalFormatting sqref="E34">
    <cfRule type="expression" dxfId="23" priority="27">
      <formula>IF(ISBLANK($D34), FALSE, IF(RedGreen_Formatting = "Enabled", $D34 &lt;= $E34 + Percent_Error, FALSE))</formula>
    </cfRule>
    <cfRule type="expression" dxfId="22" priority="28">
      <formula>IF(ISBLANK($D34), FALSE, IF(RedGreen_Formatting = "Enabled", $D34 &gt; $E34 + Percent_Error, FALSE))</formula>
    </cfRule>
  </conditionalFormatting>
  <conditionalFormatting sqref="E33">
    <cfRule type="expression" dxfId="21" priority="7">
      <formula>IF(ISBLANK($D33), FALSE, IF(RedGreen_Formatting = "Enabled", $D33 &lt;= $E33 + Percent_Error, FALSE))</formula>
    </cfRule>
    <cfRule type="expression" dxfId="20" priority="8">
      <formula>IF(ISBLANK($D33), FALSE, IF(RedGreen_Formatting = "Enabled", $D33 &gt; $E33 + Percent_Error, FALSE))</formula>
    </cfRule>
  </conditionalFormatting>
  <conditionalFormatting sqref="E16">
    <cfRule type="expression" dxfId="19" priority="5">
      <formula>IF(ISBLANK($D16), FALSE, IF(RedGreen_Formatting = "Enabled", $D16 &lt;= $E16 + Percent_Error, FALSE))</formula>
    </cfRule>
    <cfRule type="expression" dxfId="18" priority="6">
      <formula>IF(ISBLANK($D16), FALSE, IF(RedGreen_Formatting = "Enabled", $D16 &gt; $E16 + Percent_Error, FALSE))</formula>
    </cfRule>
  </conditionalFormatting>
  <conditionalFormatting sqref="I16">
    <cfRule type="cellIs" dxfId="17" priority="3" operator="equal">
      <formula>"Not Ready"</formula>
    </cfRule>
    <cfRule type="cellIs" dxfId="16" priority="4" operator="equal">
      <formula>"Ready"</formula>
    </cfRule>
  </conditionalFormatting>
  <conditionalFormatting sqref="I33">
    <cfRule type="cellIs" dxfId="15" priority="1" operator="equal">
      <formula>"Not Ready"</formula>
    </cfRule>
    <cfRule type="cellIs" dxfId="14" priority="2" operator="equal">
      <formula>"Ready"</formula>
    </cfRule>
  </conditionalFormatting>
  <dataValidations disablePrompts="1"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Normal="100" workbookViewId="0">
      <selection activeCell="C6" sqref="C6:I6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.453125" style="65" bestFit="1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5" thickBot="1" x14ac:dyDescent="0.4">
      <c r="R1" s="107" t="str">
        <f>HYPERLINK("#Main!A1", "Back to Main")</f>
        <v>Back to Main</v>
      </c>
      <c r="AA1" s="78" t="s">
        <v>80</v>
      </c>
      <c r="AB1" s="79"/>
    </row>
    <row r="2" spans="2:4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97" t="str">
        <f>Main!C16</f>
        <v>Glassey Steel Works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97" t="str">
        <f>RIGHT(Main!B16, LEN(Main!B16) - 4)</f>
        <v>Structural Steel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90" t="str">
        <f>_xlfn.CONCAT("This Week's Production (", IF(ISBLANK($S$6),"",$S$6), ")")</f>
        <v>This Week's Production (Count)</v>
      </c>
      <c r="K8" s="90"/>
      <c r="L8" s="90"/>
      <c r="M8" s="90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157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90" t="str">
        <f>_xlfn.CONCAT("Average Past 4 Weeks (", IF(ISBLANK($S$6),"",$S$6), ")")</f>
        <v>Average Past 4 Weeks (Count)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5"/>
      <c r="V10" s="85"/>
      <c r="W10" s="85"/>
      <c r="X10" s="85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90" t="str">
        <f>_xlfn.CONCAT("On Schedule Average (", IF(ISBLANK($S$6),"",$S$6), ")")</f>
        <v>On Schedule Average (Count)</v>
      </c>
      <c r="K11" s="90"/>
      <c r="L11" s="90"/>
      <c r="M11" s="90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5"/>
      <c r="V11" s="85"/>
      <c r="W11" s="85"/>
      <c r="X11" s="85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80" t="s">
        <v>46</v>
      </c>
      <c r="K13" s="80"/>
      <c r="L13" s="80"/>
      <c r="M13" s="80"/>
      <c r="N13" s="81">
        <f ca="1">IF($O$5&gt;0.999, "Completed", WORKDAY($S$3, ROUNDUP((SUM(Input_0501[Total])-(INDIRECT("AF"&amp;MATCH($S$3, Output_0501[Date],0)+13)))/($O$10/COUNTIF($U$2:$U$8, TRUE)),0), Holidays_Table[Holidays]))</f>
        <v>44285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6"/>
      <c r="N14" s="86"/>
      <c r="O14" s="87"/>
      <c r="R14" s="36"/>
      <c r="S14" s="37" t="s">
        <v>136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88"/>
      <c r="M15" s="88"/>
      <c r="N15" s="88"/>
      <c r="O15" s="89"/>
      <c r="R15" s="36"/>
      <c r="S15" s="37" t="s">
        <v>137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138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139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143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142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141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140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13" priority="7">
      <formula>ISERROR(AF14)</formula>
    </cfRule>
  </conditionalFormatting>
  <conditionalFormatting sqref="W13:X13">
    <cfRule type="expression" dxfId="12" priority="6">
      <formula>IF(OR($S$8 = "Assemble Addin", $S$8 = "Bluebeam QL"), TRUE, FALSE)</formula>
    </cfRule>
  </conditionalFormatting>
  <conditionalFormatting sqref="N6:O6">
    <cfRule type="expression" dxfId="11" priority="5">
      <formula>IF($N$6=$O$6, FALSE, TRUE)</formula>
    </cfRule>
  </conditionalFormatting>
  <conditionalFormatting sqref="W14:X21">
    <cfRule type="expression" dxfId="10" priority="3">
      <formula>IF(OR($S$8 = "Assemble Addin", $S$8 = "Bluebeam QL"), TRUE, FALSE)</formula>
    </cfRule>
    <cfRule type="expression" dxfId="9" priority="4">
      <formula>IF(OR($S$8 = "Assemble Addin", $S$8 = "Bluebeam QL"), MOD(ROW(), 2)=0, FALSE)</formula>
    </cfRule>
  </conditionalFormatting>
  <conditionalFormatting sqref="R13">
    <cfRule type="expression" dxfId="8" priority="2">
      <formula>IF($S$8 = "Assemble Addin", TRUE, FALSE)</formula>
    </cfRule>
  </conditionalFormatting>
  <conditionalFormatting sqref="R14:R21">
    <cfRule type="expression" dxfId="7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154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157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155</v>
      </c>
      <c r="V10" s="85"/>
      <c r="W10" s="85"/>
      <c r="X10" s="85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85"/>
      <c r="V11" s="85"/>
      <c r="W11" s="85"/>
      <c r="X11" s="85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80" t="s">
        <v>46</v>
      </c>
      <c r="K13" s="80"/>
      <c r="L13" s="80"/>
      <c r="M13" s="80"/>
      <c r="N13" s="81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conditionalFormatting sqref="AF14:AL43">
    <cfRule type="containsErrors" dxfId="6" priority="7">
      <formula>ISERROR(AF14)</formula>
    </cfRule>
  </conditionalFormatting>
  <conditionalFormatting sqref="W13:X13">
    <cfRule type="expression" dxfId="5" priority="6">
      <formula>IF(OR($S$8 = "Assemble Addin", $S$8 = "Bluebeam QL"), TRUE, FALSE)</formula>
    </cfRule>
  </conditionalFormatting>
  <conditionalFormatting sqref="N6:O6">
    <cfRule type="expression" dxfId="4" priority="5">
      <formula>IF($N$6=$O$6, FALSE, TRUE)</formula>
    </cfRule>
  </conditionalFormatting>
  <conditionalFormatting sqref="W14:X16">
    <cfRule type="expression" dxfId="3" priority="3">
      <formula>IF(OR($S$8 = "Assemble Addin", $S$8 = "Bluebeam QL"), TRUE, FALSE)</formula>
    </cfRule>
    <cfRule type="expression" dxfId="2" priority="4">
      <formula>IF(OR($S$8 = "Assemble Addin", $S$8 = "Bluebeam QL"), MOD(ROW(), 2)=0, FALSE)</formula>
    </cfRule>
  </conditionalFormatting>
  <conditionalFormatting sqref="R13">
    <cfRule type="expression" dxfId="1" priority="2">
      <formula>IF($S$8 = "Assemble Addin", TRUE, FALSE)</formula>
    </cfRule>
  </conditionalFormatting>
  <conditionalFormatting sqref="R14:R16">
    <cfRule type="expression" dxfId="0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2020-07-16T23:29:38Z</cp:lastPrinted>
  <dcterms:created xsi:type="dcterms:W3CDTF">2019-04-09T17:53:55Z</dcterms:created>
  <dcterms:modified xsi:type="dcterms:W3CDTF">2020-07-31T15:14:58Z</dcterms:modified>
</cp:coreProperties>
</file>