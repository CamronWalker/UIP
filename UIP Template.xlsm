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4DF72A54-2196-425F-86BB-AD5B06C6C3F9}" xr6:coauthVersionLast="44" xr6:coauthVersionMax="44" xr10:uidLastSave="{00000000-0000-0000-0000-000000000000}"/>
  <bookViews>
    <workbookView xWindow="-66" yWindow="-66" windowWidth="23172" windowHeight="12492" xr2:uid="{791B15CC-68B2-4D54-B53E-4FED7E26F6F4}"/>
  </bookViews>
  <sheets>
    <sheet name="Template" sheetId="3" r:id="rId1"/>
    <sheet name="Settings" sheetId="1" r:id="rId2"/>
    <sheet name="Main" sheetId="2" r:id="rId3"/>
  </sheets>
  <functionGroups builtInGroupCount="19"/>
  <externalReferences>
    <externalReference r:id="rId4"/>
  </externalReferences>
  <definedNames>
    <definedName name="Dev_Mode">Settings!$F$3</definedName>
    <definedName name="Half_After_Holiday">Settings!$F$5</definedName>
    <definedName name="Logging">Settings!$F$4</definedName>
    <definedName name="Percent_Error">Main!$H$8</definedName>
    <definedName name="Power_BI_Export_Folder">Settings!$L$1</definedName>
    <definedName name="Power_BI_Filename">Settings!$C$6</definedName>
    <definedName name="_xlnm.Print_Area" localSheetId="2">Main!$B$2:$E$50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4" i="3" l="1"/>
  <c r="S3" i="3"/>
  <c r="S2" i="3"/>
  <c r="C7" i="3" l="1"/>
  <c r="C6" i="3"/>
  <c r="C5" i="3"/>
  <c r="C4" i="3"/>
  <c r="L14" i="3"/>
  <c r="N12" i="3"/>
  <c r="O11" i="3"/>
  <c r="J11" i="3"/>
  <c r="J10" i="3"/>
  <c r="J9" i="3"/>
  <c r="O8" i="3"/>
  <c r="N8" i="3"/>
  <c r="J8" i="3"/>
  <c r="O7" i="3"/>
  <c r="N7" i="3"/>
  <c r="J7" i="3"/>
  <c r="O6" i="3"/>
  <c r="N6" i="3"/>
  <c r="N5" i="3" s="1"/>
  <c r="J6" i="3"/>
  <c r="O5" i="3"/>
  <c r="B2" i="3"/>
  <c r="N9" i="3"/>
  <c r="N11" i="3"/>
  <c r="O9" i="3"/>
  <c r="O10" i="3"/>
  <c r="N10" i="3"/>
  <c r="N13" i="3" l="1"/>
  <c r="B8" i="2" l="1"/>
  <c r="B7" i="2"/>
  <c r="B6" i="2"/>
  <c r="B2" i="2" l="1"/>
  <c r="B4" i="2"/>
  <c r="C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K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</commentList>
</comments>
</file>

<file path=xl/sharedStrings.xml><?xml version="1.0" encoding="utf-8"?>
<sst xmlns="http://schemas.openxmlformats.org/spreadsheetml/2006/main" count="83" uniqueCount="81">
  <si>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</si>
  <si>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</si>
  <si>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</si>
  <si>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</si>
  <si>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</si>
  <si>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</si>
  <si>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</si>
  <si>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</si>
  <si>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</si>
  <si>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</si>
  <si>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</si>
  <si>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</si>
  <si>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</si>
  <si>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</si>
  <si>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</si>
  <si>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</si>
  <si>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</si>
  <si>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</si>
  <si>
    <t>Report Date:</t>
  </si>
  <si>
    <t>Reporting Day</t>
  </si>
  <si>
    <t>Wednesday</t>
  </si>
  <si>
    <t>Enabled</t>
  </si>
  <si>
    <t>Project Manager</t>
  </si>
  <si>
    <t>Project Engineer</t>
  </si>
  <si>
    <t>Default 1</t>
  </si>
  <si>
    <t>Default 2</t>
  </si>
  <si>
    <t>Default 3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</si>
  <si>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</si>
  <si>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</si>
  <si>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</si>
  <si>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</si>
  <si>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</si>
  <si>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</si>
  <si>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</si>
  <si>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</si>
  <si>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</si>
  <si>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</si>
  <si>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</si>
  <si>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XYZ Corp</t>
  </si>
  <si>
    <t>Really Long Name XYZ Corp</t>
  </si>
  <si>
    <t>Percent Error:</t>
  </si>
  <si>
    <t>01  Footings</t>
  </si>
  <si>
    <t>02  Foundation Walls</t>
  </si>
  <si>
    <t>Trade ID</t>
  </si>
  <si>
    <t>0301</t>
  </si>
  <si>
    <t>Power BI</t>
  </si>
  <si>
    <t>Reported</t>
  </si>
  <si>
    <t>Completed Date</t>
  </si>
  <si>
    <t>0302</t>
  </si>
  <si>
    <t>&lt;-- Hide Don't Delete Division Header Rows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</si>
  <si>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</si>
  <si>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</si>
  <si>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</si>
  <si>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</si>
  <si>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</si>
  <si>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</si>
  <si>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</si>
  <si>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</si>
  <si>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</si>
  <si>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</si>
  <si>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</si>
  <si>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</si>
  <si>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</si>
  <si>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Manual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</si>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</sst>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i/>
      <sz val="24"/>
      <color theme="1"/>
      <name val="Arial Narrow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7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</cellStyleXfs>
  <cellXfs count="72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0" fontId="0" fillId="0" borderId="0" xfId="0" applyAlignment="1">
      <alignment horizontal="right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14" fillId="0" borderId="8" xfId="0" applyFont="1" applyBorder="1" applyAlignment="1">
      <alignment horizontal="right" vertical="center" indent="1"/>
    </xf>
    <xf numFmtId="10" fontId="15" fillId="0" borderId="9" xfId="0" applyNumberFormat="1" applyFont="1" applyBorder="1" applyAlignment="1">
      <alignment horizontal="center" vertical="center"/>
    </xf>
    <xf numFmtId="10" fontId="15" fillId="0" borderId="10" xfId="0" applyNumberFormat="1" applyFont="1" applyBorder="1" applyAlignment="1">
      <alignment horizontal="center" vertical="center"/>
    </xf>
    <xf numFmtId="164" fontId="14" fillId="0" borderId="11" xfId="0" applyNumberFormat="1" applyFont="1" applyBorder="1" applyAlignment="1">
      <alignment horizontal="center" vertical="center"/>
    </xf>
    <xf numFmtId="164" fontId="14" fillId="0" borderId="12" xfId="0" applyNumberFormat="1" applyFont="1" applyBorder="1" applyAlignment="1">
      <alignment horizontal="center" vertical="center"/>
    </xf>
    <xf numFmtId="3" fontId="14" fillId="0" borderId="11" xfId="0" applyNumberFormat="1" applyFont="1" applyBorder="1" applyAlignment="1">
      <alignment horizontal="center" vertical="center"/>
    </xf>
    <xf numFmtId="3" fontId="14" fillId="0" borderId="12" xfId="0" applyNumberFormat="1" applyFont="1" applyBorder="1" applyAlignment="1">
      <alignment horizontal="center" vertical="center"/>
    </xf>
    <xf numFmtId="0" fontId="14" fillId="0" borderId="8" xfId="0" applyFont="1" applyBorder="1"/>
    <xf numFmtId="0" fontId="14" fillId="0" borderId="0" xfId="0" applyFont="1"/>
    <xf numFmtId="1" fontId="14" fillId="0" borderId="11" xfId="0" applyNumberFormat="1" applyFont="1" applyBorder="1" applyAlignment="1">
      <alignment horizontal="center" vertical="center"/>
    </xf>
    <xf numFmtId="1" fontId="14" fillId="0" borderId="12" xfId="0" applyNumberFormat="1" applyFont="1" applyBorder="1" applyAlignment="1">
      <alignment horizontal="center" vertical="center"/>
    </xf>
    <xf numFmtId="0" fontId="16" fillId="0" borderId="13" xfId="0" applyFont="1" applyBorder="1"/>
    <xf numFmtId="0" fontId="16" fillId="0" borderId="15" xfId="0" applyFont="1" applyBorder="1"/>
    <xf numFmtId="0" fontId="14" fillId="0" borderId="2" xfId="0" applyFont="1" applyBorder="1"/>
    <xf numFmtId="0" fontId="14" fillId="0" borderId="3" xfId="0" applyFont="1" applyBorder="1"/>
    <xf numFmtId="0" fontId="14" fillId="0" borderId="4" xfId="0" applyFont="1" applyBorder="1"/>
    <xf numFmtId="0" fontId="14" fillId="0" borderId="17" xfId="0" applyFont="1" applyBorder="1"/>
    <xf numFmtId="0" fontId="14" fillId="0" borderId="18" xfId="0" applyFont="1" applyBorder="1"/>
    <xf numFmtId="0" fontId="14" fillId="0" borderId="15" xfId="0" applyFont="1" applyBorder="1"/>
    <xf numFmtId="0" fontId="14" fillId="0" borderId="16" xfId="0" applyFont="1" applyBorder="1"/>
    <xf numFmtId="0" fontId="0" fillId="0" borderId="0" xfId="0" applyAlignment="1">
      <alignment horizontal="left"/>
    </xf>
    <xf numFmtId="0" fontId="11" fillId="6" borderId="1" xfId="2" applyAlignment="1">
      <alignment horizontal="center"/>
    </xf>
    <xf numFmtId="14" fontId="11" fillId="6" borderId="1" xfId="2" applyNumberFormat="1" applyAlignment="1">
      <alignment horizontal="center"/>
    </xf>
    <xf numFmtId="0" fontId="1" fillId="2" borderId="1" xfId="1" applyAlignment="1">
      <alignment horizontal="center"/>
    </xf>
    <xf numFmtId="14" fontId="1" fillId="2" borderId="1" xfId="1" applyNumberFormat="1" applyAlignment="1">
      <alignment horizontal="center"/>
    </xf>
    <xf numFmtId="0" fontId="14" fillId="0" borderId="11" xfId="0" applyFont="1" applyBorder="1" applyAlignment="1">
      <alignment horizontal="right" indent="1"/>
    </xf>
    <xf numFmtId="14" fontId="14" fillId="0" borderId="11" xfId="0" applyNumberFormat="1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14" fontId="14" fillId="0" borderId="12" xfId="0" applyNumberFormat="1" applyFont="1" applyBorder="1" applyAlignment="1">
      <alignment horizontal="center"/>
    </xf>
    <xf numFmtId="0" fontId="16" fillId="0" borderId="13" xfId="0" applyFont="1" applyBorder="1" applyAlignment="1">
      <alignment horizontal="right" wrapText="1" indent="1"/>
    </xf>
    <xf numFmtId="0" fontId="16" fillId="0" borderId="14" xfId="0" applyFont="1" applyBorder="1" applyAlignment="1">
      <alignment horizontal="right" wrapText="1" indent="1"/>
    </xf>
    <xf numFmtId="0" fontId="16" fillId="0" borderId="15" xfId="0" applyFont="1" applyBorder="1" applyAlignment="1">
      <alignment horizontal="right" wrapText="1" indent="1"/>
    </xf>
    <xf numFmtId="0" fontId="16" fillId="0" borderId="16" xfId="0" applyFont="1" applyBorder="1" applyAlignment="1">
      <alignment horizontal="right" wrapText="1" indent="1"/>
    </xf>
    <xf numFmtId="0" fontId="14" fillId="0" borderId="0" xfId="0" applyFont="1"/>
    <xf numFmtId="0" fontId="14" fillId="0" borderId="11" xfId="0" applyFont="1" applyBorder="1" applyAlignment="1">
      <alignment horizontal="right" vertical="center" inden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49" fontId="0" fillId="0" borderId="0" xfId="0" applyNumberFormat="1" applyAlignment="1">
      <alignment horizontal="right"/>
    </xf>
  </cellXfs>
  <cellStyles count="3">
    <cellStyle name="Calculation" xfId="2" builtinId="22"/>
    <cellStyle name="Input" xfId="1" builtinId="20"/>
    <cellStyle name="Normal" xfId="0" builtinId="0"/>
  </cellStyles>
  <dxfs count="10">
    <dxf>
      <numFmt numFmtId="30" formatCode="@"/>
    </dxf>
    <dxf>
      <numFmt numFmtId="19" formatCode="m/d/yyyy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19" formatCode="m/d/yyyy"/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numFmt numFmtId="19" formatCode="m/d/yyyy"/>
    </dxf>
    <dxf>
      <numFmt numFmtId="19" formatCode="m/d/yyyy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[1]Template!$R$9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C6637FF0-19E4-4080-8783-C85B497C93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C4C9AB0-3F01-4253-BDB2-217A4BBE53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47DC1D9-C668-4001-907C-A977C6292B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7355E3F-13AE-49E5-86AD-F3BEB68F45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9906980-4FC4-483E-B127-8AA2ADD279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C3E69DD-BE19-49FE-A927-CA416BB244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7727805-51C9-47F4-AC46-E641380204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D3820EE-DE8B-4D0D-8E09-147AE918E3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47D6169-1989-4B35-AFDD-F3B37FED2D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3CA4DDA-1A4F-44C2-811E-749FB86E2C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452C3EB-7D0A-418D-9BA0-977D7B3F2C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6AF9D41-8B6C-466C-B32D-56B89F24B8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3A93A16-7BB8-44A7-A53D-9DF8214190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[1]Template!$Q$10:$Q$22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[1]Template!$R$10:$R$22</c:f>
              <c:numCache>
                <c:formatCode>General</c:formatCode>
                <c:ptCount val="1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[1]Template!$V$10:$V$22</c15:f>
                <c15:dlblRangeCache>
                  <c:ptCount val="13"/>
                  <c:pt idx="0">
                    <c:v>Temp</c:v>
                  </c:pt>
                  <c:pt idx="1">
                    <c:v>A</c:v>
                  </c:pt>
                  <c:pt idx="2">
                    <c:v>A</c:v>
                  </c:pt>
                  <c:pt idx="3">
                    <c:v>A</c:v>
                  </c:pt>
                  <c:pt idx="4">
                    <c:v>A</c:v>
                  </c:pt>
                  <c:pt idx="5">
                    <c:v>A</c:v>
                  </c:pt>
                  <c:pt idx="6">
                    <c:v>A</c:v>
                  </c:pt>
                  <c:pt idx="7">
                    <c:v>A</c:v>
                  </c:pt>
                  <c:pt idx="8">
                    <c:v>A</c:v>
                  </c:pt>
                  <c:pt idx="9">
                    <c:v>A</c:v>
                  </c:pt>
                  <c:pt idx="10">
                    <c:v>A</c:v>
                  </c:pt>
                  <c:pt idx="11">
                    <c:v>A</c:v>
                  </c:pt>
                  <c:pt idx="12">
                    <c:v>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tx>
            <c:strRef>
              <c:f>[1]Template!$S$9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[1]Template!$Q$10:$Q$22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[1]Template!$S$10:$S$22</c:f>
              <c:numCache>
                <c:formatCode>General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[1]Template!$T$9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[1]Template!$Q$10:$Q$22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[1]Template!$T$10:$T$22</c:f>
              <c:numCache>
                <c:formatCode>General</c:formatCode>
                <c:ptCount val="13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tx>
            <c:strRef>
              <c:f>[1]Template!$U$9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[1]Template!$Q$10:$Q$22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[1]Template!$U$10:$U$22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([1]Template!$N$5,[1]Template!$O$5)</c:f>
              <c:numCache>
                <c:formatCode>General</c:formatCode>
                <c:ptCount val="2"/>
                <c:pt idx="0">
                  <c:v>0.53846153846153844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([1]Template!$T$6,[1]Template!$V$6)</c:f>
              <c:numCache>
                <c:formatCode>General</c:formatCode>
                <c:ptCount val="2"/>
                <c:pt idx="0">
                  <c:v>0.46153846153846156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606951</xdr:colOff>
      <xdr:row>0</xdr:row>
      <xdr:rowOff>164658</xdr:rowOff>
    </xdr:from>
    <xdr:to>
      <xdr:col>15</xdr:col>
      <xdr:colOff>1</xdr:colOff>
      <xdr:row>3</xdr:row>
      <xdr:rowOff>14941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309127" y="164658"/>
          <a:ext cx="1529639" cy="41804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1644650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160131</xdr:rowOff>
    </xdr:from>
    <xdr:to>
      <xdr:col>4</xdr:col>
      <xdr:colOff>742388</xdr:colOff>
      <xdr:row>2</xdr:row>
      <xdr:rowOff>22087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739" y="160131"/>
          <a:ext cx="1454692" cy="3975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196850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mron/OneDrive%20-%20Westland%20Construction/Projects/W1027%20-%20Herriman%20High%202/UIP/UIP%20Main%20Excel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ImportQL"/>
      <sheetName val="Cover"/>
      <sheetName val="Template"/>
      <sheetName val="Settings"/>
      <sheetName val="Index"/>
      <sheetName val="0000"/>
      <sheetName val="0901"/>
      <sheetName val="BbQuantityLink"/>
      <sheetName val="0902"/>
      <sheetName val="0601"/>
    </sheetNames>
    <sheetDataSet>
      <sheetData sheetId="0"/>
      <sheetData sheetId="1"/>
      <sheetData sheetId="2"/>
      <sheetData sheetId="3">
        <row r="5">
          <cell r="N5">
            <v>0.53846153846153844</v>
          </cell>
          <cell r="O5">
            <v>0</v>
          </cell>
        </row>
        <row r="6">
          <cell r="T6">
            <v>0.46153846153846156</v>
          </cell>
          <cell r="V6">
            <v>1</v>
          </cell>
        </row>
        <row r="9">
          <cell r="R9" t="str">
            <v>Weekly Plan</v>
          </cell>
          <cell r="S9" t="str">
            <v>Weekly Actual</v>
          </cell>
          <cell r="T9" t="str">
            <v>Accumulated Plan</v>
          </cell>
          <cell r="U9" t="str">
            <v>Accumulated Actual</v>
          </cell>
        </row>
        <row r="10">
          <cell r="Q10" t="e">
            <v>#NUM!</v>
          </cell>
          <cell r="R10">
            <v>100</v>
          </cell>
          <cell r="S10"/>
          <cell r="T10">
            <v>100</v>
          </cell>
          <cell r="U10" t="e">
            <v>#N/A</v>
          </cell>
          <cell r="V10" t="str">
            <v>Temp</v>
          </cell>
        </row>
        <row r="11">
          <cell r="Q11" t="e">
            <v>#NUM!</v>
          </cell>
          <cell r="R11">
            <v>100</v>
          </cell>
          <cell r="S11"/>
          <cell r="T11">
            <v>200</v>
          </cell>
          <cell r="U11" t="e">
            <v>#N/A</v>
          </cell>
          <cell r="V11" t="str">
            <v>A</v>
          </cell>
        </row>
        <row r="12">
          <cell r="Q12" t="e">
            <v>#NUM!</v>
          </cell>
          <cell r="R12">
            <v>100</v>
          </cell>
          <cell r="S12"/>
          <cell r="T12">
            <v>300</v>
          </cell>
          <cell r="U12" t="e">
            <v>#N/A</v>
          </cell>
          <cell r="V12" t="str">
            <v>A</v>
          </cell>
        </row>
        <row r="13">
          <cell r="Q13" t="e">
            <v>#NUM!</v>
          </cell>
          <cell r="R13">
            <v>100</v>
          </cell>
          <cell r="S13"/>
          <cell r="T13">
            <v>400</v>
          </cell>
          <cell r="U13" t="e">
            <v>#N/A</v>
          </cell>
          <cell r="V13" t="str">
            <v>A</v>
          </cell>
        </row>
        <row r="14">
          <cell r="Q14" t="e">
            <v>#NUM!</v>
          </cell>
          <cell r="R14">
            <v>100</v>
          </cell>
          <cell r="S14"/>
          <cell r="T14">
            <v>500</v>
          </cell>
          <cell r="U14" t="e">
            <v>#N/A</v>
          </cell>
          <cell r="V14" t="str">
            <v>A</v>
          </cell>
        </row>
        <row r="15">
          <cell r="Q15" t="e">
            <v>#NUM!</v>
          </cell>
          <cell r="R15">
            <v>100</v>
          </cell>
          <cell r="S15"/>
          <cell r="T15">
            <v>600</v>
          </cell>
          <cell r="U15" t="e">
            <v>#N/A</v>
          </cell>
          <cell r="V15" t="str">
            <v>A</v>
          </cell>
        </row>
        <row r="16">
          <cell r="Q16" t="e">
            <v>#NUM!</v>
          </cell>
          <cell r="R16">
            <v>100</v>
          </cell>
          <cell r="S16"/>
          <cell r="T16">
            <v>700</v>
          </cell>
          <cell r="U16" t="e">
            <v>#N/A</v>
          </cell>
          <cell r="V16" t="str">
            <v>A</v>
          </cell>
        </row>
        <row r="17">
          <cell r="Q17" t="e">
            <v>#NUM!</v>
          </cell>
          <cell r="R17">
            <v>100</v>
          </cell>
          <cell r="S17"/>
          <cell r="T17">
            <v>800</v>
          </cell>
          <cell r="U17" t="e">
            <v>#N/A</v>
          </cell>
          <cell r="V17" t="str">
            <v>A</v>
          </cell>
        </row>
        <row r="18">
          <cell r="Q18" t="e">
            <v>#NUM!</v>
          </cell>
          <cell r="R18">
            <v>100</v>
          </cell>
          <cell r="S18"/>
          <cell r="T18">
            <v>900</v>
          </cell>
          <cell r="U18" t="e">
            <v>#N/A</v>
          </cell>
          <cell r="V18" t="str">
            <v>A</v>
          </cell>
        </row>
        <row r="19">
          <cell r="Q19" t="e">
            <v>#NUM!</v>
          </cell>
          <cell r="R19">
            <v>100</v>
          </cell>
          <cell r="S19"/>
          <cell r="T19">
            <v>1000</v>
          </cell>
          <cell r="U19" t="e">
            <v>#N/A</v>
          </cell>
          <cell r="V19" t="str">
            <v>A</v>
          </cell>
        </row>
        <row r="20">
          <cell r="Q20" t="e">
            <v>#NUM!</v>
          </cell>
          <cell r="R20">
            <v>100</v>
          </cell>
          <cell r="S20"/>
          <cell r="T20">
            <v>1100</v>
          </cell>
          <cell r="U20" t="e">
            <v>#N/A</v>
          </cell>
          <cell r="V20" t="str">
            <v>A</v>
          </cell>
        </row>
        <row r="21">
          <cell r="Q21" t="e">
            <v>#NUM!</v>
          </cell>
          <cell r="R21">
            <v>100</v>
          </cell>
          <cell r="S21"/>
          <cell r="T21">
            <v>1200</v>
          </cell>
          <cell r="U21" t="e">
            <v>#N/A</v>
          </cell>
          <cell r="V21" t="str">
            <v>A</v>
          </cell>
        </row>
        <row r="22">
          <cell r="Q22" t="e">
            <v>#NUM!</v>
          </cell>
          <cell r="R22">
            <v>100</v>
          </cell>
          <cell r="S22"/>
          <cell r="T22">
            <v>1300</v>
          </cell>
          <cell r="U22" t="e">
            <v>#N/A</v>
          </cell>
          <cell r="V22" t="str">
            <v>A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s_Template" displayName="Inputs_Template" ref="R13:X14" totalsRowShown="0" headerRowDxfId="9">
  <autoFilter ref="R13:X14" xr:uid="{FF2C9E8B-1A62-479C-AF68-79B236C0B7BB}"/>
  <tableColumns count="7">
    <tableColumn id="1" xr3:uid="{727C6146-39EA-4E15-8783-53CAA87FAF36}" name="Zone ID" dataDxfId="3"/>
    <tableColumn id="2" xr3:uid="{2CA65110-6DD7-46D8-BFC2-5EB0C0E57567}" name="Description" dataDxfId="2"/>
    <tableColumn id="3" xr3:uid="{12D64F80-6A69-494F-BF8F-E326D34A185A}" name="Short Description" dataDxfId="0"/>
    <tableColumn id="4" xr3:uid="{71F3F5B2-8F6B-4985-B1FC-5A9D60095474}" name="Start Date" dataDxfId="1"/>
    <tableColumn id="5" xr3:uid="{57258378-8FED-4727-89AC-D938CB414B7B}" name="Finish Date" dataDxfId="4"/>
    <tableColumn id="6" xr3:uid="{ED4D3C9E-A6C7-420C-BE38-7AA6F80835A2}" name="Total"/>
    <tableColumn id="7" xr3:uid="{AC25D65C-9FB4-4F8A-9A72-57F6F2EC5CEF}" name="Completed Tota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8">
  <autoFilter ref="H2:H5" xr:uid="{1041DC80-58D6-4308-9DE1-A4EC8AAD3C20}"/>
  <tableColumns count="1">
    <tableColumn id="1" xr3:uid="{0E6D3E77-7CB7-40A1-BCA6-DDC8164AAEB9}" name="Holidays" dataDxfId="7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/>
  <dimension ref="B1:X40"/>
  <sheetViews>
    <sheetView tabSelected="1" zoomScaleNormal="100" workbookViewId="0">
      <selection activeCell="R48" sqref="R48"/>
    </sheetView>
  </sheetViews>
  <sheetFormatPr defaultRowHeight="14.5" x14ac:dyDescent="0.35"/>
  <cols>
    <col min="1" max="1" width="2.6328125" customWidth="1"/>
    <col min="2" max="2" width="18.26953125" customWidth="1"/>
    <col min="3" max="3" width="9.1796875" customWidth="1"/>
    <col min="4" max="8" width="9.1796875"/>
    <col min="9" max="9" width="6.26953125" customWidth="1"/>
    <col min="10" max="11" width="9.1796875"/>
    <col min="12" max="13" width="9.453125" customWidth="1"/>
    <col min="14" max="15" width="10.6328125" customWidth="1"/>
    <col min="16" max="17" width="2.6328125" customWidth="1"/>
    <col min="18" max="18" width="17.1796875" style="14" bestFit="1" customWidth="1"/>
    <col min="19" max="19" width="24.7265625" customWidth="1"/>
    <col min="20" max="20" width="17.7265625" bestFit="1" customWidth="1"/>
    <col min="21" max="22" width="14.6328125" customWidth="1"/>
    <col min="23" max="24" width="17.26953125" customWidth="1"/>
  </cols>
  <sheetData>
    <row r="1" spans="2:24" ht="15" thickBot="1" x14ac:dyDescent="0.4"/>
    <row r="2" spans="2:24" x14ac:dyDescent="0.35">
      <c r="B2" s="60" t="str">
        <f>_xlfn.CONCAT("PROGRESS REPORT WEEK OF ", TEXT(R3,"mm/dd/yyyy"))</f>
        <v>PROGRESS REPORT WEEK OF Report Date:</v>
      </c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2"/>
      <c r="R2" s="14" t="s">
        <v>61</v>
      </c>
      <c r="S2" s="46" t="str">
        <f ca="1">MID(CELL("filename",B1),FIND("]",CELL("filename",B1))+1,LEN(CELL("filename",B1))-FIND("]",CELL("filename",B1)))</f>
        <v>Template</v>
      </c>
      <c r="T2" s="14" t="s">
        <v>64</v>
      </c>
      <c r="U2" s="48" t="s">
        <v>63</v>
      </c>
    </row>
    <row r="3" spans="2:24" x14ac:dyDescent="0.35">
      <c r="B3" s="63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5"/>
      <c r="R3" s="14" t="s">
        <v>18</v>
      </c>
      <c r="S3" s="47">
        <f>Report_Date</f>
        <v>43971</v>
      </c>
      <c r="T3" s="14" t="s">
        <v>65</v>
      </c>
      <c r="U3" s="48" t="s">
        <v>66</v>
      </c>
    </row>
    <row r="4" spans="2:24" ht="15.5" x14ac:dyDescent="0.35">
      <c r="B4" s="25" t="s">
        <v>50</v>
      </c>
      <c r="C4" s="58" t="str">
        <f>Project_Name</f>
        <v>Westland Super Cool Project</v>
      </c>
      <c r="D4" s="58"/>
      <c r="E4" s="58"/>
      <c r="F4" s="58"/>
      <c r="G4" s="58"/>
      <c r="H4" s="58"/>
      <c r="I4" s="58"/>
      <c r="J4" s="66" t="s">
        <v>51</v>
      </c>
      <c r="K4" s="66"/>
      <c r="L4" s="66"/>
      <c r="M4" s="66"/>
      <c r="N4" s="26" t="s">
        <v>52</v>
      </c>
      <c r="O4" s="27" t="s">
        <v>53</v>
      </c>
      <c r="R4" s="14" t="s">
        <v>62</v>
      </c>
      <c r="S4" s="46"/>
      <c r="T4" s="14" t="s">
        <v>80</v>
      </c>
      <c r="U4" s="49">
        <f>Schedule_Run_Date</f>
        <v>44652</v>
      </c>
    </row>
    <row r="5" spans="2:24" ht="15.5" x14ac:dyDescent="0.35">
      <c r="B5" s="25" t="s">
        <v>54</v>
      </c>
      <c r="C5" s="58" t="str">
        <f>Project_Number</f>
        <v>S000</v>
      </c>
      <c r="D5" s="58"/>
      <c r="E5" s="58"/>
      <c r="F5" s="58"/>
      <c r="G5" s="58"/>
      <c r="H5" s="58"/>
      <c r="I5" s="58"/>
      <c r="J5" s="59" t="s">
        <v>55</v>
      </c>
      <c r="K5" s="59"/>
      <c r="L5" s="59"/>
      <c r="M5" s="59"/>
      <c r="N5" s="28">
        <f>IF(ISERROR(N7/N6), 0, N7/N6)</f>
        <v>0</v>
      </c>
      <c r="O5" s="29">
        <f>IF(ISERROR(O7/O6), 0, O7/O6)</f>
        <v>0</v>
      </c>
      <c r="R5" s="14" t="s">
        <v>73</v>
      </c>
      <c r="S5" s="4" t="b">
        <v>1</v>
      </c>
    </row>
    <row r="6" spans="2:24" ht="15.5" x14ac:dyDescent="0.35">
      <c r="B6" s="25" t="s">
        <v>56</v>
      </c>
      <c r="C6" s="58" t="str">
        <f>Main!C12</f>
        <v>XYZ Corp</v>
      </c>
      <c r="D6" s="58"/>
      <c r="E6" s="58"/>
      <c r="F6" s="58"/>
      <c r="G6" s="58"/>
      <c r="H6" s="58"/>
      <c r="I6" s="58"/>
      <c r="J6" s="59" t="str">
        <f>_xlfn.CONCAT("Overall Totals (", IF(ISBLANK($R$6),"",$R$6), ")")</f>
        <v>Overall Totals (Works Tuesday:)</v>
      </c>
      <c r="K6" s="59"/>
      <c r="L6" s="59"/>
      <c r="M6" s="59"/>
      <c r="N6" s="30" t="str">
        <f>$T$4</f>
        <v>Schedule Run Date:</v>
      </c>
      <c r="O6" s="31">
        <f>$V$4</f>
        <v>0</v>
      </c>
      <c r="R6" s="14" t="s">
        <v>74</v>
      </c>
      <c r="S6" s="4" t="b">
        <v>1</v>
      </c>
    </row>
    <row r="7" spans="2:24" ht="15.5" x14ac:dyDescent="0.35">
      <c r="B7" s="25" t="s">
        <v>57</v>
      </c>
      <c r="C7" s="58" t="str">
        <f>RIGHT(Main!B13, LEN(Main!B13) - 4)</f>
        <v>Foundation Walls</v>
      </c>
      <c r="D7" s="58"/>
      <c r="E7" s="58"/>
      <c r="F7" s="58"/>
      <c r="G7" s="58"/>
      <c r="H7" s="58"/>
      <c r="I7" s="58"/>
      <c r="J7" s="59" t="str">
        <f>_xlfn.CONCAT("Overall Completed Totals (", IF(ISBLANK($R$6),"",$R$6), ")")</f>
        <v>Overall Completed Totals (Works Tuesday:)</v>
      </c>
      <c r="K7" s="59"/>
      <c r="L7" s="59"/>
      <c r="M7" s="59"/>
      <c r="N7" s="30">
        <f>$T$16</f>
        <v>0</v>
      </c>
      <c r="O7" s="31">
        <f>$U$16</f>
        <v>0</v>
      </c>
      <c r="R7" s="14" t="s">
        <v>75</v>
      </c>
      <c r="S7" s="4" t="b">
        <v>1</v>
      </c>
    </row>
    <row r="8" spans="2:24" ht="15.5" x14ac:dyDescent="0.35">
      <c r="B8" s="32"/>
      <c r="C8" s="33"/>
      <c r="D8" s="33"/>
      <c r="E8" s="33"/>
      <c r="F8" s="33"/>
      <c r="G8" s="33"/>
      <c r="H8" s="33"/>
      <c r="I8" s="33"/>
      <c r="J8" s="59" t="str">
        <f>_xlfn.CONCAT("This Week's Production (", IF(ISBLANK($R$6),"",$R$6), ")")</f>
        <v>This Week's Production (Works Tuesday:)</v>
      </c>
      <c r="K8" s="59"/>
      <c r="L8" s="59"/>
      <c r="M8" s="59"/>
      <c r="N8" s="30">
        <f>$R$16</f>
        <v>0</v>
      </c>
      <c r="O8" s="31">
        <f>$S$16</f>
        <v>0</v>
      </c>
      <c r="R8" s="14" t="s">
        <v>76</v>
      </c>
      <c r="S8" s="4" t="b">
        <v>1</v>
      </c>
    </row>
    <row r="9" spans="2:24" ht="15.5" x14ac:dyDescent="0.35">
      <c r="B9" s="32"/>
      <c r="C9" s="33"/>
      <c r="D9" s="33"/>
      <c r="E9" s="33"/>
      <c r="F9" s="33"/>
      <c r="G9" s="33"/>
      <c r="H9" s="33"/>
      <c r="I9" s="33"/>
      <c r="J9" s="59" t="str">
        <f>_xlfn.CONCAT("Weekly Average (", IF(ISBLANK($R$6),"",$R$6), ")")</f>
        <v>Weekly Average (Works Tuesday:)</v>
      </c>
      <c r="K9" s="59"/>
      <c r="L9" s="59"/>
      <c r="M9" s="59"/>
      <c r="N9" s="34" t="e">
        <f ca="1">AVERAGE(INDIRECT("Main_"&amp;$R$2&amp;"[Weekly Plan]"))</f>
        <v>#REF!</v>
      </c>
      <c r="O9" s="35" t="e">
        <f ca="1">AVERAGE(INDIRECT("Main_"&amp;$R$2&amp;"[Weekly Actual]"))</f>
        <v>#REF!</v>
      </c>
      <c r="R9" s="14" t="s">
        <v>77</v>
      </c>
      <c r="S9" s="4" t="b">
        <v>1</v>
      </c>
    </row>
    <row r="10" spans="2:24" ht="15.5" x14ac:dyDescent="0.35">
      <c r="B10" s="32"/>
      <c r="C10" s="33"/>
      <c r="D10" s="33"/>
      <c r="E10" s="33"/>
      <c r="F10" s="33"/>
      <c r="G10" s="33"/>
      <c r="H10" s="33"/>
      <c r="I10" s="33"/>
      <c r="J10" s="59" t="str">
        <f>_xlfn.CONCAT("Average Past 4 Weeks (", IF(ISBLANK($R$6),"",$R$6), ")")</f>
        <v>Average Past 4 Weeks (Works Tuesday:)</v>
      </c>
      <c r="K10" s="59"/>
      <c r="L10" s="59"/>
      <c r="M10" s="59"/>
      <c r="N10" s="34" t="e">
        <f ca="1">(VLOOKUP($R$3,INDIRECT("Main_"&amp;$R$2), 2)+VLOOKUP($R$3-7,INDIRECT("Main_"&amp;$R$2), 2)+VLOOKUP($R$3-14,INDIRECT("Main_"&amp;$R$2), 2)+VLOOKUP($R$3-21,INDIRECT("Main_"&amp;$R$2), 2))/4</f>
        <v>#REF!</v>
      </c>
      <c r="O10" s="35" t="e">
        <f ca="1">(VLOOKUP($R$3,INDIRECT("Main_"&amp;$R$2), 3)+VLOOKUP($R$3-7,INDIRECT("Main_"&amp;$R$2), 3)+VLOOKUP($R$3-14,INDIRECT("Main_"&amp;$R$2), 3)+VLOOKUP($R$3-21,INDIRECT("Main_"&amp;$R$2), 3))/4</f>
        <v>#REF!</v>
      </c>
      <c r="R10" s="14" t="s">
        <v>78</v>
      </c>
      <c r="S10" s="4" t="b">
        <v>0</v>
      </c>
    </row>
    <row r="11" spans="2:24" ht="15.5" x14ac:dyDescent="0.35">
      <c r="B11" s="32"/>
      <c r="C11" s="33"/>
      <c r="D11" s="33"/>
      <c r="E11" s="33"/>
      <c r="F11" s="33"/>
      <c r="G11" s="33"/>
      <c r="H11" s="33"/>
      <c r="I11" s="33"/>
      <c r="J11" s="59" t="str">
        <f>_xlfn.CONCAT("On Schedule Average (", IF(ISBLANK($R$6),"",$R$6), ")")</f>
        <v>On Schedule Average (Works Tuesday:)</v>
      </c>
      <c r="K11" s="59"/>
      <c r="L11" s="59"/>
      <c r="M11" s="59"/>
      <c r="N11" s="34" t="e">
        <f ca="1">AVERAGE(INDIRECT("Main_"&amp;$R$2&amp;"[Weekly Plan]"))</f>
        <v>#REF!</v>
      </c>
      <c r="O11" s="35" t="e">
        <f>IF(($R$5-$R$3)&gt;0,($T$4-$T$5)/(CEILING(($R$5-$R$3),7)/7),"N/A")</f>
        <v>#VALUE!</v>
      </c>
      <c r="R11" s="14" t="s">
        <v>79</v>
      </c>
      <c r="S11" s="4" t="b">
        <v>0</v>
      </c>
    </row>
    <row r="12" spans="2:24" ht="15.5" x14ac:dyDescent="0.35">
      <c r="B12" s="32"/>
      <c r="C12" s="33"/>
      <c r="D12" s="33"/>
      <c r="E12" s="33"/>
      <c r="F12" s="33"/>
      <c r="G12" s="33"/>
      <c r="H12" s="33"/>
      <c r="I12" s="33"/>
      <c r="J12" s="50" t="s">
        <v>58</v>
      </c>
      <c r="K12" s="50"/>
      <c r="L12" s="50"/>
      <c r="M12" s="50"/>
      <c r="N12" s="51" t="str">
        <f>$R$5</f>
        <v>Works Monday:</v>
      </c>
      <c r="O12" s="52"/>
    </row>
    <row r="13" spans="2:24" ht="15.5" x14ac:dyDescent="0.35">
      <c r="B13" s="32"/>
      <c r="C13" s="33"/>
      <c r="D13" s="33"/>
      <c r="E13" s="33"/>
      <c r="F13" s="33"/>
      <c r="G13" s="33"/>
      <c r="H13" s="33"/>
      <c r="I13" s="33"/>
      <c r="J13" s="50" t="s">
        <v>59</v>
      </c>
      <c r="K13" s="50"/>
      <c r="L13" s="50"/>
      <c r="M13" s="50"/>
      <c r="N13" s="51" t="e">
        <f ca="1">$R$3+ROUNDUP(($T$4-$T$5)/($O$10/IF($R$7="NO", 5,6)),0)+(TRUNC(ROUNDUP(($T$4-$T$5)/($O$10/IF($R$7="NO", 5,6)),0)/7)*IF($R$7="NO",2,1))</f>
        <v>#VALUE!</v>
      </c>
      <c r="O13" s="53"/>
      <c r="R13" s="45" t="s">
        <v>67</v>
      </c>
      <c r="S13" s="45" t="s">
        <v>51</v>
      </c>
      <c r="T13" s="45" t="s">
        <v>68</v>
      </c>
      <c r="U13" s="45" t="s">
        <v>69</v>
      </c>
      <c r="V13" s="45" t="s">
        <v>70</v>
      </c>
      <c r="W13" s="45" t="s">
        <v>71</v>
      </c>
      <c r="X13" s="45" t="s">
        <v>72</v>
      </c>
    </row>
    <row r="14" spans="2:24" ht="15.5" x14ac:dyDescent="0.35">
      <c r="B14" s="32"/>
      <c r="C14" s="33"/>
      <c r="D14" s="33"/>
      <c r="E14" s="33"/>
      <c r="F14" s="33"/>
      <c r="G14" s="33"/>
      <c r="H14" s="33"/>
      <c r="I14" s="33"/>
      <c r="J14" s="36"/>
      <c r="K14" s="36"/>
      <c r="L14" s="54" t="str">
        <f>_xlfn.CONCAT("Values were calculated using the attached takeoff sheets and Westland's project schedule with a run date of ", TEXT($T$7, "mm/dd/yyyy"), ".")</f>
        <v>Values were calculated using the attached takeoff sheets and Westland's project schedule with a run date of 01/00/1900.</v>
      </c>
      <c r="M14" s="54"/>
      <c r="N14" s="54"/>
      <c r="O14" s="55"/>
      <c r="R14" s="71"/>
      <c r="S14" s="18"/>
      <c r="T14" s="18"/>
      <c r="U14" s="1"/>
      <c r="V14" s="1"/>
    </row>
    <row r="15" spans="2:24" ht="16" thickBot="1" x14ac:dyDescent="0.4">
      <c r="B15" s="32"/>
      <c r="C15" s="33"/>
      <c r="D15" s="33"/>
      <c r="E15" s="33"/>
      <c r="F15" s="33"/>
      <c r="G15" s="33"/>
      <c r="H15" s="33"/>
      <c r="I15" s="33"/>
      <c r="J15" s="37"/>
      <c r="K15" s="37"/>
      <c r="L15" s="56"/>
      <c r="M15" s="56"/>
      <c r="N15" s="56"/>
      <c r="O15" s="57"/>
    </row>
    <row r="16" spans="2:24" ht="15.5" x14ac:dyDescent="0.35">
      <c r="B16" s="38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40"/>
    </row>
    <row r="17" spans="2:15" ht="15.5" x14ac:dyDescent="0.35">
      <c r="B17" s="32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41"/>
    </row>
    <row r="18" spans="2:15" ht="15.5" x14ac:dyDescent="0.35">
      <c r="B18" s="32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41"/>
    </row>
    <row r="19" spans="2:15" ht="15.5" x14ac:dyDescent="0.35">
      <c r="B19" s="32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41"/>
    </row>
    <row r="20" spans="2:15" ht="15.5" x14ac:dyDescent="0.35">
      <c r="B20" s="32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41"/>
    </row>
    <row r="21" spans="2:15" ht="15.5" x14ac:dyDescent="0.35">
      <c r="B21" s="32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41"/>
    </row>
    <row r="22" spans="2:15" ht="15.5" x14ac:dyDescent="0.35">
      <c r="B22" s="32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41"/>
    </row>
    <row r="23" spans="2:15" ht="15.5" x14ac:dyDescent="0.35">
      <c r="B23" s="32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41"/>
    </row>
    <row r="24" spans="2:15" ht="15.5" x14ac:dyDescent="0.35">
      <c r="B24" s="32"/>
      <c r="C24" s="33" t="s">
        <v>60</v>
      </c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41"/>
    </row>
    <row r="25" spans="2:15" ht="15.5" x14ac:dyDescent="0.35">
      <c r="B25" s="32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41"/>
    </row>
    <row r="26" spans="2:15" ht="15.5" x14ac:dyDescent="0.35">
      <c r="B26" s="32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41"/>
    </row>
    <row r="27" spans="2:15" ht="15.5" x14ac:dyDescent="0.35">
      <c r="B27" s="32"/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41"/>
    </row>
    <row r="28" spans="2:15" ht="15.5" x14ac:dyDescent="0.35">
      <c r="B28" s="32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41"/>
    </row>
    <row r="29" spans="2:15" ht="15.5" x14ac:dyDescent="0.35">
      <c r="B29" s="32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41"/>
    </row>
    <row r="30" spans="2:15" ht="15.5" x14ac:dyDescent="0.35">
      <c r="B30" s="32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41"/>
    </row>
    <row r="31" spans="2:15" ht="15.5" x14ac:dyDescent="0.35">
      <c r="B31" s="32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41"/>
    </row>
    <row r="32" spans="2:15" ht="15.5" x14ac:dyDescent="0.35">
      <c r="B32" s="32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41"/>
    </row>
    <row r="33" spans="2:15" ht="15.5" x14ac:dyDescent="0.35">
      <c r="B33" s="32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41"/>
    </row>
    <row r="34" spans="2:15" ht="15.5" x14ac:dyDescent="0.35">
      <c r="B34" s="32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41"/>
    </row>
    <row r="35" spans="2:15" ht="15.5" x14ac:dyDescent="0.35">
      <c r="B35" s="32"/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41"/>
    </row>
    <row r="36" spans="2:15" ht="15.5" x14ac:dyDescent="0.35">
      <c r="B36" s="32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41"/>
    </row>
    <row r="37" spans="2:15" ht="15.5" x14ac:dyDescent="0.35">
      <c r="B37" s="32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41"/>
    </row>
    <row r="38" spans="2:15" ht="15.5" x14ac:dyDescent="0.35">
      <c r="B38" s="32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41"/>
    </row>
    <row r="39" spans="2:15" ht="15.5" x14ac:dyDescent="0.35">
      <c r="B39" s="32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41"/>
    </row>
    <row r="40" spans="2:15" ht="16" thickBot="1" x14ac:dyDescent="0.4">
      <c r="B40" s="42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4"/>
    </row>
  </sheetData>
  <mergeCells count="18"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  <mergeCell ref="J12:M12"/>
    <mergeCell ref="N12:O12"/>
    <mergeCell ref="J13:M13"/>
    <mergeCell ref="N13:O13"/>
    <mergeCell ref="L14:O15"/>
  </mergeCells>
  <dataValidations count="2">
    <dataValidation type="list" showInputMessage="1" showErrorMessage="1" sqref="U2" xr:uid="{87A05692-0E71-429C-8F5D-6A6BF79ADEFF}">
      <formula1>"Manual, Assemble Addin, Bluebeam QL"</formula1>
    </dataValidation>
    <dataValidation type="list" showInputMessage="1" showErrorMessage="1" sqref="S5:S11" xr:uid="{BC675DFB-B567-499A-B2C6-ACEA7CB3A9A7}">
      <formula1>"TRUE, FALSE"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L18"/>
  <sheetViews>
    <sheetView workbookViewId="0">
      <selection activeCell="H20" sqref="H20"/>
    </sheetView>
  </sheetViews>
  <sheetFormatPr defaultRowHeight="14.5" x14ac:dyDescent="0.35"/>
  <cols>
    <col min="1" max="1" width="2.6328125" customWidth="1"/>
    <col min="2" max="2" width="18.36328125" bestFit="1" customWidth="1"/>
    <col min="3" max="3" width="35.54296875" customWidth="1"/>
    <col min="4" max="4" width="2.36328125" customWidth="1"/>
    <col min="5" max="5" width="17.81640625" bestFit="1" customWidth="1"/>
    <col min="6" max="6" width="14.36328125" customWidth="1"/>
    <col min="7" max="7" width="2.6328125" customWidth="1"/>
    <col min="8" max="8" width="17.453125" customWidth="1"/>
    <col min="9" max="10" width="2.6328125" customWidth="1"/>
    <col min="11" max="11" width="23.08984375" bestFit="1" customWidth="1"/>
    <col min="12" max="12" width="86.6328125" bestFit="1" customWidth="1"/>
  </cols>
  <sheetData>
    <row r="1" spans="2:12" ht="15.5" x14ac:dyDescent="0.35">
      <c r="E1" s="67" t="s">
        <v>5</v>
      </c>
      <c r="F1" s="67"/>
      <c r="H1" s="2" t="s">
        <v>9</v>
      </c>
      <c r="K1" s="5" t="s">
        <v>12</v>
      </c>
      <c r="L1" s="5" t="s">
        <v>17</v>
      </c>
    </row>
    <row r="2" spans="2:12" ht="15.5" x14ac:dyDescent="0.35">
      <c r="B2" s="68" t="s">
        <v>6</v>
      </c>
      <c r="C2" s="68"/>
      <c r="E2" t="s">
        <v>0</v>
      </c>
      <c r="F2" t="s">
        <v>7</v>
      </c>
      <c r="H2" t="s">
        <v>3</v>
      </c>
    </row>
    <row r="3" spans="2:12" x14ac:dyDescent="0.35">
      <c r="B3" s="3" t="s">
        <v>10</v>
      </c>
      <c r="C3" s="4" t="s">
        <v>16</v>
      </c>
      <c r="E3" t="s">
        <v>1</v>
      </c>
      <c r="F3" t="b">
        <v>1</v>
      </c>
      <c r="H3" s="1">
        <v>43976</v>
      </c>
    </row>
    <row r="4" spans="2:12" x14ac:dyDescent="0.35">
      <c r="B4" s="3" t="s">
        <v>13</v>
      </c>
      <c r="C4" s="4" t="s">
        <v>15</v>
      </c>
      <c r="E4" t="s">
        <v>2</v>
      </c>
      <c r="F4" t="b">
        <v>1</v>
      </c>
      <c r="H4" s="1">
        <v>44190</v>
      </c>
    </row>
    <row r="5" spans="2:12" x14ac:dyDescent="0.35">
      <c r="B5" t="s">
        <v>8</v>
      </c>
      <c r="C5" s="6">
        <v>44652</v>
      </c>
      <c r="E5" t="s">
        <v>4</v>
      </c>
      <c r="F5" t="b">
        <v>1</v>
      </c>
      <c r="H5" s="1">
        <v>44197</v>
      </c>
    </row>
    <row r="6" spans="2:12" x14ac:dyDescent="0.35">
      <c r="B6" t="s">
        <v>14</v>
      </c>
      <c r="C6" s="4" t="str">
        <f>C4&amp;" Power BI Export.xlsx"</f>
        <v>S000 Power BI Export.xlsx</v>
      </c>
      <c r="E6" t="s">
        <v>11</v>
      </c>
      <c r="F6" t="b">
        <v>0</v>
      </c>
      <c r="H6" s="1"/>
    </row>
    <row r="7" spans="2:12" x14ac:dyDescent="0.35">
      <c r="B7" t="s">
        <v>19</v>
      </c>
      <c r="C7" s="4" t="s">
        <v>20</v>
      </c>
      <c r="H7" s="1"/>
    </row>
    <row r="8" spans="2:12" x14ac:dyDescent="0.35">
      <c r="B8" t="s">
        <v>22</v>
      </c>
      <c r="C8" s="4" t="s">
        <v>24</v>
      </c>
      <c r="H8" s="1"/>
    </row>
    <row r="9" spans="2:12" x14ac:dyDescent="0.35">
      <c r="B9" t="s">
        <v>23</v>
      </c>
      <c r="C9" s="4" t="s">
        <v>25</v>
      </c>
      <c r="H9" s="1"/>
    </row>
    <row r="10" spans="2:12" x14ac:dyDescent="0.35">
      <c r="B10" t="s">
        <v>27</v>
      </c>
      <c r="C10" s="4" t="s">
        <v>26</v>
      </c>
      <c r="H10" s="1"/>
    </row>
    <row r="11" spans="2:12" x14ac:dyDescent="0.35">
      <c r="H11" s="1"/>
    </row>
    <row r="12" spans="2:12" x14ac:dyDescent="0.35">
      <c r="H12" s="1"/>
    </row>
    <row r="13" spans="2:12" x14ac:dyDescent="0.35">
      <c r="H13" s="1"/>
    </row>
    <row r="14" spans="2:12" x14ac:dyDescent="0.35">
      <c r="H14" s="1"/>
    </row>
    <row r="15" spans="2:12" x14ac:dyDescent="0.35">
      <c r="H15" s="1"/>
    </row>
    <row r="16" spans="2:12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This setting adds half production for the day after a holiday on the schedule. (Also half production for the week of Christmas)" sqref="F5" xr:uid="{99DB0BEB-D9A3-46F5-B50F-0AEE7303E4ED}">
      <formula1>"TRUE, 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1644650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707"/>
  <sheetViews>
    <sheetView zoomScale="115" zoomScaleNormal="115" workbookViewId="0">
      <selection activeCell="H10" sqref="H10"/>
    </sheetView>
  </sheetViews>
  <sheetFormatPr defaultRowHeight="14.5" x14ac:dyDescent="0.35"/>
  <cols>
    <col min="1" max="1" width="2.1796875" customWidth="1"/>
    <col min="2" max="2" width="45.08984375" style="8" customWidth="1"/>
    <col min="3" max="3" width="27.453125" style="8" customWidth="1"/>
    <col min="4" max="5" width="10.90625" style="10" customWidth="1"/>
    <col min="6" max="6" width="2.26953125" customWidth="1"/>
    <col min="7" max="7" width="21.6328125" style="20" bestFit="1" customWidth="1"/>
    <col min="8" max="8" width="15.1796875" customWidth="1"/>
    <col min="9" max="10" width="14.1796875" customWidth="1"/>
  </cols>
  <sheetData>
    <row r="2" spans="2:11" ht="28" customHeight="1" x14ac:dyDescent="0.35">
      <c r="B2" s="70" t="str">
        <f>"PROGRESS REPORT "&amp; TEXT(Report_Date, "mm/dd/yyy")</f>
        <v>PROGRESS REPORT 05/20/2020</v>
      </c>
      <c r="C2" s="70"/>
      <c r="D2" s="70"/>
      <c r="E2" s="70"/>
    </row>
    <row r="3" spans="2:11" ht="8" customHeight="1" x14ac:dyDescent="0.35"/>
    <row r="4" spans="2:11" ht="17.5" x14ac:dyDescent="0.35">
      <c r="B4" s="7" t="str">
        <f>Project_Number &amp; " - " &amp; Project_Name</f>
        <v>S000 - Westland Super Cool Project</v>
      </c>
    </row>
    <row r="5" spans="2:11" ht="6" customHeight="1" x14ac:dyDescent="0.35"/>
    <row r="6" spans="2:11" x14ac:dyDescent="0.35">
      <c r="B6" s="8" t="str">
        <f>"Project Manager(s): " &amp; Project_Manager</f>
        <v>Project Manager(s): Default 1</v>
      </c>
      <c r="G6" s="21" t="s">
        <v>18</v>
      </c>
      <c r="H6" s="15">
        <v>43971</v>
      </c>
    </row>
    <row r="7" spans="2:11" x14ac:dyDescent="0.35">
      <c r="B7" s="8" t="str">
        <f>"Project Engineer(s): " &amp; Project_Engineer</f>
        <v>Project Engineer(s): Default 2</v>
      </c>
      <c r="G7" s="21" t="s">
        <v>37</v>
      </c>
      <c r="H7" s="16" t="s">
        <v>21</v>
      </c>
    </row>
    <row r="8" spans="2:11" x14ac:dyDescent="0.35">
      <c r="B8" s="8" t="str">
        <f>"Superintendent(s):  " &amp; Superintendent</f>
        <v>Superintendent(s):  Default 3</v>
      </c>
      <c r="G8" s="21" t="s">
        <v>40</v>
      </c>
      <c r="H8" s="17">
        <v>0.06</v>
      </c>
    </row>
    <row r="9" spans="2:11" ht="10" customHeight="1" x14ac:dyDescent="0.35"/>
    <row r="10" spans="2:11" ht="16.5" x14ac:dyDescent="0.35">
      <c r="B10" s="11" t="s">
        <v>28</v>
      </c>
      <c r="C10" s="11" t="s">
        <v>29</v>
      </c>
      <c r="D10" s="12" t="s">
        <v>30</v>
      </c>
      <c r="E10" s="12" t="s">
        <v>31</v>
      </c>
      <c r="F10" s="22"/>
      <c r="G10" s="22" t="s">
        <v>47</v>
      </c>
      <c r="H10" s="19" t="s">
        <v>43</v>
      </c>
      <c r="I10" s="12" t="s">
        <v>46</v>
      </c>
      <c r="J10" s="12" t="s">
        <v>45</v>
      </c>
    </row>
    <row r="11" spans="2:11" ht="15" x14ac:dyDescent="0.35">
      <c r="B11" s="69" t="s">
        <v>32</v>
      </c>
      <c r="C11" s="69"/>
      <c r="D11" s="69"/>
      <c r="E11" s="69"/>
      <c r="F11" s="24"/>
      <c r="G11" s="24"/>
      <c r="H11" s="24"/>
      <c r="I11" s="24"/>
      <c r="J11" s="24"/>
      <c r="K11" t="s">
        <v>49</v>
      </c>
    </row>
    <row r="12" spans="2:11" x14ac:dyDescent="0.35">
      <c r="B12" s="9" t="s">
        <v>41</v>
      </c>
      <c r="C12" s="8" t="s">
        <v>38</v>
      </c>
      <c r="D12" s="10">
        <v>0.5</v>
      </c>
      <c r="E12" s="10">
        <v>0.45</v>
      </c>
      <c r="G12" s="23"/>
      <c r="H12" s="18" t="s">
        <v>44</v>
      </c>
    </row>
    <row r="13" spans="2:11" x14ac:dyDescent="0.35">
      <c r="B13" s="9" t="s">
        <v>42</v>
      </c>
      <c r="C13" s="8" t="s">
        <v>39</v>
      </c>
      <c r="D13" s="10">
        <v>0.34</v>
      </c>
      <c r="E13" s="10">
        <v>0.4</v>
      </c>
      <c r="G13" s="1"/>
      <c r="H13" s="18" t="s">
        <v>48</v>
      </c>
    </row>
    <row r="14" spans="2:11" x14ac:dyDescent="0.35">
      <c r="B14" s="13"/>
      <c r="G14" s="1"/>
      <c r="H14" s="18"/>
    </row>
    <row r="15" spans="2:11" ht="15" x14ac:dyDescent="0.35">
      <c r="B15" s="69" t="s">
        <v>33</v>
      </c>
      <c r="C15" s="69"/>
      <c r="D15" s="69"/>
      <c r="E15" s="69"/>
      <c r="F15" s="24"/>
      <c r="G15" s="24"/>
      <c r="H15" s="24"/>
      <c r="I15" s="24"/>
      <c r="J15" s="24"/>
    </row>
    <row r="16" spans="2:11" x14ac:dyDescent="0.35">
      <c r="G16" s="1"/>
      <c r="H16" s="18"/>
    </row>
    <row r="17" spans="2:10" x14ac:dyDescent="0.35">
      <c r="G17" s="1"/>
      <c r="H17" s="18"/>
    </row>
    <row r="18" spans="2:10" ht="15" x14ac:dyDescent="0.35">
      <c r="B18" s="69" t="s">
        <v>34</v>
      </c>
      <c r="C18" s="69"/>
      <c r="D18" s="69"/>
      <c r="E18" s="69"/>
      <c r="F18" s="24"/>
      <c r="G18" s="24"/>
      <c r="H18" s="24"/>
      <c r="I18" s="24"/>
      <c r="J18" s="24"/>
    </row>
    <row r="19" spans="2:10" x14ac:dyDescent="0.35">
      <c r="G19" s="1"/>
      <c r="H19" s="18"/>
    </row>
    <row r="20" spans="2:10" x14ac:dyDescent="0.35">
      <c r="G20" s="1"/>
      <c r="H20" s="18"/>
    </row>
    <row r="21" spans="2:10" ht="15" x14ac:dyDescent="0.35">
      <c r="B21" s="69" t="s">
        <v>35</v>
      </c>
      <c r="C21" s="69"/>
      <c r="D21" s="69"/>
      <c r="E21" s="69"/>
      <c r="F21" s="24"/>
      <c r="G21" s="24"/>
      <c r="H21" s="24"/>
      <c r="I21" s="24"/>
      <c r="J21" s="24"/>
    </row>
    <row r="22" spans="2:10" x14ac:dyDescent="0.35">
      <c r="G22" s="1"/>
      <c r="H22" s="18"/>
    </row>
    <row r="23" spans="2:10" x14ac:dyDescent="0.35">
      <c r="G23" s="1"/>
      <c r="H23" s="18"/>
    </row>
    <row r="24" spans="2:10" ht="15" x14ac:dyDescent="0.35">
      <c r="B24" s="69" t="s">
        <v>36</v>
      </c>
      <c r="C24" s="69"/>
      <c r="D24" s="69"/>
      <c r="E24" s="69"/>
      <c r="F24" s="24"/>
      <c r="G24" s="24"/>
      <c r="H24" s="24"/>
      <c r="I24" s="24"/>
      <c r="J24" s="24"/>
    </row>
    <row r="25" spans="2:10" x14ac:dyDescent="0.35">
      <c r="G25" s="1"/>
      <c r="H25" s="18"/>
    </row>
    <row r="26" spans="2:10" x14ac:dyDescent="0.35">
      <c r="G26" s="1"/>
      <c r="H26" s="18"/>
    </row>
    <row r="27" spans="2:10" x14ac:dyDescent="0.35">
      <c r="G27" s="1"/>
      <c r="H27" s="18"/>
    </row>
    <row r="28" spans="2:10" x14ac:dyDescent="0.35">
      <c r="G28" s="1"/>
      <c r="H28" s="18"/>
    </row>
    <row r="29" spans="2:10" x14ac:dyDescent="0.35">
      <c r="G29" s="1"/>
      <c r="H29" s="18"/>
    </row>
    <row r="30" spans="2:10" x14ac:dyDescent="0.35">
      <c r="G30" s="1"/>
      <c r="H30" s="18"/>
    </row>
    <row r="31" spans="2:10" x14ac:dyDescent="0.35">
      <c r="G31" s="1"/>
      <c r="H31" s="18"/>
    </row>
    <row r="32" spans="2:10" x14ac:dyDescent="0.35">
      <c r="G32" s="1"/>
      <c r="H32" s="18"/>
    </row>
    <row r="33" spans="7:8" x14ac:dyDescent="0.35">
      <c r="G33" s="1"/>
      <c r="H33" s="18"/>
    </row>
    <row r="34" spans="7:8" x14ac:dyDescent="0.35">
      <c r="G34" s="1"/>
      <c r="H34" s="18"/>
    </row>
    <row r="35" spans="7:8" x14ac:dyDescent="0.35">
      <c r="G35" s="1"/>
      <c r="H35" s="18"/>
    </row>
    <row r="36" spans="7:8" x14ac:dyDescent="0.35">
      <c r="G36" s="1"/>
      <c r="H36" s="18"/>
    </row>
    <row r="37" spans="7:8" x14ac:dyDescent="0.35">
      <c r="G37" s="1"/>
      <c r="H37" s="18"/>
    </row>
    <row r="38" spans="7:8" x14ac:dyDescent="0.35">
      <c r="G38" s="1"/>
      <c r="H38" s="18"/>
    </row>
    <row r="39" spans="7:8" x14ac:dyDescent="0.35">
      <c r="G39" s="1"/>
      <c r="H39" s="18"/>
    </row>
    <row r="40" spans="7:8" x14ac:dyDescent="0.35">
      <c r="G40" s="1"/>
      <c r="H40" s="18"/>
    </row>
    <row r="41" spans="7:8" x14ac:dyDescent="0.35">
      <c r="G41" s="1"/>
      <c r="H41" s="18"/>
    </row>
    <row r="42" spans="7:8" x14ac:dyDescent="0.35">
      <c r="G42" s="1"/>
      <c r="H42" s="18"/>
    </row>
    <row r="43" spans="7:8" x14ac:dyDescent="0.35">
      <c r="G43" s="1"/>
      <c r="H43" s="18"/>
    </row>
    <row r="44" spans="7:8" x14ac:dyDescent="0.35">
      <c r="G44" s="1"/>
      <c r="H44" s="18"/>
    </row>
    <row r="45" spans="7:8" x14ac:dyDescent="0.35">
      <c r="G45" s="1"/>
      <c r="H45" s="18"/>
    </row>
    <row r="46" spans="7:8" x14ac:dyDescent="0.35">
      <c r="G46" s="1"/>
      <c r="H46" s="18"/>
    </row>
    <row r="47" spans="7:8" x14ac:dyDescent="0.35">
      <c r="G47" s="1"/>
      <c r="H47" s="18"/>
    </row>
    <row r="48" spans="7:8" x14ac:dyDescent="0.35">
      <c r="G48" s="1"/>
      <c r="H48" s="18"/>
    </row>
    <row r="49" spans="7:8" x14ac:dyDescent="0.35">
      <c r="G49" s="1"/>
      <c r="H49" s="18"/>
    </row>
    <row r="50" spans="7:8" x14ac:dyDescent="0.35">
      <c r="G50" s="1"/>
      <c r="H50" s="18"/>
    </row>
    <row r="51" spans="7:8" x14ac:dyDescent="0.35">
      <c r="G51" s="1"/>
      <c r="H51" s="18"/>
    </row>
    <row r="52" spans="7:8" x14ac:dyDescent="0.35">
      <c r="G52" s="1"/>
      <c r="H52" s="18"/>
    </row>
    <row r="53" spans="7:8" x14ac:dyDescent="0.35">
      <c r="G53" s="1"/>
      <c r="H53" s="18"/>
    </row>
    <row r="54" spans="7:8" x14ac:dyDescent="0.35">
      <c r="G54" s="1"/>
      <c r="H54" s="18"/>
    </row>
    <row r="55" spans="7:8" x14ac:dyDescent="0.35">
      <c r="G55" s="1"/>
      <c r="H55" s="18"/>
    </row>
    <row r="56" spans="7:8" x14ac:dyDescent="0.35">
      <c r="G56" s="1"/>
      <c r="H56" s="18"/>
    </row>
    <row r="57" spans="7:8" x14ac:dyDescent="0.35">
      <c r="G57" s="1"/>
      <c r="H57" s="18"/>
    </row>
    <row r="58" spans="7:8" x14ac:dyDescent="0.35">
      <c r="G58" s="1"/>
      <c r="H58" s="18"/>
    </row>
    <row r="59" spans="7:8" x14ac:dyDescent="0.35">
      <c r="G59" s="1"/>
      <c r="H59" s="18"/>
    </row>
    <row r="60" spans="7:8" x14ac:dyDescent="0.35">
      <c r="G60" s="1"/>
      <c r="H60" s="18"/>
    </row>
    <row r="61" spans="7:8" x14ac:dyDescent="0.35">
      <c r="G61" s="1"/>
      <c r="H61" s="18"/>
    </row>
    <row r="62" spans="7:8" x14ac:dyDescent="0.35">
      <c r="G62" s="1"/>
      <c r="H62" s="18"/>
    </row>
    <row r="63" spans="7:8" x14ac:dyDescent="0.35">
      <c r="G63" s="1"/>
      <c r="H63" s="18"/>
    </row>
    <row r="64" spans="7:8" x14ac:dyDescent="0.35">
      <c r="G64" s="1"/>
      <c r="H64" s="18"/>
    </row>
    <row r="65" spans="7:8" x14ac:dyDescent="0.35">
      <c r="G65" s="1"/>
      <c r="H65" s="18"/>
    </row>
    <row r="66" spans="7:8" x14ac:dyDescent="0.35">
      <c r="G66" s="1"/>
      <c r="H66" s="18"/>
    </row>
    <row r="67" spans="7:8" x14ac:dyDescent="0.35">
      <c r="G67" s="1"/>
      <c r="H67" s="18"/>
    </row>
    <row r="68" spans="7:8" x14ac:dyDescent="0.35">
      <c r="G68" s="1"/>
      <c r="H68" s="18"/>
    </row>
    <row r="69" spans="7:8" x14ac:dyDescent="0.35">
      <c r="G69" s="1"/>
      <c r="H69" s="18"/>
    </row>
    <row r="70" spans="7:8" x14ac:dyDescent="0.35">
      <c r="G70" s="1"/>
      <c r="H70" s="18"/>
    </row>
    <row r="71" spans="7:8" x14ac:dyDescent="0.35">
      <c r="G71" s="1"/>
      <c r="H71" s="18"/>
    </row>
    <row r="72" spans="7:8" x14ac:dyDescent="0.35">
      <c r="G72" s="1"/>
      <c r="H72" s="18"/>
    </row>
    <row r="73" spans="7:8" x14ac:dyDescent="0.35">
      <c r="G73" s="1"/>
      <c r="H73" s="18"/>
    </row>
    <row r="74" spans="7:8" x14ac:dyDescent="0.35">
      <c r="G74" s="1"/>
      <c r="H74" s="18"/>
    </row>
    <row r="75" spans="7:8" x14ac:dyDescent="0.35">
      <c r="G75" s="1"/>
      <c r="H75" s="18"/>
    </row>
    <row r="76" spans="7:8" x14ac:dyDescent="0.35">
      <c r="G76" s="1"/>
      <c r="H76" s="18"/>
    </row>
    <row r="77" spans="7:8" x14ac:dyDescent="0.35">
      <c r="G77" s="1"/>
      <c r="H77" s="18"/>
    </row>
    <row r="78" spans="7:8" x14ac:dyDescent="0.35">
      <c r="G78" s="1"/>
      <c r="H78" s="18"/>
    </row>
    <row r="79" spans="7:8" x14ac:dyDescent="0.35">
      <c r="G79" s="1"/>
      <c r="H79" s="18"/>
    </row>
    <row r="80" spans="7:8" x14ac:dyDescent="0.35">
      <c r="G80" s="1"/>
      <c r="H80" s="18"/>
    </row>
    <row r="81" spans="7:8" x14ac:dyDescent="0.35">
      <c r="G81" s="1"/>
      <c r="H81" s="18"/>
    </row>
    <row r="82" spans="7:8" x14ac:dyDescent="0.35">
      <c r="G82" s="1"/>
      <c r="H82" s="18"/>
    </row>
    <row r="83" spans="7:8" x14ac:dyDescent="0.35">
      <c r="G83" s="1"/>
      <c r="H83" s="18"/>
    </row>
    <row r="84" spans="7:8" x14ac:dyDescent="0.35">
      <c r="G84" s="1"/>
      <c r="H84" s="18"/>
    </row>
    <row r="85" spans="7:8" x14ac:dyDescent="0.35">
      <c r="G85" s="1"/>
      <c r="H85" s="18"/>
    </row>
    <row r="86" spans="7:8" x14ac:dyDescent="0.35">
      <c r="G86" s="1"/>
      <c r="H86" s="18"/>
    </row>
    <row r="87" spans="7:8" x14ac:dyDescent="0.35">
      <c r="G87" s="1"/>
      <c r="H87" s="18"/>
    </row>
    <row r="88" spans="7:8" x14ac:dyDescent="0.35">
      <c r="G88" s="1"/>
      <c r="H88" s="18"/>
    </row>
    <row r="89" spans="7:8" x14ac:dyDescent="0.35">
      <c r="G89" s="1"/>
      <c r="H89" s="18"/>
    </row>
    <row r="90" spans="7:8" x14ac:dyDescent="0.35">
      <c r="G90" s="1"/>
      <c r="H90" s="18"/>
    </row>
    <row r="91" spans="7:8" x14ac:dyDescent="0.35">
      <c r="G91" s="1"/>
      <c r="H91" s="18"/>
    </row>
    <row r="92" spans="7:8" x14ac:dyDescent="0.35">
      <c r="G92" s="1"/>
      <c r="H92" s="18"/>
    </row>
    <row r="93" spans="7:8" x14ac:dyDescent="0.35">
      <c r="G93" s="1"/>
      <c r="H93" s="18"/>
    </row>
    <row r="94" spans="7:8" x14ac:dyDescent="0.35">
      <c r="G94" s="1"/>
      <c r="H94" s="18"/>
    </row>
    <row r="95" spans="7:8" x14ac:dyDescent="0.35">
      <c r="G95" s="1"/>
      <c r="H95" s="18"/>
    </row>
    <row r="96" spans="7:8" x14ac:dyDescent="0.35">
      <c r="G96" s="1"/>
      <c r="H96" s="18"/>
    </row>
    <row r="97" spans="7:8" x14ac:dyDescent="0.35">
      <c r="G97" s="1"/>
      <c r="H97" s="18"/>
    </row>
    <row r="98" spans="7:8" x14ac:dyDescent="0.35">
      <c r="G98" s="1"/>
      <c r="H98" s="18"/>
    </row>
    <row r="99" spans="7:8" x14ac:dyDescent="0.35">
      <c r="G99" s="1"/>
      <c r="H99" s="18"/>
    </row>
    <row r="100" spans="7:8" x14ac:dyDescent="0.35">
      <c r="G100" s="1"/>
      <c r="H100" s="18"/>
    </row>
    <row r="101" spans="7:8" x14ac:dyDescent="0.35">
      <c r="G101" s="1"/>
      <c r="H101" s="18"/>
    </row>
    <row r="102" spans="7:8" x14ac:dyDescent="0.35">
      <c r="G102" s="1"/>
      <c r="H102" s="18"/>
    </row>
    <row r="103" spans="7:8" x14ac:dyDescent="0.35">
      <c r="G103" s="1"/>
      <c r="H103" s="18"/>
    </row>
    <row r="104" spans="7:8" x14ac:dyDescent="0.35">
      <c r="G104" s="1"/>
      <c r="H104" s="18"/>
    </row>
    <row r="105" spans="7:8" x14ac:dyDescent="0.35">
      <c r="G105" s="1"/>
      <c r="H105" s="18"/>
    </row>
    <row r="106" spans="7:8" x14ac:dyDescent="0.35">
      <c r="G106" s="1"/>
      <c r="H106" s="18"/>
    </row>
    <row r="107" spans="7:8" x14ac:dyDescent="0.35">
      <c r="G107" s="1"/>
      <c r="H107" s="18"/>
    </row>
    <row r="108" spans="7:8" x14ac:dyDescent="0.35">
      <c r="G108" s="1"/>
      <c r="H108" s="18"/>
    </row>
    <row r="109" spans="7:8" x14ac:dyDescent="0.35">
      <c r="G109" s="1"/>
      <c r="H109" s="18"/>
    </row>
    <row r="110" spans="7:8" x14ac:dyDescent="0.35">
      <c r="G110" s="1"/>
      <c r="H110" s="18"/>
    </row>
    <row r="111" spans="7:8" x14ac:dyDescent="0.35">
      <c r="G111" s="1"/>
      <c r="H111" s="18"/>
    </row>
    <row r="112" spans="7:8" x14ac:dyDescent="0.35">
      <c r="G112" s="1"/>
      <c r="H112" s="18"/>
    </row>
    <row r="113" spans="7:8" x14ac:dyDescent="0.35">
      <c r="G113" s="1"/>
      <c r="H113" s="18"/>
    </row>
    <row r="114" spans="7:8" x14ac:dyDescent="0.35">
      <c r="G114" s="1"/>
      <c r="H114" s="18"/>
    </row>
    <row r="115" spans="7:8" x14ac:dyDescent="0.35">
      <c r="G115" s="1"/>
      <c r="H115" s="18"/>
    </row>
    <row r="116" spans="7:8" x14ac:dyDescent="0.35">
      <c r="G116" s="1"/>
      <c r="H116" s="18"/>
    </row>
    <row r="117" spans="7:8" x14ac:dyDescent="0.35">
      <c r="G117" s="1"/>
      <c r="H117" s="18"/>
    </row>
    <row r="118" spans="7:8" x14ac:dyDescent="0.35">
      <c r="G118" s="1"/>
      <c r="H118" s="18"/>
    </row>
    <row r="119" spans="7:8" x14ac:dyDescent="0.35">
      <c r="G119" s="1"/>
      <c r="H119" s="18"/>
    </row>
    <row r="120" spans="7:8" x14ac:dyDescent="0.35">
      <c r="G120" s="1"/>
      <c r="H120" s="18"/>
    </row>
    <row r="121" spans="7:8" x14ac:dyDescent="0.35">
      <c r="G121" s="1"/>
      <c r="H121" s="18"/>
    </row>
    <row r="122" spans="7:8" x14ac:dyDescent="0.35">
      <c r="G122" s="1"/>
      <c r="H122" s="18"/>
    </row>
    <row r="123" spans="7:8" x14ac:dyDescent="0.35">
      <c r="G123" s="1"/>
      <c r="H123" s="18"/>
    </row>
    <row r="124" spans="7:8" x14ac:dyDescent="0.35">
      <c r="G124" s="1"/>
      <c r="H124" s="18"/>
    </row>
    <row r="125" spans="7:8" x14ac:dyDescent="0.35">
      <c r="G125" s="1"/>
      <c r="H125" s="18"/>
    </row>
    <row r="126" spans="7:8" x14ac:dyDescent="0.35">
      <c r="G126" s="1"/>
      <c r="H126" s="18"/>
    </row>
    <row r="127" spans="7:8" x14ac:dyDescent="0.35">
      <c r="G127" s="1"/>
      <c r="H127" s="18"/>
    </row>
    <row r="128" spans="7:8" x14ac:dyDescent="0.35">
      <c r="G128" s="1"/>
      <c r="H128" s="18"/>
    </row>
    <row r="129" spans="7:8" x14ac:dyDescent="0.35">
      <c r="G129" s="1"/>
      <c r="H129" s="18"/>
    </row>
    <row r="130" spans="7:8" x14ac:dyDescent="0.35">
      <c r="G130" s="1"/>
      <c r="H130" s="18"/>
    </row>
    <row r="131" spans="7:8" x14ac:dyDescent="0.35">
      <c r="G131" s="1"/>
      <c r="H131" s="18"/>
    </row>
    <row r="132" spans="7:8" x14ac:dyDescent="0.35">
      <c r="G132" s="1"/>
      <c r="H132" s="18"/>
    </row>
    <row r="133" spans="7:8" x14ac:dyDescent="0.35">
      <c r="G133" s="1"/>
      <c r="H133" s="18"/>
    </row>
    <row r="134" spans="7:8" x14ac:dyDescent="0.35">
      <c r="G134" s="1"/>
      <c r="H134" s="18"/>
    </row>
    <row r="135" spans="7:8" x14ac:dyDescent="0.35">
      <c r="G135" s="1"/>
      <c r="H135" s="18"/>
    </row>
    <row r="136" spans="7:8" x14ac:dyDescent="0.35">
      <c r="G136" s="1"/>
      <c r="H136" s="18"/>
    </row>
    <row r="137" spans="7:8" x14ac:dyDescent="0.35">
      <c r="G137" s="1"/>
      <c r="H137" s="18"/>
    </row>
    <row r="138" spans="7:8" x14ac:dyDescent="0.35">
      <c r="G138" s="1"/>
      <c r="H138" s="18"/>
    </row>
    <row r="139" spans="7:8" x14ac:dyDescent="0.35">
      <c r="G139" s="1"/>
      <c r="H139" s="18"/>
    </row>
    <row r="140" spans="7:8" x14ac:dyDescent="0.35">
      <c r="G140" s="1"/>
      <c r="H140" s="18"/>
    </row>
    <row r="141" spans="7:8" x14ac:dyDescent="0.35">
      <c r="G141" s="1"/>
      <c r="H141" s="18"/>
    </row>
    <row r="142" spans="7:8" x14ac:dyDescent="0.35">
      <c r="G142" s="1"/>
      <c r="H142" s="18"/>
    </row>
    <row r="143" spans="7:8" x14ac:dyDescent="0.35">
      <c r="G143" s="1"/>
      <c r="H143" s="18"/>
    </row>
    <row r="144" spans="7:8" x14ac:dyDescent="0.35">
      <c r="G144" s="1"/>
      <c r="H144" s="18"/>
    </row>
    <row r="145" spans="7:8" x14ac:dyDescent="0.35">
      <c r="G145" s="1"/>
      <c r="H145" s="18"/>
    </row>
    <row r="146" spans="7:8" x14ac:dyDescent="0.35">
      <c r="G146" s="1"/>
      <c r="H146" s="18"/>
    </row>
    <row r="147" spans="7:8" x14ac:dyDescent="0.35">
      <c r="G147" s="1"/>
      <c r="H147" s="18"/>
    </row>
    <row r="148" spans="7:8" x14ac:dyDescent="0.35">
      <c r="G148" s="1"/>
      <c r="H148" s="18"/>
    </row>
    <row r="149" spans="7:8" x14ac:dyDescent="0.35">
      <c r="G149" s="1"/>
      <c r="H149" s="18"/>
    </row>
    <row r="150" spans="7:8" x14ac:dyDescent="0.35">
      <c r="G150" s="1"/>
      <c r="H150" s="18"/>
    </row>
    <row r="151" spans="7:8" x14ac:dyDescent="0.35">
      <c r="G151" s="1"/>
      <c r="H151" s="18"/>
    </row>
    <row r="152" spans="7:8" x14ac:dyDescent="0.35">
      <c r="G152" s="1"/>
      <c r="H152" s="18"/>
    </row>
    <row r="153" spans="7:8" x14ac:dyDescent="0.35">
      <c r="G153" s="1"/>
      <c r="H153" s="18"/>
    </row>
    <row r="154" spans="7:8" x14ac:dyDescent="0.35">
      <c r="G154" s="1"/>
      <c r="H154" s="18"/>
    </row>
    <row r="155" spans="7:8" x14ac:dyDescent="0.35">
      <c r="G155" s="1"/>
      <c r="H155" s="18"/>
    </row>
    <row r="156" spans="7:8" x14ac:dyDescent="0.35">
      <c r="G156" s="1"/>
      <c r="H156" s="18"/>
    </row>
    <row r="157" spans="7:8" x14ac:dyDescent="0.35">
      <c r="G157" s="1"/>
      <c r="H157" s="18"/>
    </row>
    <row r="158" spans="7:8" x14ac:dyDescent="0.35">
      <c r="G158" s="1"/>
      <c r="H158" s="18"/>
    </row>
    <row r="159" spans="7:8" x14ac:dyDescent="0.35">
      <c r="G159" s="1"/>
      <c r="H159" s="18"/>
    </row>
    <row r="160" spans="7:8" x14ac:dyDescent="0.35">
      <c r="G160" s="1"/>
      <c r="H160" s="18"/>
    </row>
    <row r="161" spans="7:8" x14ac:dyDescent="0.35">
      <c r="G161" s="1"/>
      <c r="H161" s="18"/>
    </row>
    <row r="162" spans="7:8" x14ac:dyDescent="0.35">
      <c r="G162" s="1"/>
      <c r="H162" s="18"/>
    </row>
    <row r="163" spans="7:8" x14ac:dyDescent="0.35">
      <c r="G163" s="1"/>
      <c r="H163" s="18"/>
    </row>
    <row r="164" spans="7:8" x14ac:dyDescent="0.35">
      <c r="G164" s="1"/>
      <c r="H164" s="18"/>
    </row>
    <row r="165" spans="7:8" x14ac:dyDescent="0.35">
      <c r="G165" s="1"/>
      <c r="H165" s="18"/>
    </row>
    <row r="166" spans="7:8" x14ac:dyDescent="0.35">
      <c r="G166" s="1"/>
      <c r="H166" s="18"/>
    </row>
    <row r="167" spans="7:8" x14ac:dyDescent="0.35">
      <c r="G167" s="1"/>
      <c r="H167" s="18"/>
    </row>
    <row r="168" spans="7:8" x14ac:dyDescent="0.35">
      <c r="G168" s="1"/>
      <c r="H168" s="18"/>
    </row>
    <row r="169" spans="7:8" x14ac:dyDescent="0.35">
      <c r="G169" s="1"/>
      <c r="H169" s="18"/>
    </row>
    <row r="170" spans="7:8" x14ac:dyDescent="0.35">
      <c r="G170" s="1"/>
      <c r="H170" s="18"/>
    </row>
    <row r="171" spans="7:8" x14ac:dyDescent="0.35">
      <c r="G171" s="1"/>
      <c r="H171" s="18"/>
    </row>
    <row r="172" spans="7:8" x14ac:dyDescent="0.35">
      <c r="G172" s="1"/>
      <c r="H172" s="18"/>
    </row>
    <row r="173" spans="7:8" x14ac:dyDescent="0.35">
      <c r="G173" s="1"/>
      <c r="H173" s="18"/>
    </row>
    <row r="174" spans="7:8" x14ac:dyDescent="0.35">
      <c r="G174" s="1"/>
      <c r="H174" s="18"/>
    </row>
    <row r="175" spans="7:8" x14ac:dyDescent="0.35">
      <c r="G175" s="1"/>
      <c r="H175" s="18"/>
    </row>
    <row r="176" spans="7:8" x14ac:dyDescent="0.35">
      <c r="G176" s="1"/>
      <c r="H176" s="18"/>
    </row>
    <row r="177" spans="7:8" x14ac:dyDescent="0.35">
      <c r="G177" s="1"/>
      <c r="H177" s="18"/>
    </row>
    <row r="178" spans="7:8" x14ac:dyDescent="0.35">
      <c r="G178" s="1"/>
      <c r="H178" s="18"/>
    </row>
    <row r="179" spans="7:8" x14ac:dyDescent="0.35">
      <c r="G179" s="1"/>
      <c r="H179" s="18"/>
    </row>
    <row r="180" spans="7:8" x14ac:dyDescent="0.35">
      <c r="G180" s="1"/>
      <c r="H180" s="18"/>
    </row>
    <row r="181" spans="7:8" x14ac:dyDescent="0.35">
      <c r="G181" s="1"/>
      <c r="H181" s="18"/>
    </row>
    <row r="182" spans="7:8" x14ac:dyDescent="0.35">
      <c r="G182" s="1"/>
      <c r="H182" s="18"/>
    </row>
    <row r="183" spans="7:8" x14ac:dyDescent="0.35">
      <c r="G183" s="1"/>
      <c r="H183" s="18"/>
    </row>
    <row r="184" spans="7:8" x14ac:dyDescent="0.35">
      <c r="G184" s="1"/>
      <c r="H184" s="18"/>
    </row>
    <row r="185" spans="7:8" x14ac:dyDescent="0.35">
      <c r="G185" s="1"/>
      <c r="H185" s="18"/>
    </row>
    <row r="186" spans="7:8" x14ac:dyDescent="0.35">
      <c r="G186" s="1"/>
      <c r="H186" s="18"/>
    </row>
    <row r="187" spans="7:8" x14ac:dyDescent="0.35">
      <c r="G187" s="1"/>
      <c r="H187" s="18"/>
    </row>
    <row r="188" spans="7:8" x14ac:dyDescent="0.35">
      <c r="G188" s="1"/>
      <c r="H188" s="18"/>
    </row>
    <row r="189" spans="7:8" x14ac:dyDescent="0.35">
      <c r="G189" s="1"/>
      <c r="H189" s="18"/>
    </row>
    <row r="190" spans="7:8" x14ac:dyDescent="0.35">
      <c r="G190" s="1"/>
      <c r="H190" s="18"/>
    </row>
    <row r="191" spans="7:8" x14ac:dyDescent="0.35">
      <c r="G191" s="1"/>
      <c r="H191" s="18"/>
    </row>
    <row r="192" spans="7:8" x14ac:dyDescent="0.35">
      <c r="G192" s="1"/>
      <c r="H192" s="18"/>
    </row>
    <row r="193" spans="7:8" x14ac:dyDescent="0.35">
      <c r="G193" s="1"/>
      <c r="H193" s="18"/>
    </row>
    <row r="194" spans="7:8" x14ac:dyDescent="0.35">
      <c r="G194" s="1"/>
      <c r="H194" s="18"/>
    </row>
    <row r="195" spans="7:8" x14ac:dyDescent="0.35">
      <c r="G195" s="1"/>
      <c r="H195" s="18"/>
    </row>
    <row r="196" spans="7:8" x14ac:dyDescent="0.35">
      <c r="G196" s="1"/>
      <c r="H196" s="18"/>
    </row>
    <row r="197" spans="7:8" x14ac:dyDescent="0.35">
      <c r="G197" s="1"/>
      <c r="H197" s="18"/>
    </row>
    <row r="198" spans="7:8" x14ac:dyDescent="0.35">
      <c r="G198" s="1"/>
      <c r="H198" s="18"/>
    </row>
    <row r="199" spans="7:8" x14ac:dyDescent="0.35">
      <c r="G199" s="1"/>
      <c r="H199" s="18"/>
    </row>
    <row r="200" spans="7:8" x14ac:dyDescent="0.35">
      <c r="G200" s="1"/>
      <c r="H200" s="18"/>
    </row>
    <row r="201" spans="7:8" x14ac:dyDescent="0.35">
      <c r="G201" s="1"/>
      <c r="H201" s="18"/>
    </row>
    <row r="202" spans="7:8" x14ac:dyDescent="0.35">
      <c r="G202" s="1"/>
      <c r="H202" s="18"/>
    </row>
    <row r="203" spans="7:8" x14ac:dyDescent="0.35">
      <c r="G203" s="1"/>
      <c r="H203" s="18"/>
    </row>
    <row r="204" spans="7:8" x14ac:dyDescent="0.35">
      <c r="G204" s="1"/>
      <c r="H204" s="18"/>
    </row>
    <row r="205" spans="7:8" x14ac:dyDescent="0.35">
      <c r="G205" s="1"/>
      <c r="H205" s="18"/>
    </row>
    <row r="206" spans="7:8" x14ac:dyDescent="0.35">
      <c r="G206" s="1"/>
      <c r="H206" s="18"/>
    </row>
    <row r="207" spans="7:8" x14ac:dyDescent="0.35">
      <c r="G207" s="1"/>
      <c r="H207" s="18"/>
    </row>
    <row r="208" spans="7:8" x14ac:dyDescent="0.35">
      <c r="G208" s="1"/>
      <c r="H208" s="18"/>
    </row>
    <row r="209" spans="7:8" x14ac:dyDescent="0.35">
      <c r="G209" s="1"/>
      <c r="H209" s="18"/>
    </row>
    <row r="210" spans="7:8" x14ac:dyDescent="0.35">
      <c r="G210" s="1"/>
      <c r="H210" s="18"/>
    </row>
    <row r="211" spans="7:8" x14ac:dyDescent="0.35">
      <c r="G211" s="1"/>
      <c r="H211" s="18"/>
    </row>
    <row r="212" spans="7:8" x14ac:dyDescent="0.35">
      <c r="G212" s="1"/>
      <c r="H212" s="18"/>
    </row>
    <row r="213" spans="7:8" x14ac:dyDescent="0.35">
      <c r="G213" s="1"/>
      <c r="H213" s="18"/>
    </row>
    <row r="214" spans="7:8" x14ac:dyDescent="0.35">
      <c r="G214" s="1"/>
      <c r="H214" s="18"/>
    </row>
    <row r="215" spans="7:8" x14ac:dyDescent="0.35">
      <c r="G215" s="1"/>
      <c r="H215" s="18"/>
    </row>
    <row r="216" spans="7:8" x14ac:dyDescent="0.35">
      <c r="G216" s="1"/>
      <c r="H216" s="18"/>
    </row>
    <row r="217" spans="7:8" x14ac:dyDescent="0.35">
      <c r="G217" s="1"/>
      <c r="H217" s="18"/>
    </row>
    <row r="218" spans="7:8" x14ac:dyDescent="0.35">
      <c r="G218" s="1"/>
      <c r="H218" s="18"/>
    </row>
    <row r="219" spans="7:8" x14ac:dyDescent="0.35">
      <c r="G219" s="1"/>
      <c r="H219" s="18"/>
    </row>
    <row r="220" spans="7:8" x14ac:dyDescent="0.35">
      <c r="G220" s="1"/>
      <c r="H220" s="18"/>
    </row>
    <row r="221" spans="7:8" x14ac:dyDescent="0.35">
      <c r="G221" s="1"/>
      <c r="H221" s="18"/>
    </row>
    <row r="222" spans="7:8" x14ac:dyDescent="0.35">
      <c r="G222" s="1"/>
      <c r="H222" s="18"/>
    </row>
    <row r="223" spans="7:8" x14ac:dyDescent="0.35">
      <c r="G223" s="1"/>
      <c r="H223" s="18"/>
    </row>
    <row r="224" spans="7:8" x14ac:dyDescent="0.35">
      <c r="G224" s="1"/>
      <c r="H224" s="18"/>
    </row>
    <row r="225" spans="7:8" x14ac:dyDescent="0.35">
      <c r="G225" s="1"/>
      <c r="H225" s="18"/>
    </row>
    <row r="226" spans="7:8" x14ac:dyDescent="0.35">
      <c r="G226" s="1"/>
      <c r="H226" s="18"/>
    </row>
    <row r="227" spans="7:8" x14ac:dyDescent="0.35">
      <c r="G227" s="1"/>
      <c r="H227" s="18"/>
    </row>
    <row r="228" spans="7:8" x14ac:dyDescent="0.35">
      <c r="G228" s="1"/>
      <c r="H228" s="18"/>
    </row>
    <row r="229" spans="7:8" x14ac:dyDescent="0.35">
      <c r="G229" s="1"/>
      <c r="H229" s="18"/>
    </row>
    <row r="230" spans="7:8" x14ac:dyDescent="0.35">
      <c r="G230" s="1"/>
      <c r="H230" s="18"/>
    </row>
    <row r="231" spans="7:8" x14ac:dyDescent="0.35">
      <c r="G231" s="1"/>
      <c r="H231" s="18"/>
    </row>
    <row r="232" spans="7:8" x14ac:dyDescent="0.35">
      <c r="G232" s="1"/>
      <c r="H232" s="18"/>
    </row>
    <row r="233" spans="7:8" x14ac:dyDescent="0.35">
      <c r="G233" s="1"/>
      <c r="H233" s="18"/>
    </row>
    <row r="234" spans="7:8" x14ac:dyDescent="0.35">
      <c r="G234" s="1"/>
      <c r="H234" s="18"/>
    </row>
    <row r="235" spans="7:8" x14ac:dyDescent="0.35">
      <c r="G235" s="1"/>
      <c r="H235" s="18"/>
    </row>
    <row r="236" spans="7:8" x14ac:dyDescent="0.35">
      <c r="G236" s="1"/>
      <c r="H236" s="18"/>
    </row>
    <row r="237" spans="7:8" x14ac:dyDescent="0.35">
      <c r="G237" s="1"/>
      <c r="H237" s="18"/>
    </row>
    <row r="238" spans="7:8" x14ac:dyDescent="0.35">
      <c r="G238" s="1"/>
      <c r="H238" s="18"/>
    </row>
    <row r="239" spans="7:8" x14ac:dyDescent="0.35">
      <c r="G239" s="1"/>
      <c r="H239" s="18"/>
    </row>
    <row r="240" spans="7:8" x14ac:dyDescent="0.35">
      <c r="G240" s="1"/>
      <c r="H240" s="18"/>
    </row>
    <row r="241" spans="7:8" x14ac:dyDescent="0.35">
      <c r="G241" s="1"/>
      <c r="H241" s="18"/>
    </row>
    <row r="242" spans="7:8" x14ac:dyDescent="0.35">
      <c r="G242" s="1"/>
      <c r="H242" s="18"/>
    </row>
    <row r="243" spans="7:8" x14ac:dyDescent="0.35">
      <c r="G243" s="1"/>
      <c r="H243" s="18"/>
    </row>
    <row r="244" spans="7:8" x14ac:dyDescent="0.35">
      <c r="G244" s="1"/>
      <c r="H244" s="18"/>
    </row>
    <row r="245" spans="7:8" x14ac:dyDescent="0.35">
      <c r="G245" s="1"/>
      <c r="H245" s="18"/>
    </row>
    <row r="246" spans="7:8" x14ac:dyDescent="0.35">
      <c r="G246" s="1"/>
      <c r="H246" s="18"/>
    </row>
    <row r="247" spans="7:8" x14ac:dyDescent="0.35">
      <c r="G247" s="1"/>
      <c r="H247" s="18"/>
    </row>
    <row r="248" spans="7:8" x14ac:dyDescent="0.35">
      <c r="G248" s="1"/>
      <c r="H248" s="18"/>
    </row>
    <row r="249" spans="7:8" x14ac:dyDescent="0.35">
      <c r="G249" s="1"/>
      <c r="H249" s="18"/>
    </row>
    <row r="250" spans="7:8" x14ac:dyDescent="0.35">
      <c r="G250" s="1"/>
      <c r="H250" s="18"/>
    </row>
    <row r="251" spans="7:8" x14ac:dyDescent="0.35">
      <c r="G251" s="1"/>
      <c r="H251" s="18"/>
    </row>
    <row r="252" spans="7:8" x14ac:dyDescent="0.35">
      <c r="G252" s="1"/>
      <c r="H252" s="18"/>
    </row>
    <row r="253" spans="7:8" x14ac:dyDescent="0.35">
      <c r="G253" s="1"/>
      <c r="H253" s="18"/>
    </row>
    <row r="254" spans="7:8" x14ac:dyDescent="0.35">
      <c r="G254" s="1"/>
      <c r="H254" s="18"/>
    </row>
    <row r="255" spans="7:8" x14ac:dyDescent="0.35">
      <c r="G255" s="1"/>
      <c r="H255" s="18"/>
    </row>
    <row r="256" spans="7:8" x14ac:dyDescent="0.35">
      <c r="G256" s="1"/>
      <c r="H256" s="18"/>
    </row>
    <row r="257" spans="7:8" x14ac:dyDescent="0.35">
      <c r="G257" s="1"/>
      <c r="H257" s="18"/>
    </row>
    <row r="258" spans="7:8" x14ac:dyDescent="0.35">
      <c r="G258" s="1"/>
      <c r="H258" s="18"/>
    </row>
    <row r="259" spans="7:8" x14ac:dyDescent="0.35">
      <c r="G259" s="1"/>
      <c r="H259" s="18"/>
    </row>
    <row r="260" spans="7:8" x14ac:dyDescent="0.35">
      <c r="G260" s="1"/>
      <c r="H260" s="18"/>
    </row>
    <row r="261" spans="7:8" x14ac:dyDescent="0.35">
      <c r="G261" s="1"/>
      <c r="H261" s="18"/>
    </row>
    <row r="262" spans="7:8" x14ac:dyDescent="0.35">
      <c r="G262" s="1"/>
      <c r="H262" s="18"/>
    </row>
    <row r="263" spans="7:8" x14ac:dyDescent="0.35">
      <c r="G263" s="1"/>
      <c r="H263" s="18"/>
    </row>
    <row r="264" spans="7:8" x14ac:dyDescent="0.35">
      <c r="G264" s="1"/>
      <c r="H264" s="18"/>
    </row>
    <row r="265" spans="7:8" x14ac:dyDescent="0.35">
      <c r="G265" s="1"/>
      <c r="H265" s="18"/>
    </row>
    <row r="266" spans="7:8" x14ac:dyDescent="0.35">
      <c r="G266" s="1"/>
      <c r="H266" s="18"/>
    </row>
    <row r="267" spans="7:8" x14ac:dyDescent="0.35">
      <c r="G267" s="1"/>
      <c r="H267" s="18"/>
    </row>
    <row r="268" spans="7:8" x14ac:dyDescent="0.35">
      <c r="G268" s="1"/>
      <c r="H268" s="18"/>
    </row>
    <row r="269" spans="7:8" x14ac:dyDescent="0.35">
      <c r="G269" s="1"/>
      <c r="H269" s="18"/>
    </row>
    <row r="270" spans="7:8" x14ac:dyDescent="0.35">
      <c r="G270" s="1"/>
      <c r="H270" s="18"/>
    </row>
    <row r="271" spans="7:8" x14ac:dyDescent="0.35">
      <c r="G271" s="1"/>
      <c r="H271" s="18"/>
    </row>
    <row r="272" spans="7:8" x14ac:dyDescent="0.35">
      <c r="G272" s="1"/>
      <c r="H272" s="18"/>
    </row>
    <row r="273" spans="7:8" x14ac:dyDescent="0.35">
      <c r="G273" s="1"/>
      <c r="H273" s="18"/>
    </row>
    <row r="274" spans="7:8" x14ac:dyDescent="0.35">
      <c r="G274" s="1"/>
      <c r="H274" s="18"/>
    </row>
    <row r="275" spans="7:8" x14ac:dyDescent="0.35">
      <c r="G275" s="1"/>
      <c r="H275" s="18"/>
    </row>
    <row r="276" spans="7:8" x14ac:dyDescent="0.35">
      <c r="G276" s="1"/>
      <c r="H276" s="18"/>
    </row>
    <row r="277" spans="7:8" x14ac:dyDescent="0.35">
      <c r="G277" s="1"/>
      <c r="H277" s="18"/>
    </row>
    <row r="278" spans="7:8" x14ac:dyDescent="0.35">
      <c r="G278" s="1"/>
      <c r="H278" s="18"/>
    </row>
    <row r="279" spans="7:8" x14ac:dyDescent="0.35">
      <c r="H279" s="18"/>
    </row>
    <row r="280" spans="7:8" x14ac:dyDescent="0.35">
      <c r="H280" s="18"/>
    </row>
    <row r="281" spans="7:8" x14ac:dyDescent="0.35">
      <c r="H281" s="18"/>
    </row>
    <row r="282" spans="7:8" x14ac:dyDescent="0.35">
      <c r="H282" s="18"/>
    </row>
    <row r="283" spans="7:8" x14ac:dyDescent="0.35">
      <c r="H283" s="18"/>
    </row>
    <row r="284" spans="7:8" x14ac:dyDescent="0.35">
      <c r="H284" s="18"/>
    </row>
    <row r="285" spans="7:8" x14ac:dyDescent="0.35">
      <c r="H285" s="18"/>
    </row>
    <row r="286" spans="7:8" x14ac:dyDescent="0.35">
      <c r="H286" s="18"/>
    </row>
    <row r="287" spans="7:8" x14ac:dyDescent="0.35">
      <c r="H287" s="18"/>
    </row>
    <row r="288" spans="7:8" x14ac:dyDescent="0.35">
      <c r="H288" s="18"/>
    </row>
    <row r="289" spans="8:8" x14ac:dyDescent="0.35">
      <c r="H289" s="18"/>
    </row>
    <row r="290" spans="8:8" x14ac:dyDescent="0.35">
      <c r="H290" s="18"/>
    </row>
    <row r="291" spans="8:8" x14ac:dyDescent="0.35">
      <c r="H291" s="18"/>
    </row>
    <row r="292" spans="8:8" x14ac:dyDescent="0.35">
      <c r="H292" s="18"/>
    </row>
    <row r="293" spans="8:8" x14ac:dyDescent="0.35">
      <c r="H293" s="18"/>
    </row>
    <row r="294" spans="8:8" x14ac:dyDescent="0.35">
      <c r="H294" s="18"/>
    </row>
    <row r="295" spans="8:8" x14ac:dyDescent="0.35">
      <c r="H295" s="18"/>
    </row>
    <row r="296" spans="8:8" x14ac:dyDescent="0.35">
      <c r="H296" s="18"/>
    </row>
    <row r="297" spans="8:8" x14ac:dyDescent="0.35">
      <c r="H297" s="18"/>
    </row>
    <row r="298" spans="8:8" x14ac:dyDescent="0.35">
      <c r="H298" s="18"/>
    </row>
    <row r="299" spans="8:8" x14ac:dyDescent="0.35">
      <c r="H299" s="18"/>
    </row>
    <row r="300" spans="8:8" x14ac:dyDescent="0.35">
      <c r="H300" s="18"/>
    </row>
    <row r="301" spans="8:8" x14ac:dyDescent="0.35">
      <c r="H301" s="18"/>
    </row>
    <row r="302" spans="8:8" x14ac:dyDescent="0.35">
      <c r="H302" s="18"/>
    </row>
    <row r="303" spans="8:8" x14ac:dyDescent="0.35">
      <c r="H303" s="18"/>
    </row>
    <row r="304" spans="8:8" x14ac:dyDescent="0.35">
      <c r="H304" s="18"/>
    </row>
    <row r="305" spans="8:8" x14ac:dyDescent="0.35">
      <c r="H305" s="18"/>
    </row>
    <row r="306" spans="8:8" x14ac:dyDescent="0.35">
      <c r="H306" s="18"/>
    </row>
    <row r="307" spans="8:8" x14ac:dyDescent="0.35">
      <c r="H307" s="18"/>
    </row>
    <row r="308" spans="8:8" x14ac:dyDescent="0.35">
      <c r="H308" s="18"/>
    </row>
    <row r="309" spans="8:8" x14ac:dyDescent="0.35">
      <c r="H309" s="18"/>
    </row>
    <row r="310" spans="8:8" x14ac:dyDescent="0.35">
      <c r="H310" s="18"/>
    </row>
    <row r="311" spans="8:8" x14ac:dyDescent="0.35">
      <c r="H311" s="18"/>
    </row>
    <row r="312" spans="8:8" x14ac:dyDescent="0.35">
      <c r="H312" s="18"/>
    </row>
    <row r="313" spans="8:8" x14ac:dyDescent="0.35">
      <c r="H313" s="18"/>
    </row>
    <row r="314" spans="8:8" x14ac:dyDescent="0.35">
      <c r="H314" s="18"/>
    </row>
    <row r="315" spans="8:8" x14ac:dyDescent="0.35">
      <c r="H315" s="18"/>
    </row>
    <row r="316" spans="8:8" x14ac:dyDescent="0.35">
      <c r="H316" s="18"/>
    </row>
    <row r="317" spans="8:8" x14ac:dyDescent="0.35">
      <c r="H317" s="18"/>
    </row>
    <row r="318" spans="8:8" x14ac:dyDescent="0.35">
      <c r="H318" s="18"/>
    </row>
    <row r="319" spans="8:8" x14ac:dyDescent="0.35">
      <c r="H319" s="18"/>
    </row>
    <row r="320" spans="8:8" x14ac:dyDescent="0.35">
      <c r="H320" s="18"/>
    </row>
    <row r="321" spans="8:8" x14ac:dyDescent="0.35">
      <c r="H321" s="18"/>
    </row>
    <row r="322" spans="8:8" x14ac:dyDescent="0.35">
      <c r="H322" s="18"/>
    </row>
    <row r="323" spans="8:8" x14ac:dyDescent="0.35">
      <c r="H323" s="18"/>
    </row>
    <row r="324" spans="8:8" x14ac:dyDescent="0.35">
      <c r="H324" s="18"/>
    </row>
    <row r="325" spans="8:8" x14ac:dyDescent="0.35">
      <c r="H325" s="18"/>
    </row>
    <row r="326" spans="8:8" x14ac:dyDescent="0.35">
      <c r="H326" s="18"/>
    </row>
    <row r="327" spans="8:8" x14ac:dyDescent="0.35">
      <c r="H327" s="18"/>
    </row>
    <row r="328" spans="8:8" x14ac:dyDescent="0.35">
      <c r="H328" s="18"/>
    </row>
    <row r="329" spans="8:8" x14ac:dyDescent="0.35">
      <c r="H329" s="18"/>
    </row>
    <row r="330" spans="8:8" x14ac:dyDescent="0.35">
      <c r="H330" s="18"/>
    </row>
    <row r="331" spans="8:8" x14ac:dyDescent="0.35">
      <c r="H331" s="18"/>
    </row>
    <row r="332" spans="8:8" x14ac:dyDescent="0.35">
      <c r="H332" s="18"/>
    </row>
    <row r="333" spans="8:8" x14ac:dyDescent="0.35">
      <c r="H333" s="18"/>
    </row>
    <row r="334" spans="8:8" x14ac:dyDescent="0.35">
      <c r="H334" s="18"/>
    </row>
    <row r="335" spans="8:8" x14ac:dyDescent="0.35">
      <c r="H335" s="18"/>
    </row>
    <row r="336" spans="8:8" x14ac:dyDescent="0.35">
      <c r="H336" s="18"/>
    </row>
    <row r="337" spans="8:8" x14ac:dyDescent="0.35">
      <c r="H337" s="18"/>
    </row>
    <row r="338" spans="8:8" x14ac:dyDescent="0.35">
      <c r="H338" s="18"/>
    </row>
    <row r="339" spans="8:8" x14ac:dyDescent="0.35">
      <c r="H339" s="18"/>
    </row>
    <row r="340" spans="8:8" x14ac:dyDescent="0.35">
      <c r="H340" s="18"/>
    </row>
    <row r="341" spans="8:8" x14ac:dyDescent="0.35">
      <c r="H341" s="18"/>
    </row>
    <row r="342" spans="8:8" x14ac:dyDescent="0.35">
      <c r="H342" s="18"/>
    </row>
    <row r="343" spans="8:8" x14ac:dyDescent="0.35">
      <c r="H343" s="18"/>
    </row>
    <row r="344" spans="8:8" x14ac:dyDescent="0.35">
      <c r="H344" s="18"/>
    </row>
    <row r="345" spans="8:8" x14ac:dyDescent="0.35">
      <c r="H345" s="18"/>
    </row>
    <row r="346" spans="8:8" x14ac:dyDescent="0.35">
      <c r="H346" s="18"/>
    </row>
    <row r="347" spans="8:8" x14ac:dyDescent="0.35">
      <c r="H347" s="18"/>
    </row>
    <row r="348" spans="8:8" x14ac:dyDescent="0.35">
      <c r="H348" s="18"/>
    </row>
    <row r="349" spans="8:8" x14ac:dyDescent="0.35">
      <c r="H349" s="18"/>
    </row>
    <row r="350" spans="8:8" x14ac:dyDescent="0.35">
      <c r="H350" s="18"/>
    </row>
    <row r="351" spans="8:8" x14ac:dyDescent="0.35">
      <c r="H351" s="18"/>
    </row>
    <row r="352" spans="8:8" x14ac:dyDescent="0.35">
      <c r="H352" s="18"/>
    </row>
    <row r="353" spans="8:8" x14ac:dyDescent="0.35">
      <c r="H353" s="18"/>
    </row>
    <row r="354" spans="8:8" x14ac:dyDescent="0.35">
      <c r="H354" s="18"/>
    </row>
    <row r="355" spans="8:8" x14ac:dyDescent="0.35">
      <c r="H355" s="18"/>
    </row>
    <row r="356" spans="8:8" x14ac:dyDescent="0.35">
      <c r="H356" s="18"/>
    </row>
    <row r="357" spans="8:8" x14ac:dyDescent="0.35">
      <c r="H357" s="18"/>
    </row>
    <row r="358" spans="8:8" x14ac:dyDescent="0.35">
      <c r="H358" s="18"/>
    </row>
    <row r="359" spans="8:8" x14ac:dyDescent="0.35">
      <c r="H359" s="18"/>
    </row>
    <row r="360" spans="8:8" x14ac:dyDescent="0.35">
      <c r="H360" s="18"/>
    </row>
    <row r="361" spans="8:8" x14ac:dyDescent="0.35">
      <c r="H361" s="18"/>
    </row>
    <row r="362" spans="8:8" x14ac:dyDescent="0.35">
      <c r="H362" s="18"/>
    </row>
    <row r="363" spans="8:8" x14ac:dyDescent="0.35">
      <c r="H363" s="18"/>
    </row>
    <row r="364" spans="8:8" x14ac:dyDescent="0.35">
      <c r="H364" s="18"/>
    </row>
    <row r="365" spans="8:8" x14ac:dyDescent="0.35">
      <c r="H365" s="18"/>
    </row>
    <row r="366" spans="8:8" x14ac:dyDescent="0.35">
      <c r="H366" s="18"/>
    </row>
    <row r="367" spans="8:8" x14ac:dyDescent="0.35">
      <c r="H367" s="18"/>
    </row>
    <row r="368" spans="8:8" x14ac:dyDescent="0.35">
      <c r="H368" s="18"/>
    </row>
    <row r="369" spans="8:8" x14ac:dyDescent="0.35">
      <c r="H369" s="18"/>
    </row>
    <row r="370" spans="8:8" x14ac:dyDescent="0.35">
      <c r="H370" s="18"/>
    </row>
    <row r="371" spans="8:8" x14ac:dyDescent="0.35">
      <c r="H371" s="18"/>
    </row>
    <row r="372" spans="8:8" x14ac:dyDescent="0.35">
      <c r="H372" s="18"/>
    </row>
    <row r="373" spans="8:8" x14ac:dyDescent="0.35">
      <c r="H373" s="18"/>
    </row>
    <row r="374" spans="8:8" x14ac:dyDescent="0.35">
      <c r="H374" s="18"/>
    </row>
    <row r="375" spans="8:8" x14ac:dyDescent="0.35">
      <c r="H375" s="18"/>
    </row>
    <row r="376" spans="8:8" x14ac:dyDescent="0.35">
      <c r="H376" s="18"/>
    </row>
    <row r="377" spans="8:8" x14ac:dyDescent="0.35">
      <c r="H377" s="18"/>
    </row>
    <row r="378" spans="8:8" x14ac:dyDescent="0.35">
      <c r="H378" s="18"/>
    </row>
    <row r="379" spans="8:8" x14ac:dyDescent="0.35">
      <c r="H379" s="18"/>
    </row>
    <row r="380" spans="8:8" x14ac:dyDescent="0.35">
      <c r="H380" s="18"/>
    </row>
    <row r="381" spans="8:8" x14ac:dyDescent="0.35">
      <c r="H381" s="18"/>
    </row>
    <row r="382" spans="8:8" x14ac:dyDescent="0.35">
      <c r="H382" s="18"/>
    </row>
    <row r="383" spans="8:8" x14ac:dyDescent="0.35">
      <c r="H383" s="18"/>
    </row>
    <row r="384" spans="8:8" x14ac:dyDescent="0.35">
      <c r="H384" s="18"/>
    </row>
    <row r="385" spans="8:8" x14ac:dyDescent="0.35">
      <c r="H385" s="18"/>
    </row>
    <row r="386" spans="8:8" x14ac:dyDescent="0.35">
      <c r="H386" s="18"/>
    </row>
    <row r="387" spans="8:8" x14ac:dyDescent="0.35">
      <c r="H387" s="18"/>
    </row>
    <row r="388" spans="8:8" x14ac:dyDescent="0.35">
      <c r="H388" s="18"/>
    </row>
    <row r="389" spans="8:8" x14ac:dyDescent="0.35">
      <c r="H389" s="18"/>
    </row>
    <row r="390" spans="8:8" x14ac:dyDescent="0.35">
      <c r="H390" s="18"/>
    </row>
    <row r="391" spans="8:8" x14ac:dyDescent="0.35">
      <c r="H391" s="18"/>
    </row>
    <row r="392" spans="8:8" x14ac:dyDescent="0.35">
      <c r="H392" s="18"/>
    </row>
    <row r="393" spans="8:8" x14ac:dyDescent="0.35">
      <c r="H393" s="18"/>
    </row>
    <row r="394" spans="8:8" x14ac:dyDescent="0.35">
      <c r="H394" s="18"/>
    </row>
    <row r="395" spans="8:8" x14ac:dyDescent="0.35">
      <c r="H395" s="18"/>
    </row>
    <row r="396" spans="8:8" x14ac:dyDescent="0.35">
      <c r="H396" s="18"/>
    </row>
    <row r="397" spans="8:8" x14ac:dyDescent="0.35">
      <c r="H397" s="18"/>
    </row>
    <row r="398" spans="8:8" x14ac:dyDescent="0.35">
      <c r="H398" s="18"/>
    </row>
    <row r="399" spans="8:8" x14ac:dyDescent="0.35">
      <c r="H399" s="18"/>
    </row>
    <row r="400" spans="8:8" x14ac:dyDescent="0.35">
      <c r="H400" s="18"/>
    </row>
    <row r="401" spans="8:8" x14ac:dyDescent="0.35">
      <c r="H401" s="18"/>
    </row>
    <row r="402" spans="8:8" x14ac:dyDescent="0.35">
      <c r="H402" s="18"/>
    </row>
    <row r="403" spans="8:8" x14ac:dyDescent="0.35">
      <c r="H403" s="18"/>
    </row>
    <row r="404" spans="8:8" x14ac:dyDescent="0.35">
      <c r="H404" s="18"/>
    </row>
    <row r="405" spans="8:8" x14ac:dyDescent="0.35">
      <c r="H405" s="18"/>
    </row>
    <row r="406" spans="8:8" x14ac:dyDescent="0.35">
      <c r="H406" s="18"/>
    </row>
    <row r="407" spans="8:8" x14ac:dyDescent="0.35">
      <c r="H407" s="18"/>
    </row>
    <row r="408" spans="8:8" x14ac:dyDescent="0.35">
      <c r="H408" s="18"/>
    </row>
    <row r="409" spans="8:8" x14ac:dyDescent="0.35">
      <c r="H409" s="18"/>
    </row>
    <row r="410" spans="8:8" x14ac:dyDescent="0.35">
      <c r="H410" s="18"/>
    </row>
    <row r="411" spans="8:8" x14ac:dyDescent="0.35">
      <c r="H411" s="18"/>
    </row>
    <row r="412" spans="8:8" x14ac:dyDescent="0.35">
      <c r="H412" s="18"/>
    </row>
    <row r="413" spans="8:8" x14ac:dyDescent="0.35">
      <c r="H413" s="18"/>
    </row>
    <row r="414" spans="8:8" x14ac:dyDescent="0.35">
      <c r="H414" s="18"/>
    </row>
    <row r="415" spans="8:8" x14ac:dyDescent="0.35">
      <c r="H415" s="18"/>
    </row>
    <row r="416" spans="8:8" x14ac:dyDescent="0.35">
      <c r="H416" s="18"/>
    </row>
    <row r="417" spans="8:8" x14ac:dyDescent="0.35">
      <c r="H417" s="18"/>
    </row>
    <row r="418" spans="8:8" x14ac:dyDescent="0.35">
      <c r="H418" s="18"/>
    </row>
    <row r="419" spans="8:8" x14ac:dyDescent="0.35">
      <c r="H419" s="18"/>
    </row>
    <row r="420" spans="8:8" x14ac:dyDescent="0.35">
      <c r="H420" s="18"/>
    </row>
    <row r="421" spans="8:8" x14ac:dyDescent="0.35">
      <c r="H421" s="18"/>
    </row>
    <row r="422" spans="8:8" x14ac:dyDescent="0.35">
      <c r="H422" s="18"/>
    </row>
    <row r="423" spans="8:8" x14ac:dyDescent="0.35">
      <c r="H423" s="18"/>
    </row>
    <row r="424" spans="8:8" x14ac:dyDescent="0.35">
      <c r="H424" s="18"/>
    </row>
    <row r="425" spans="8:8" x14ac:dyDescent="0.35">
      <c r="H425" s="18"/>
    </row>
    <row r="426" spans="8:8" x14ac:dyDescent="0.35">
      <c r="H426" s="18"/>
    </row>
    <row r="427" spans="8:8" x14ac:dyDescent="0.35">
      <c r="H427" s="18"/>
    </row>
    <row r="428" spans="8:8" x14ac:dyDescent="0.35">
      <c r="H428" s="18"/>
    </row>
    <row r="429" spans="8:8" x14ac:dyDescent="0.35">
      <c r="H429" s="18"/>
    </row>
    <row r="430" spans="8:8" x14ac:dyDescent="0.35">
      <c r="H430" s="18"/>
    </row>
    <row r="431" spans="8:8" x14ac:dyDescent="0.35">
      <c r="H431" s="18"/>
    </row>
    <row r="432" spans="8:8" x14ac:dyDescent="0.35">
      <c r="H432" s="18"/>
    </row>
    <row r="433" spans="8:8" x14ac:dyDescent="0.35">
      <c r="H433" s="18"/>
    </row>
    <row r="434" spans="8:8" x14ac:dyDescent="0.35">
      <c r="H434" s="18"/>
    </row>
    <row r="435" spans="8:8" x14ac:dyDescent="0.35">
      <c r="H435" s="18"/>
    </row>
    <row r="436" spans="8:8" x14ac:dyDescent="0.35">
      <c r="H436" s="18"/>
    </row>
    <row r="437" spans="8:8" x14ac:dyDescent="0.35">
      <c r="H437" s="18"/>
    </row>
    <row r="438" spans="8:8" x14ac:dyDescent="0.35">
      <c r="H438" s="18"/>
    </row>
    <row r="439" spans="8:8" x14ac:dyDescent="0.35">
      <c r="H439" s="18"/>
    </row>
    <row r="440" spans="8:8" x14ac:dyDescent="0.35">
      <c r="H440" s="18"/>
    </row>
    <row r="441" spans="8:8" x14ac:dyDescent="0.35">
      <c r="H441" s="18"/>
    </row>
    <row r="442" spans="8:8" x14ac:dyDescent="0.35">
      <c r="H442" s="18"/>
    </row>
    <row r="443" spans="8:8" x14ac:dyDescent="0.35">
      <c r="H443" s="18"/>
    </row>
    <row r="444" spans="8:8" x14ac:dyDescent="0.35">
      <c r="H444" s="18"/>
    </row>
    <row r="445" spans="8:8" x14ac:dyDescent="0.35">
      <c r="H445" s="18"/>
    </row>
    <row r="446" spans="8:8" x14ac:dyDescent="0.35">
      <c r="H446" s="18"/>
    </row>
    <row r="447" spans="8:8" x14ac:dyDescent="0.35">
      <c r="H447" s="18"/>
    </row>
    <row r="448" spans="8:8" x14ac:dyDescent="0.35">
      <c r="H448" s="18"/>
    </row>
    <row r="449" spans="8:8" x14ac:dyDescent="0.35">
      <c r="H449" s="18"/>
    </row>
    <row r="450" spans="8:8" x14ac:dyDescent="0.35">
      <c r="H450" s="18"/>
    </row>
    <row r="451" spans="8:8" x14ac:dyDescent="0.35">
      <c r="H451" s="18"/>
    </row>
    <row r="452" spans="8:8" x14ac:dyDescent="0.35">
      <c r="H452" s="18"/>
    </row>
    <row r="453" spans="8:8" x14ac:dyDescent="0.35">
      <c r="H453" s="18"/>
    </row>
    <row r="454" spans="8:8" x14ac:dyDescent="0.35">
      <c r="H454" s="18"/>
    </row>
    <row r="455" spans="8:8" x14ac:dyDescent="0.35">
      <c r="H455" s="18"/>
    </row>
    <row r="456" spans="8:8" x14ac:dyDescent="0.35">
      <c r="H456" s="18"/>
    </row>
    <row r="457" spans="8:8" x14ac:dyDescent="0.35">
      <c r="H457" s="18"/>
    </row>
    <row r="458" spans="8:8" x14ac:dyDescent="0.35">
      <c r="H458" s="18"/>
    </row>
    <row r="459" spans="8:8" x14ac:dyDescent="0.35">
      <c r="H459" s="18"/>
    </row>
    <row r="460" spans="8:8" x14ac:dyDescent="0.35">
      <c r="H460" s="18"/>
    </row>
    <row r="461" spans="8:8" x14ac:dyDescent="0.35">
      <c r="H461" s="18"/>
    </row>
    <row r="462" spans="8:8" x14ac:dyDescent="0.35">
      <c r="H462" s="18"/>
    </row>
    <row r="463" spans="8:8" x14ac:dyDescent="0.35">
      <c r="H463" s="18"/>
    </row>
    <row r="464" spans="8:8" x14ac:dyDescent="0.35">
      <c r="H464" s="18"/>
    </row>
    <row r="465" spans="8:8" x14ac:dyDescent="0.35">
      <c r="H465" s="18"/>
    </row>
    <row r="466" spans="8:8" x14ac:dyDescent="0.35">
      <c r="H466" s="18"/>
    </row>
    <row r="467" spans="8:8" x14ac:dyDescent="0.35">
      <c r="H467" s="18"/>
    </row>
    <row r="468" spans="8:8" x14ac:dyDescent="0.35">
      <c r="H468" s="18"/>
    </row>
    <row r="469" spans="8:8" x14ac:dyDescent="0.35">
      <c r="H469" s="18"/>
    </row>
    <row r="470" spans="8:8" x14ac:dyDescent="0.35">
      <c r="H470" s="18"/>
    </row>
    <row r="471" spans="8:8" x14ac:dyDescent="0.35">
      <c r="H471" s="18"/>
    </row>
    <row r="472" spans="8:8" x14ac:dyDescent="0.35">
      <c r="H472" s="18"/>
    </row>
    <row r="473" spans="8:8" x14ac:dyDescent="0.35">
      <c r="H473" s="18"/>
    </row>
    <row r="474" spans="8:8" x14ac:dyDescent="0.35">
      <c r="H474" s="18"/>
    </row>
    <row r="475" spans="8:8" x14ac:dyDescent="0.35">
      <c r="H475" s="18"/>
    </row>
    <row r="476" spans="8:8" x14ac:dyDescent="0.35">
      <c r="H476" s="18"/>
    </row>
    <row r="477" spans="8:8" x14ac:dyDescent="0.35">
      <c r="H477" s="18"/>
    </row>
    <row r="478" spans="8:8" x14ac:dyDescent="0.35">
      <c r="H478" s="18"/>
    </row>
    <row r="479" spans="8:8" x14ac:dyDescent="0.35">
      <c r="H479" s="18"/>
    </row>
    <row r="480" spans="8:8" x14ac:dyDescent="0.35">
      <c r="H480" s="18"/>
    </row>
    <row r="481" spans="8:8" x14ac:dyDescent="0.35">
      <c r="H481" s="18"/>
    </row>
    <row r="482" spans="8:8" x14ac:dyDescent="0.35">
      <c r="H482" s="18"/>
    </row>
    <row r="483" spans="8:8" x14ac:dyDescent="0.35">
      <c r="H483" s="18"/>
    </row>
    <row r="484" spans="8:8" x14ac:dyDescent="0.35">
      <c r="H484" s="18"/>
    </row>
    <row r="485" spans="8:8" x14ac:dyDescent="0.35">
      <c r="H485" s="18"/>
    </row>
    <row r="486" spans="8:8" x14ac:dyDescent="0.35">
      <c r="H486" s="18"/>
    </row>
    <row r="487" spans="8:8" x14ac:dyDescent="0.35">
      <c r="H487" s="18"/>
    </row>
    <row r="488" spans="8:8" x14ac:dyDescent="0.35">
      <c r="H488" s="18"/>
    </row>
    <row r="489" spans="8:8" x14ac:dyDescent="0.35">
      <c r="H489" s="18"/>
    </row>
    <row r="490" spans="8:8" x14ac:dyDescent="0.35">
      <c r="H490" s="18"/>
    </row>
    <row r="491" spans="8:8" x14ac:dyDescent="0.35">
      <c r="H491" s="18"/>
    </row>
    <row r="492" spans="8:8" x14ac:dyDescent="0.35">
      <c r="H492" s="18"/>
    </row>
    <row r="493" spans="8:8" x14ac:dyDescent="0.35">
      <c r="H493" s="18"/>
    </row>
    <row r="494" spans="8:8" x14ac:dyDescent="0.35">
      <c r="H494" s="18"/>
    </row>
    <row r="495" spans="8:8" x14ac:dyDescent="0.35">
      <c r="H495" s="18"/>
    </row>
    <row r="496" spans="8:8" x14ac:dyDescent="0.35">
      <c r="H496" s="18"/>
    </row>
    <row r="497" spans="8:8" x14ac:dyDescent="0.35">
      <c r="H497" s="18"/>
    </row>
    <row r="498" spans="8:8" x14ac:dyDescent="0.35">
      <c r="H498" s="18"/>
    </row>
    <row r="499" spans="8:8" x14ac:dyDescent="0.35">
      <c r="H499" s="18"/>
    </row>
    <row r="500" spans="8:8" x14ac:dyDescent="0.35">
      <c r="H500" s="18"/>
    </row>
    <row r="501" spans="8:8" x14ac:dyDescent="0.35">
      <c r="H501" s="18"/>
    </row>
    <row r="502" spans="8:8" x14ac:dyDescent="0.35">
      <c r="H502" s="18"/>
    </row>
    <row r="503" spans="8:8" x14ac:dyDescent="0.35">
      <c r="H503" s="18"/>
    </row>
    <row r="504" spans="8:8" x14ac:dyDescent="0.35">
      <c r="H504" s="18"/>
    </row>
    <row r="505" spans="8:8" x14ac:dyDescent="0.35">
      <c r="H505" s="18"/>
    </row>
    <row r="506" spans="8:8" x14ac:dyDescent="0.35">
      <c r="H506" s="18"/>
    </row>
    <row r="507" spans="8:8" x14ac:dyDescent="0.35">
      <c r="H507" s="18"/>
    </row>
    <row r="508" spans="8:8" x14ac:dyDescent="0.35">
      <c r="H508" s="18"/>
    </row>
    <row r="509" spans="8:8" x14ac:dyDescent="0.35">
      <c r="H509" s="18"/>
    </row>
    <row r="510" spans="8:8" x14ac:dyDescent="0.35">
      <c r="H510" s="18"/>
    </row>
    <row r="511" spans="8:8" x14ac:dyDescent="0.35">
      <c r="H511" s="18"/>
    </row>
    <row r="512" spans="8:8" x14ac:dyDescent="0.35">
      <c r="H512" s="18"/>
    </row>
    <row r="513" spans="8:8" x14ac:dyDescent="0.35">
      <c r="H513" s="18"/>
    </row>
    <row r="514" spans="8:8" x14ac:dyDescent="0.35">
      <c r="H514" s="18"/>
    </row>
    <row r="515" spans="8:8" x14ac:dyDescent="0.35">
      <c r="H515" s="18"/>
    </row>
    <row r="516" spans="8:8" x14ac:dyDescent="0.35">
      <c r="H516" s="18"/>
    </row>
    <row r="517" spans="8:8" x14ac:dyDescent="0.35">
      <c r="H517" s="18"/>
    </row>
    <row r="518" spans="8:8" x14ac:dyDescent="0.35">
      <c r="H518" s="18"/>
    </row>
    <row r="519" spans="8:8" x14ac:dyDescent="0.35">
      <c r="H519" s="18"/>
    </row>
    <row r="520" spans="8:8" x14ac:dyDescent="0.35">
      <c r="H520" s="18"/>
    </row>
    <row r="521" spans="8:8" x14ac:dyDescent="0.35">
      <c r="H521" s="18"/>
    </row>
    <row r="522" spans="8:8" x14ac:dyDescent="0.35">
      <c r="H522" s="18"/>
    </row>
    <row r="523" spans="8:8" x14ac:dyDescent="0.35">
      <c r="H523" s="18"/>
    </row>
    <row r="524" spans="8:8" x14ac:dyDescent="0.35">
      <c r="H524" s="18"/>
    </row>
    <row r="525" spans="8:8" x14ac:dyDescent="0.35">
      <c r="H525" s="18"/>
    </row>
    <row r="526" spans="8:8" x14ac:dyDescent="0.35">
      <c r="H526" s="18"/>
    </row>
    <row r="527" spans="8:8" x14ac:dyDescent="0.35">
      <c r="H527" s="18"/>
    </row>
    <row r="528" spans="8:8" x14ac:dyDescent="0.35">
      <c r="H528" s="18"/>
    </row>
    <row r="529" spans="8:8" x14ac:dyDescent="0.35">
      <c r="H529" s="18"/>
    </row>
    <row r="530" spans="8:8" x14ac:dyDescent="0.35">
      <c r="H530" s="18"/>
    </row>
    <row r="531" spans="8:8" x14ac:dyDescent="0.35">
      <c r="H531" s="18"/>
    </row>
    <row r="532" spans="8:8" x14ac:dyDescent="0.35">
      <c r="H532" s="18"/>
    </row>
    <row r="533" spans="8:8" x14ac:dyDescent="0.35">
      <c r="H533" s="18"/>
    </row>
    <row r="534" spans="8:8" x14ac:dyDescent="0.35">
      <c r="H534" s="18"/>
    </row>
    <row r="535" spans="8:8" x14ac:dyDescent="0.35">
      <c r="H535" s="18"/>
    </row>
    <row r="536" spans="8:8" x14ac:dyDescent="0.35">
      <c r="H536" s="18"/>
    </row>
    <row r="537" spans="8:8" x14ac:dyDescent="0.35">
      <c r="H537" s="18"/>
    </row>
    <row r="538" spans="8:8" x14ac:dyDescent="0.35">
      <c r="H538" s="18"/>
    </row>
    <row r="539" spans="8:8" x14ac:dyDescent="0.35">
      <c r="H539" s="18"/>
    </row>
    <row r="540" spans="8:8" x14ac:dyDescent="0.35">
      <c r="H540" s="18"/>
    </row>
    <row r="541" spans="8:8" x14ac:dyDescent="0.35">
      <c r="H541" s="18"/>
    </row>
    <row r="542" spans="8:8" x14ac:dyDescent="0.35">
      <c r="H542" s="18"/>
    </row>
    <row r="543" spans="8:8" x14ac:dyDescent="0.35">
      <c r="H543" s="18"/>
    </row>
    <row r="544" spans="8:8" x14ac:dyDescent="0.35">
      <c r="H544" s="18"/>
    </row>
    <row r="545" spans="8:8" x14ac:dyDescent="0.35">
      <c r="H545" s="18"/>
    </row>
    <row r="546" spans="8:8" x14ac:dyDescent="0.35">
      <c r="H546" s="18"/>
    </row>
    <row r="547" spans="8:8" x14ac:dyDescent="0.35">
      <c r="H547" s="18"/>
    </row>
    <row r="548" spans="8:8" x14ac:dyDescent="0.35">
      <c r="H548" s="18"/>
    </row>
    <row r="549" spans="8:8" x14ac:dyDescent="0.35">
      <c r="H549" s="18"/>
    </row>
    <row r="550" spans="8:8" x14ac:dyDescent="0.35">
      <c r="H550" s="18"/>
    </row>
    <row r="551" spans="8:8" x14ac:dyDescent="0.35">
      <c r="H551" s="18"/>
    </row>
    <row r="552" spans="8:8" x14ac:dyDescent="0.35">
      <c r="H552" s="18"/>
    </row>
    <row r="553" spans="8:8" x14ac:dyDescent="0.35">
      <c r="H553" s="18"/>
    </row>
    <row r="554" spans="8:8" x14ac:dyDescent="0.35">
      <c r="H554" s="18"/>
    </row>
    <row r="555" spans="8:8" x14ac:dyDescent="0.35">
      <c r="H555" s="18"/>
    </row>
    <row r="556" spans="8:8" x14ac:dyDescent="0.35">
      <c r="H556" s="18"/>
    </row>
    <row r="557" spans="8:8" x14ac:dyDescent="0.35">
      <c r="H557" s="18"/>
    </row>
    <row r="558" spans="8:8" x14ac:dyDescent="0.35">
      <c r="H558" s="18"/>
    </row>
    <row r="559" spans="8:8" x14ac:dyDescent="0.35">
      <c r="H559" s="18"/>
    </row>
    <row r="560" spans="8:8" x14ac:dyDescent="0.35">
      <c r="H560" s="18"/>
    </row>
    <row r="561" spans="8:8" x14ac:dyDescent="0.35">
      <c r="H561" s="18"/>
    </row>
    <row r="562" spans="8:8" x14ac:dyDescent="0.35">
      <c r="H562" s="18"/>
    </row>
    <row r="563" spans="8:8" x14ac:dyDescent="0.35">
      <c r="H563" s="18"/>
    </row>
    <row r="564" spans="8:8" x14ac:dyDescent="0.35">
      <c r="H564" s="18"/>
    </row>
    <row r="565" spans="8:8" x14ac:dyDescent="0.35">
      <c r="H565" s="18"/>
    </row>
    <row r="566" spans="8:8" x14ac:dyDescent="0.35">
      <c r="H566" s="18"/>
    </row>
    <row r="567" spans="8:8" x14ac:dyDescent="0.35">
      <c r="H567" s="18"/>
    </row>
    <row r="568" spans="8:8" x14ac:dyDescent="0.35">
      <c r="H568" s="18"/>
    </row>
    <row r="569" spans="8:8" x14ac:dyDescent="0.35">
      <c r="H569" s="18"/>
    </row>
    <row r="570" spans="8:8" x14ac:dyDescent="0.35">
      <c r="H570" s="18"/>
    </row>
    <row r="571" spans="8:8" x14ac:dyDescent="0.35">
      <c r="H571" s="18"/>
    </row>
    <row r="572" spans="8:8" x14ac:dyDescent="0.35">
      <c r="H572" s="18"/>
    </row>
    <row r="573" spans="8:8" x14ac:dyDescent="0.35">
      <c r="H573" s="18"/>
    </row>
    <row r="574" spans="8:8" x14ac:dyDescent="0.35">
      <c r="H574" s="18"/>
    </row>
    <row r="575" spans="8:8" x14ac:dyDescent="0.35">
      <c r="H575" s="18"/>
    </row>
    <row r="576" spans="8:8" x14ac:dyDescent="0.35">
      <c r="H576" s="18"/>
    </row>
    <row r="577" spans="8:8" x14ac:dyDescent="0.35">
      <c r="H577" s="18"/>
    </row>
    <row r="578" spans="8:8" x14ac:dyDescent="0.35">
      <c r="H578" s="18"/>
    </row>
    <row r="579" spans="8:8" x14ac:dyDescent="0.35">
      <c r="H579" s="18"/>
    </row>
    <row r="580" spans="8:8" x14ac:dyDescent="0.35">
      <c r="H580" s="18"/>
    </row>
    <row r="581" spans="8:8" x14ac:dyDescent="0.35">
      <c r="H581" s="18"/>
    </row>
    <row r="582" spans="8:8" x14ac:dyDescent="0.35">
      <c r="H582" s="18"/>
    </row>
    <row r="583" spans="8:8" x14ac:dyDescent="0.35">
      <c r="H583" s="18"/>
    </row>
    <row r="584" spans="8:8" x14ac:dyDescent="0.35">
      <c r="H584" s="18"/>
    </row>
    <row r="585" spans="8:8" x14ac:dyDescent="0.35">
      <c r="H585" s="18"/>
    </row>
    <row r="586" spans="8:8" x14ac:dyDescent="0.35">
      <c r="H586" s="18"/>
    </row>
    <row r="587" spans="8:8" x14ac:dyDescent="0.35">
      <c r="H587" s="18"/>
    </row>
    <row r="588" spans="8:8" x14ac:dyDescent="0.35">
      <c r="H588" s="18"/>
    </row>
    <row r="589" spans="8:8" x14ac:dyDescent="0.35">
      <c r="H589" s="18"/>
    </row>
    <row r="590" spans="8:8" x14ac:dyDescent="0.35">
      <c r="H590" s="18"/>
    </row>
    <row r="591" spans="8:8" x14ac:dyDescent="0.35">
      <c r="H591" s="18"/>
    </row>
    <row r="592" spans="8:8" x14ac:dyDescent="0.35">
      <c r="H592" s="18"/>
    </row>
    <row r="593" spans="8:8" x14ac:dyDescent="0.35">
      <c r="H593" s="18"/>
    </row>
    <row r="594" spans="8:8" x14ac:dyDescent="0.35">
      <c r="H594" s="18"/>
    </row>
    <row r="595" spans="8:8" x14ac:dyDescent="0.35">
      <c r="H595" s="18"/>
    </row>
    <row r="596" spans="8:8" x14ac:dyDescent="0.35">
      <c r="H596" s="18"/>
    </row>
    <row r="597" spans="8:8" x14ac:dyDescent="0.35">
      <c r="H597" s="18"/>
    </row>
    <row r="598" spans="8:8" x14ac:dyDescent="0.35">
      <c r="H598" s="18"/>
    </row>
    <row r="599" spans="8:8" x14ac:dyDescent="0.35">
      <c r="H599" s="18"/>
    </row>
    <row r="600" spans="8:8" x14ac:dyDescent="0.35">
      <c r="H600" s="18"/>
    </row>
    <row r="601" spans="8:8" x14ac:dyDescent="0.35">
      <c r="H601" s="18"/>
    </row>
    <row r="602" spans="8:8" x14ac:dyDescent="0.35">
      <c r="H602" s="18"/>
    </row>
    <row r="603" spans="8:8" x14ac:dyDescent="0.35">
      <c r="H603" s="18"/>
    </row>
    <row r="604" spans="8:8" x14ac:dyDescent="0.35">
      <c r="H604" s="18"/>
    </row>
    <row r="605" spans="8:8" x14ac:dyDescent="0.35">
      <c r="H605" s="18"/>
    </row>
    <row r="606" spans="8:8" x14ac:dyDescent="0.35">
      <c r="H606" s="18"/>
    </row>
    <row r="607" spans="8:8" x14ac:dyDescent="0.35">
      <c r="H607" s="18"/>
    </row>
    <row r="608" spans="8:8" x14ac:dyDescent="0.35">
      <c r="H608" s="18"/>
    </row>
    <row r="609" spans="8:8" x14ac:dyDescent="0.35">
      <c r="H609" s="18"/>
    </row>
    <row r="610" spans="8:8" x14ac:dyDescent="0.35">
      <c r="H610" s="18"/>
    </row>
    <row r="611" spans="8:8" x14ac:dyDescent="0.35">
      <c r="H611" s="18"/>
    </row>
    <row r="612" spans="8:8" x14ac:dyDescent="0.35">
      <c r="H612" s="18"/>
    </row>
    <row r="613" spans="8:8" x14ac:dyDescent="0.35">
      <c r="H613" s="18"/>
    </row>
    <row r="614" spans="8:8" x14ac:dyDescent="0.35">
      <c r="H614" s="18"/>
    </row>
    <row r="615" spans="8:8" x14ac:dyDescent="0.35">
      <c r="H615" s="18"/>
    </row>
    <row r="616" spans="8:8" x14ac:dyDescent="0.35">
      <c r="H616" s="18"/>
    </row>
    <row r="617" spans="8:8" x14ac:dyDescent="0.35">
      <c r="H617" s="18"/>
    </row>
    <row r="618" spans="8:8" x14ac:dyDescent="0.35">
      <c r="H618" s="18"/>
    </row>
    <row r="619" spans="8:8" x14ac:dyDescent="0.35">
      <c r="H619" s="18"/>
    </row>
    <row r="620" spans="8:8" x14ac:dyDescent="0.35">
      <c r="H620" s="18"/>
    </row>
    <row r="621" spans="8:8" x14ac:dyDescent="0.35">
      <c r="H621" s="18"/>
    </row>
    <row r="622" spans="8:8" x14ac:dyDescent="0.35">
      <c r="H622" s="18"/>
    </row>
    <row r="623" spans="8:8" x14ac:dyDescent="0.35">
      <c r="H623" s="18"/>
    </row>
    <row r="624" spans="8:8" x14ac:dyDescent="0.35">
      <c r="H624" s="18"/>
    </row>
    <row r="625" spans="8:8" x14ac:dyDescent="0.35">
      <c r="H625" s="18"/>
    </row>
    <row r="626" spans="8:8" x14ac:dyDescent="0.35">
      <c r="H626" s="18"/>
    </row>
    <row r="627" spans="8:8" x14ac:dyDescent="0.35">
      <c r="H627" s="18"/>
    </row>
    <row r="628" spans="8:8" x14ac:dyDescent="0.35">
      <c r="H628" s="18"/>
    </row>
    <row r="629" spans="8:8" x14ac:dyDescent="0.35">
      <c r="H629" s="18"/>
    </row>
    <row r="630" spans="8:8" x14ac:dyDescent="0.35">
      <c r="H630" s="18"/>
    </row>
    <row r="631" spans="8:8" x14ac:dyDescent="0.35">
      <c r="H631" s="18"/>
    </row>
    <row r="632" spans="8:8" x14ac:dyDescent="0.35">
      <c r="H632" s="18"/>
    </row>
    <row r="633" spans="8:8" x14ac:dyDescent="0.35">
      <c r="H633" s="18"/>
    </row>
    <row r="634" spans="8:8" x14ac:dyDescent="0.35">
      <c r="H634" s="18"/>
    </row>
    <row r="635" spans="8:8" x14ac:dyDescent="0.35">
      <c r="H635" s="18"/>
    </row>
    <row r="636" spans="8:8" x14ac:dyDescent="0.35">
      <c r="H636" s="18"/>
    </row>
    <row r="637" spans="8:8" x14ac:dyDescent="0.35">
      <c r="H637" s="18"/>
    </row>
    <row r="638" spans="8:8" x14ac:dyDescent="0.35">
      <c r="H638" s="18"/>
    </row>
    <row r="639" spans="8:8" x14ac:dyDescent="0.35">
      <c r="H639" s="18"/>
    </row>
    <row r="640" spans="8:8" x14ac:dyDescent="0.35">
      <c r="H640" s="18"/>
    </row>
    <row r="641" spans="8:8" x14ac:dyDescent="0.35">
      <c r="H641" s="18"/>
    </row>
    <row r="642" spans="8:8" x14ac:dyDescent="0.35">
      <c r="H642" s="18"/>
    </row>
    <row r="643" spans="8:8" x14ac:dyDescent="0.35">
      <c r="H643" s="18"/>
    </row>
    <row r="644" spans="8:8" x14ac:dyDescent="0.35">
      <c r="H644" s="18"/>
    </row>
    <row r="645" spans="8:8" x14ac:dyDescent="0.35">
      <c r="H645" s="18"/>
    </row>
    <row r="646" spans="8:8" x14ac:dyDescent="0.35">
      <c r="H646" s="18"/>
    </row>
    <row r="647" spans="8:8" x14ac:dyDescent="0.35">
      <c r="H647" s="18"/>
    </row>
    <row r="648" spans="8:8" x14ac:dyDescent="0.35">
      <c r="H648" s="18"/>
    </row>
    <row r="649" spans="8:8" x14ac:dyDescent="0.35">
      <c r="H649" s="18"/>
    </row>
    <row r="650" spans="8:8" x14ac:dyDescent="0.35">
      <c r="H650" s="18"/>
    </row>
    <row r="651" spans="8:8" x14ac:dyDescent="0.35">
      <c r="H651" s="18"/>
    </row>
    <row r="652" spans="8:8" x14ac:dyDescent="0.35">
      <c r="H652" s="18"/>
    </row>
    <row r="653" spans="8:8" x14ac:dyDescent="0.35">
      <c r="H653" s="18"/>
    </row>
    <row r="654" spans="8:8" x14ac:dyDescent="0.35">
      <c r="H654" s="18"/>
    </row>
    <row r="655" spans="8:8" x14ac:dyDescent="0.35">
      <c r="H655" s="18"/>
    </row>
    <row r="656" spans="8:8" x14ac:dyDescent="0.35">
      <c r="H656" s="18"/>
    </row>
    <row r="657" spans="8:8" x14ac:dyDescent="0.35">
      <c r="H657" s="18"/>
    </row>
    <row r="658" spans="8:8" x14ac:dyDescent="0.35">
      <c r="H658" s="18"/>
    </row>
    <row r="659" spans="8:8" x14ac:dyDescent="0.35">
      <c r="H659" s="18"/>
    </row>
    <row r="660" spans="8:8" x14ac:dyDescent="0.35">
      <c r="H660" s="18"/>
    </row>
    <row r="661" spans="8:8" x14ac:dyDescent="0.35">
      <c r="H661" s="18"/>
    </row>
    <row r="662" spans="8:8" x14ac:dyDescent="0.35">
      <c r="H662" s="18"/>
    </row>
    <row r="663" spans="8:8" x14ac:dyDescent="0.35">
      <c r="H663" s="18"/>
    </row>
    <row r="664" spans="8:8" x14ac:dyDescent="0.35">
      <c r="H664" s="18"/>
    </row>
    <row r="665" spans="8:8" x14ac:dyDescent="0.35">
      <c r="H665" s="18"/>
    </row>
    <row r="666" spans="8:8" x14ac:dyDescent="0.35">
      <c r="H666" s="18"/>
    </row>
    <row r="667" spans="8:8" x14ac:dyDescent="0.35">
      <c r="H667" s="18"/>
    </row>
    <row r="668" spans="8:8" x14ac:dyDescent="0.35">
      <c r="H668" s="18"/>
    </row>
    <row r="669" spans="8:8" x14ac:dyDescent="0.35">
      <c r="H669" s="18"/>
    </row>
    <row r="670" spans="8:8" x14ac:dyDescent="0.35">
      <c r="H670" s="18"/>
    </row>
    <row r="671" spans="8:8" x14ac:dyDescent="0.35">
      <c r="H671" s="18"/>
    </row>
    <row r="672" spans="8:8" x14ac:dyDescent="0.35">
      <c r="H672" s="18"/>
    </row>
    <row r="673" spans="8:8" x14ac:dyDescent="0.35">
      <c r="H673" s="18"/>
    </row>
    <row r="674" spans="8:8" x14ac:dyDescent="0.35">
      <c r="H674" s="18"/>
    </row>
    <row r="675" spans="8:8" x14ac:dyDescent="0.35">
      <c r="H675" s="18"/>
    </row>
    <row r="676" spans="8:8" x14ac:dyDescent="0.35">
      <c r="H676" s="18"/>
    </row>
    <row r="677" spans="8:8" x14ac:dyDescent="0.35">
      <c r="H677" s="18"/>
    </row>
    <row r="678" spans="8:8" x14ac:dyDescent="0.35">
      <c r="H678" s="18"/>
    </row>
    <row r="679" spans="8:8" x14ac:dyDescent="0.35">
      <c r="H679" s="18"/>
    </row>
    <row r="680" spans="8:8" x14ac:dyDescent="0.35">
      <c r="H680" s="18"/>
    </row>
    <row r="681" spans="8:8" x14ac:dyDescent="0.35">
      <c r="H681" s="18"/>
    </row>
    <row r="682" spans="8:8" x14ac:dyDescent="0.35">
      <c r="H682" s="18"/>
    </row>
    <row r="683" spans="8:8" x14ac:dyDescent="0.35">
      <c r="H683" s="18"/>
    </row>
    <row r="684" spans="8:8" x14ac:dyDescent="0.35">
      <c r="H684" s="18"/>
    </row>
    <row r="685" spans="8:8" x14ac:dyDescent="0.35">
      <c r="H685" s="18"/>
    </row>
    <row r="686" spans="8:8" x14ac:dyDescent="0.35">
      <c r="H686" s="18"/>
    </row>
    <row r="687" spans="8:8" x14ac:dyDescent="0.35">
      <c r="H687" s="18"/>
    </row>
    <row r="688" spans="8:8" x14ac:dyDescent="0.35">
      <c r="H688" s="18"/>
    </row>
    <row r="689" spans="8:8" x14ac:dyDescent="0.35">
      <c r="H689" s="18"/>
    </row>
    <row r="690" spans="8:8" x14ac:dyDescent="0.35">
      <c r="H690" s="18"/>
    </row>
    <row r="691" spans="8:8" x14ac:dyDescent="0.35">
      <c r="H691" s="18"/>
    </row>
    <row r="692" spans="8:8" x14ac:dyDescent="0.35">
      <c r="H692" s="18"/>
    </row>
    <row r="693" spans="8:8" x14ac:dyDescent="0.35">
      <c r="H693" s="18"/>
    </row>
    <row r="694" spans="8:8" x14ac:dyDescent="0.35">
      <c r="H694" s="18"/>
    </row>
    <row r="695" spans="8:8" x14ac:dyDescent="0.35">
      <c r="H695" s="18"/>
    </row>
    <row r="696" spans="8:8" x14ac:dyDescent="0.35">
      <c r="H696" s="18"/>
    </row>
    <row r="697" spans="8:8" x14ac:dyDescent="0.35">
      <c r="H697" s="18"/>
    </row>
    <row r="698" spans="8:8" x14ac:dyDescent="0.35">
      <c r="H698" s="18"/>
    </row>
    <row r="699" spans="8:8" x14ac:dyDescent="0.35">
      <c r="H699" s="18"/>
    </row>
    <row r="700" spans="8:8" x14ac:dyDescent="0.35">
      <c r="H700" s="18"/>
    </row>
    <row r="701" spans="8:8" x14ac:dyDescent="0.35">
      <c r="H701" s="18"/>
    </row>
    <row r="702" spans="8:8" x14ac:dyDescent="0.35">
      <c r="H702" s="18"/>
    </row>
    <row r="703" spans="8:8" x14ac:dyDescent="0.35">
      <c r="H703" s="18"/>
    </row>
    <row r="704" spans="8:8" x14ac:dyDescent="0.35">
      <c r="H704" s="18"/>
    </row>
    <row r="705" spans="8:8" x14ac:dyDescent="0.35">
      <c r="H705" s="18"/>
    </row>
    <row r="706" spans="8:8" x14ac:dyDescent="0.35">
      <c r="H706" s="18"/>
    </row>
    <row r="707" spans="8:8" x14ac:dyDescent="0.35">
      <c r="H707" s="18"/>
    </row>
  </sheetData>
  <mergeCells count="6">
    <mergeCell ref="B24:E24"/>
    <mergeCell ref="B2:E2"/>
    <mergeCell ref="B11:E11"/>
    <mergeCell ref="B15:E15"/>
    <mergeCell ref="B18:E18"/>
    <mergeCell ref="B21:E21"/>
  </mergeCells>
  <phoneticPr fontId="6" type="noConversion"/>
  <conditionalFormatting sqref="E12:E92">
    <cfRule type="expression" dxfId="6" priority="1">
      <formula>IF(ISBLANK($D12), FALSE, IF(RedGreen_Formatting = "Enabled", $D12 &lt;= $E12 + Percent_Error, FALSE))</formula>
    </cfRule>
    <cfRule type="expression" dxfId="5" priority="2">
      <formula>IF(ISBLANK($D12), FALSE, IF(RedGreen_Formatting = "Enabled", $D12 &gt; $E12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5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Button6_Click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16</vt:i4>
      </vt:variant>
    </vt:vector>
  </HeadingPairs>
  <TitlesOfParts>
    <vt:vector size="19" baseType="lpstr">
      <vt:lpstr>Template</vt:lpstr>
      <vt:lpstr>Settings</vt:lpstr>
      <vt:lpstr>Main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Main!Print_Area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2020-05-13T16:49:45Z</cp:lastPrinted>
  <dcterms:created xsi:type="dcterms:W3CDTF">2019-04-09T17:53:55Z</dcterms:created>
  <dcterms:modified xsi:type="dcterms:W3CDTF">2020-05-14T20:38:12Z</dcterms:modified>
</cp:coreProperties>
</file>