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630B7FB8-9E7F-48A4-867D-AA79275AAE33}" xr6:coauthVersionLast="44" xr6:coauthVersionMax="44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" i="2" l="1"/>
  <c r="A1" i="9" l="1"/>
  <c r="AG15" i="10"/>
  <c r="AI15" i="3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O45" i="10"/>
  <c r="AO31" i="10"/>
  <c r="AQ37" i="10"/>
  <c r="AI36" i="10"/>
  <c r="AU22" i="10"/>
  <c r="AI18" i="10"/>
  <c r="AQ36" i="10"/>
  <c r="AG28" i="10"/>
  <c r="AM42" i="10"/>
  <c r="AU20" i="10"/>
  <c r="AU24" i="10"/>
  <c r="AS21" i="10"/>
  <c r="AG33" i="10"/>
  <c r="AI38" i="10"/>
  <c r="AS23" i="10"/>
  <c r="AS19" i="10"/>
  <c r="AK27" i="10"/>
  <c r="AQ38" i="10"/>
  <c r="AQ42" i="10"/>
  <c r="AO15" i="10"/>
  <c r="AK25" i="10"/>
  <c r="AS41" i="10"/>
  <c r="AK15" i="10"/>
  <c r="AI23" i="10"/>
  <c r="AM45" i="10"/>
  <c r="AM16" i="10"/>
  <c r="AM17" i="10"/>
  <c r="AQ18" i="10"/>
  <c r="AS42" i="10"/>
  <c r="AK18" i="10"/>
  <c r="AM18" i="10"/>
  <c r="AS24" i="10"/>
  <c r="AO43" i="10"/>
  <c r="AG43" i="10"/>
  <c r="AG40" i="10"/>
  <c r="AM37" i="10"/>
  <c r="AK32" i="10"/>
  <c r="AM34" i="10"/>
  <c r="AS16" i="10"/>
  <c r="AG23" i="10"/>
  <c r="AO29" i="10"/>
  <c r="AG14" i="10"/>
  <c r="AU19" i="10"/>
  <c r="AO16" i="10"/>
  <c r="AS39" i="10"/>
  <c r="AS35" i="10"/>
  <c r="AK19" i="10"/>
  <c r="AM38" i="10"/>
  <c r="AK33" i="10"/>
  <c r="AQ34" i="10"/>
  <c r="AI24" i="10"/>
  <c r="AI37" i="10"/>
  <c r="AI17" i="10"/>
  <c r="AQ45" i="10"/>
  <c r="AG36" i="10"/>
  <c r="AQ30" i="10"/>
  <c r="AI32" i="10"/>
  <c r="AQ31" i="10"/>
  <c r="AU39" i="10"/>
  <c r="AQ22" i="10"/>
  <c r="AS37" i="10"/>
  <c r="AM29" i="10"/>
  <c r="AU36" i="10"/>
  <c r="AK37" i="10"/>
  <c r="AK20" i="10"/>
  <c r="AG18" i="10"/>
  <c r="AK23" i="10"/>
  <c r="AS14" i="10"/>
  <c r="AO30" i="10"/>
  <c r="AQ26" i="10"/>
  <c r="AI14" i="10"/>
  <c r="AQ25" i="10"/>
  <c r="AS38" i="10"/>
  <c r="AI33" i="10"/>
  <c r="AO34" i="10"/>
  <c r="AG37" i="10"/>
  <c r="AG16" i="10"/>
  <c r="AS45" i="10"/>
  <c r="AI19" i="10"/>
  <c r="AM14" i="10"/>
  <c r="AK21" i="10"/>
  <c r="AM32" i="10"/>
  <c r="AO17" i="10"/>
  <c r="AO36" i="10"/>
  <c r="AU37" i="10"/>
  <c r="AG26" i="10"/>
  <c r="AS31" i="10"/>
  <c r="AI27" i="10"/>
  <c r="AO40" i="10"/>
  <c r="AO38" i="10"/>
  <c r="AG30" i="10"/>
  <c r="AU38" i="10"/>
  <c r="AQ29" i="10"/>
  <c r="AU17" i="10"/>
  <c r="AK16" i="10"/>
  <c r="AM39" i="10"/>
  <c r="AO35" i="10"/>
  <c r="AU31" i="10"/>
  <c r="AK39" i="10"/>
  <c r="AG35" i="10"/>
  <c r="AS34" i="10"/>
  <c r="AS36" i="10"/>
  <c r="AS15" i="10"/>
  <c r="AI22" i="10"/>
  <c r="AG24" i="10"/>
  <c r="AI21" i="10"/>
  <c r="AO14" i="10"/>
  <c r="AS28" i="10"/>
  <c r="AQ24" i="10"/>
  <c r="AU45" i="10"/>
  <c r="AO37" i="10"/>
  <c r="AU27" i="10"/>
  <c r="AK35" i="10"/>
  <c r="AQ41" i="10"/>
  <c r="AK36" i="10"/>
  <c r="AM20" i="10"/>
  <c r="AS25" i="10"/>
  <c r="AO23" i="10"/>
  <c r="AU29" i="10"/>
  <c r="AK34" i="10"/>
  <c r="AG19" i="10"/>
  <c r="AI29" i="10"/>
  <c r="AM22" i="10"/>
  <c r="AG41" i="10"/>
  <c r="AO44" i="10"/>
  <c r="AK24" i="10"/>
  <c r="AU23" i="10"/>
  <c r="AK41" i="10"/>
  <c r="AU15" i="10"/>
  <c r="AG45" i="10"/>
  <c r="AO27" i="10"/>
  <c r="AM36" i="10"/>
  <c r="AS29" i="10"/>
  <c r="AQ32" i="10"/>
  <c r="AO21" i="10"/>
  <c r="AQ39" i="10"/>
  <c r="AG29" i="10"/>
  <c r="AM25" i="10"/>
  <c r="AG22" i="10"/>
  <c r="AK31" i="10"/>
  <c r="AQ21" i="10"/>
  <c r="AM15" i="10"/>
  <c r="AK17" i="10"/>
  <c r="AG27" i="10"/>
  <c r="AG32" i="10"/>
  <c r="AO28" i="10"/>
  <c r="AO25" i="10"/>
  <c r="AU16" i="10"/>
  <c r="AO24" i="10"/>
  <c r="AU41" i="10"/>
  <c r="AQ43" i="10"/>
  <c r="AQ14" i="10"/>
  <c r="AI44" i="10"/>
  <c r="AM23" i="10"/>
  <c r="AO33" i="10"/>
  <c r="AU26" i="10"/>
  <c r="AG31" i="10"/>
  <c r="AU18" i="10"/>
  <c r="AM26" i="10"/>
  <c r="AG20" i="10"/>
  <c r="AM33" i="10"/>
  <c r="AQ40" i="10"/>
  <c r="AS30" i="10"/>
  <c r="AI43" i="10"/>
  <c r="AI20" i="10"/>
  <c r="AI42" i="10"/>
  <c r="AS40" i="10"/>
  <c r="AM30" i="10"/>
  <c r="AM43" i="10"/>
  <c r="AK26" i="10"/>
  <c r="AQ27" i="10"/>
  <c r="AO22" i="10"/>
  <c r="AG42" i="10"/>
  <c r="AQ16" i="10"/>
  <c r="AK28" i="10"/>
  <c r="AM24" i="10"/>
  <c r="AU32" i="10"/>
  <c r="AM40" i="10"/>
  <c r="AO19" i="10"/>
  <c r="AQ17" i="10"/>
  <c r="AS22" i="10"/>
  <c r="AI39" i="10"/>
  <c r="AK40" i="10"/>
  <c r="AU35" i="10"/>
  <c r="AM44" i="10"/>
  <c r="AK44" i="10"/>
  <c r="AM31" i="10"/>
  <c r="AS32" i="10"/>
  <c r="AI40" i="10"/>
  <c r="AO41" i="10"/>
  <c r="AU40" i="10"/>
  <c r="AQ19" i="10"/>
  <c r="AG25" i="10"/>
  <c r="AQ15" i="10"/>
  <c r="AM35" i="10"/>
  <c r="AO26" i="10"/>
  <c r="AO32" i="10"/>
  <c r="AG34" i="10"/>
  <c r="AU14" i="10"/>
  <c r="AQ33" i="10"/>
  <c r="AK22" i="10"/>
  <c r="AK38" i="10"/>
  <c r="AI34" i="10"/>
  <c r="AS44" i="10"/>
  <c r="AM21" i="10"/>
  <c r="AU21" i="10"/>
  <c r="AG17" i="10"/>
  <c r="AK14" i="10"/>
  <c r="AS20" i="10"/>
  <c r="AI15" i="10"/>
  <c r="AU44" i="10"/>
  <c r="AO20" i="10"/>
  <c r="AG39" i="10"/>
  <c r="AQ23" i="10"/>
  <c r="AU33" i="10"/>
  <c r="AI31" i="10"/>
  <c r="AM27" i="10"/>
  <c r="AG21" i="10"/>
  <c r="AG38" i="10"/>
  <c r="AI25" i="10"/>
  <c r="AK43" i="10"/>
  <c r="AQ20" i="10"/>
  <c r="AS43" i="10"/>
  <c r="AU28" i="10"/>
  <c r="AM19" i="10"/>
  <c r="AU25" i="10"/>
  <c r="AI28" i="10"/>
  <c r="AU42" i="10"/>
  <c r="AQ28" i="10"/>
  <c r="AI41" i="10"/>
  <c r="AQ44" i="10"/>
  <c r="AS18" i="10"/>
  <c r="AI45" i="10"/>
  <c r="AK30" i="10"/>
  <c r="AI26" i="10"/>
  <c r="AO39" i="10"/>
  <c r="AI30" i="10"/>
  <c r="AU30" i="10"/>
  <c r="AK42" i="10"/>
  <c r="AM28" i="10"/>
  <c r="AU43" i="10"/>
  <c r="AS33" i="10"/>
  <c r="AK29" i="10"/>
  <c r="AM41" i="10"/>
  <c r="AO18" i="10"/>
  <c r="AO42" i="10"/>
  <c r="AG44" i="10"/>
  <c r="AS26" i="10"/>
  <c r="AS27" i="10"/>
  <c r="AI35" i="10"/>
  <c r="AU34" i="10"/>
  <c r="AQ35" i="10"/>
  <c r="AS17" i="10"/>
  <c r="AI16" i="10"/>
  <c r="AK45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37" i="10"/>
  <c r="AB24" i="10"/>
  <c r="AB28" i="10"/>
  <c r="AB42" i="10"/>
  <c r="AB36" i="10"/>
  <c r="O9" i="10"/>
  <c r="AB15" i="10"/>
  <c r="N12" i="10"/>
  <c r="N6" i="10"/>
  <c r="AB39" i="10"/>
  <c r="AB18" i="10"/>
  <c r="AB27" i="10"/>
  <c r="O6" i="10"/>
  <c r="N8" i="10"/>
  <c r="AB35" i="10"/>
  <c r="O8" i="10"/>
  <c r="AB14" i="10"/>
  <c r="AB33" i="10"/>
  <c r="N10" i="10"/>
  <c r="AB30" i="10"/>
  <c r="AB31" i="10"/>
  <c r="AB23" i="10"/>
  <c r="AB20" i="10"/>
  <c r="AB17" i="10"/>
  <c r="AB38" i="10"/>
  <c r="AB40" i="10"/>
  <c r="AB19" i="10"/>
  <c r="O7" i="10"/>
  <c r="AB43" i="10"/>
  <c r="AB32" i="10"/>
  <c r="AB41" i="10"/>
  <c r="AB25" i="10"/>
  <c r="AB29" i="10"/>
  <c r="AB44" i="10"/>
  <c r="N9" i="10"/>
  <c r="AB22" i="10"/>
  <c r="AB16" i="10"/>
  <c r="AB26" i="10"/>
  <c r="AB45" i="10"/>
  <c r="AB21" i="10"/>
  <c r="AB34" i="10"/>
  <c r="N11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F27" i="3" s="1"/>
  <c r="AD26" i="3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6" i="3" l="1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S14" i="4"/>
  <c r="AQ14" i="4"/>
  <c r="AU14" i="4"/>
  <c r="AO14" i="4"/>
  <c r="AM14" i="4"/>
  <c r="AK14" i="4"/>
  <c r="AG14" i="4"/>
  <c r="AI14" i="4"/>
  <c r="AC14" i="4" l="1"/>
  <c r="AE14" i="4" s="1"/>
  <c r="AA15" i="4"/>
  <c r="S4" i="3"/>
  <c r="AQ15" i="4"/>
  <c r="AG15" i="4"/>
  <c r="AB14" i="4"/>
  <c r="N12" i="4"/>
  <c r="AM15" i="4"/>
  <c r="AO15" i="4"/>
  <c r="AI15" i="4"/>
  <c r="AS15" i="4"/>
  <c r="AK15" i="4"/>
  <c r="AU15" i="4"/>
  <c r="N6" i="4"/>
  <c r="AC15" i="4" l="1"/>
  <c r="AA16" i="4"/>
  <c r="S5" i="3"/>
  <c r="AM16" i="4"/>
  <c r="AU16" i="4"/>
  <c r="AO16" i="4"/>
  <c r="AQ16" i="4"/>
  <c r="AI16" i="4"/>
  <c r="AB15" i="4"/>
  <c r="AS16" i="4"/>
  <c r="AK16" i="4"/>
  <c r="AG16" i="4"/>
  <c r="AC16" i="4" l="1"/>
  <c r="AE16" i="4" s="1"/>
  <c r="AE15" i="4"/>
  <c r="AA17" i="4"/>
  <c r="AA14" i="3"/>
  <c r="J11" i="3"/>
  <c r="J10" i="3"/>
  <c r="J9" i="3"/>
  <c r="J8" i="3"/>
  <c r="J7" i="3"/>
  <c r="J6" i="3"/>
  <c r="AB16" i="4"/>
  <c r="AO17" i="4"/>
  <c r="AG17" i="4"/>
  <c r="AU17" i="4"/>
  <c r="AQ17" i="4"/>
  <c r="AK17" i="4"/>
  <c r="AM17" i="4"/>
  <c r="AG14" i="3"/>
  <c r="AS17" i="4"/>
  <c r="AI14" i="3"/>
  <c r="AI17" i="4"/>
  <c r="AK14" i="3"/>
  <c r="AC17" i="4" l="1"/>
  <c r="AC14" i="3"/>
  <c r="AA18" i="4"/>
  <c r="AA15" i="3"/>
  <c r="S7" i="3"/>
  <c r="L14" i="3" s="1"/>
  <c r="S3" i="3"/>
  <c r="S2" i="3"/>
  <c r="AK18" i="4"/>
  <c r="AQ18" i="4"/>
  <c r="AO18" i="4"/>
  <c r="AG18" i="4"/>
  <c r="AI18" i="4"/>
  <c r="AM18" i="4"/>
  <c r="AK15" i="3"/>
  <c r="AB14" i="3"/>
  <c r="AU18" i="4"/>
  <c r="AG15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K16" i="3"/>
  <c r="N6" i="3"/>
  <c r="AG19" i="4"/>
  <c r="AG16" i="3"/>
  <c r="AI19" i="4"/>
  <c r="AI16" i="3"/>
  <c r="AB15" i="3"/>
  <c r="AU19" i="4"/>
  <c r="AK19" i="4"/>
  <c r="AS19" i="4"/>
  <c r="AB18" i="4"/>
  <c r="AO19" i="4"/>
  <c r="AM19" i="4"/>
  <c r="AQ19" i="4"/>
  <c r="AC19" i="4" l="1"/>
  <c r="AE19" i="4" s="1"/>
  <c r="AE18" i="4"/>
  <c r="AC16" i="3"/>
  <c r="AA17" i="3"/>
  <c r="AA20" i="4"/>
  <c r="AU20" i="4"/>
  <c r="AB19" i="4"/>
  <c r="AM20" i="4"/>
  <c r="AG17" i="3"/>
  <c r="AG20" i="4"/>
  <c r="AI17" i="3"/>
  <c r="AQ20" i="4"/>
  <c r="AS20" i="4"/>
  <c r="AK20" i="4"/>
  <c r="AO20" i="4"/>
  <c r="AK17" i="3"/>
  <c r="AB16" i="3"/>
  <c r="AI20" i="4"/>
  <c r="AC20" i="4" l="1"/>
  <c r="AC17" i="3"/>
  <c r="AE16" i="3"/>
  <c r="AA18" i="3"/>
  <c r="AA21" i="4"/>
  <c r="B8" i="2"/>
  <c r="B7" i="2"/>
  <c r="B6" i="2"/>
  <c r="AU21" i="4"/>
  <c r="AI21" i="4"/>
  <c r="AI18" i="3"/>
  <c r="AM21" i="4"/>
  <c r="AG18" i="3"/>
  <c r="AQ21" i="4"/>
  <c r="AO21" i="4"/>
  <c r="AK18" i="3"/>
  <c r="AB17" i="3"/>
  <c r="AG21" i="4"/>
  <c r="AK21" i="4"/>
  <c r="AB20" i="4"/>
  <c r="AS21" i="4"/>
  <c r="AC21" i="4" l="1"/>
  <c r="AE21" i="4" s="1"/>
  <c r="AE20" i="4"/>
  <c r="AA22" i="4"/>
  <c r="AC18" i="3"/>
  <c r="AA19" i="3"/>
  <c r="AE17" i="3"/>
  <c r="B2" i="2"/>
  <c r="B4" i="2"/>
  <c r="AG22" i="4"/>
  <c r="AB21" i="4"/>
  <c r="AB18" i="3"/>
  <c r="AI22" i="4"/>
  <c r="AU22" i="4"/>
  <c r="AK22" i="4"/>
  <c r="AO22" i="4"/>
  <c r="AM22" i="4"/>
  <c r="AG19" i="3"/>
  <c r="AK19" i="3"/>
  <c r="AS22" i="4"/>
  <c r="AQ22" i="4"/>
  <c r="AI19" i="3"/>
  <c r="AC22" i="4" l="1"/>
  <c r="AE22" i="4" s="1"/>
  <c r="AA23" i="4"/>
  <c r="AC19" i="3"/>
  <c r="AE18" i="3"/>
  <c r="AA20" i="3"/>
  <c r="C6" i="1"/>
  <c r="AI20" i="3"/>
  <c r="AB19" i="3"/>
  <c r="AI23" i="4"/>
  <c r="AS23" i="4"/>
  <c r="AK23" i="4"/>
  <c r="AG23" i="4"/>
  <c r="AB22" i="4"/>
  <c r="AU23" i="4"/>
  <c r="AM23" i="4"/>
  <c r="AG20" i="3"/>
  <c r="AO23" i="4"/>
  <c r="AK20" i="3"/>
  <c r="AQ23" i="4"/>
  <c r="AC23" i="4" l="1"/>
  <c r="AE23" i="4" s="1"/>
  <c r="AA24" i="4"/>
  <c r="AC20" i="3"/>
  <c r="AE20" i="3" s="1"/>
  <c r="AA21" i="3"/>
  <c r="AE19" i="3"/>
  <c r="AB20" i="3"/>
  <c r="AO24" i="4"/>
  <c r="AS24" i="4"/>
  <c r="AB23" i="4"/>
  <c r="AI21" i="3"/>
  <c r="AI24" i="4"/>
  <c r="AM24" i="4"/>
  <c r="AK24" i="4"/>
  <c r="AQ24" i="4"/>
  <c r="AK21" i="3"/>
  <c r="AG21" i="3"/>
  <c r="AG24" i="4"/>
  <c r="AU24" i="4"/>
  <c r="AC24" i="4" l="1"/>
  <c r="AA25" i="4"/>
  <c r="AC21" i="3"/>
  <c r="AA22" i="3"/>
  <c r="AS25" i="4"/>
  <c r="AK22" i="3"/>
  <c r="AB24" i="4"/>
  <c r="AK25" i="4"/>
  <c r="AU25" i="4"/>
  <c r="AB21" i="3"/>
  <c r="AI25" i="4"/>
  <c r="AG25" i="4"/>
  <c r="AG22" i="3"/>
  <c r="AM25" i="4"/>
  <c r="AI22" i="3"/>
  <c r="AQ25" i="4"/>
  <c r="AO25" i="4"/>
  <c r="AC25" i="4" l="1"/>
  <c r="AE24" i="4"/>
  <c r="AA26" i="4"/>
  <c r="AC22" i="3"/>
  <c r="AE22" i="3" s="1"/>
  <c r="AA23" i="3"/>
  <c r="AE21" i="3"/>
  <c r="AS26" i="4"/>
  <c r="AK23" i="3"/>
  <c r="AI23" i="3"/>
  <c r="AG26" i="4"/>
  <c r="AU26" i="4"/>
  <c r="AM26" i="4"/>
  <c r="AB22" i="3"/>
  <c r="AQ26" i="4"/>
  <c r="AI26" i="4"/>
  <c r="AB25" i="4"/>
  <c r="AK26" i="4"/>
  <c r="AO26" i="4"/>
  <c r="AG23" i="3"/>
  <c r="AC26" i="4" l="1"/>
  <c r="AE25" i="4"/>
  <c r="AA27" i="4"/>
  <c r="AC23" i="3"/>
  <c r="AA24" i="3"/>
  <c r="AG27" i="4"/>
  <c r="AI24" i="3"/>
  <c r="AM27" i="4"/>
  <c r="AB23" i="3"/>
  <c r="AO27" i="4"/>
  <c r="AQ27" i="4"/>
  <c r="AU27" i="4"/>
  <c r="AG24" i="3"/>
  <c r="AK24" i="3"/>
  <c r="AK27" i="4"/>
  <c r="AI27" i="4"/>
  <c r="AS27" i="4"/>
  <c r="AB26" i="4"/>
  <c r="AC27" i="4" l="1"/>
  <c r="AE26" i="4"/>
  <c r="AA28" i="4"/>
  <c r="AC24" i="3"/>
  <c r="AE23" i="3"/>
  <c r="AA25" i="3"/>
  <c r="AI25" i="3"/>
  <c r="AQ28" i="4"/>
  <c r="AB27" i="4"/>
  <c r="AK25" i="3"/>
  <c r="AO28" i="4"/>
  <c r="AG25" i="3"/>
  <c r="AS28" i="4"/>
  <c r="AG28" i="4"/>
  <c r="AI28" i="4"/>
  <c r="AM28" i="4"/>
  <c r="AK28" i="4"/>
  <c r="AB24" i="3"/>
  <c r="AU28" i="4"/>
  <c r="AC28" i="4" l="1"/>
  <c r="AA29" i="4"/>
  <c r="AE27" i="4"/>
  <c r="AC25" i="3"/>
  <c r="AA26" i="3"/>
  <c r="AE24" i="3"/>
  <c r="AG26" i="3"/>
  <c r="AB28" i="4"/>
  <c r="AI26" i="3"/>
  <c r="AS29" i="4"/>
  <c r="AU29" i="4"/>
  <c r="AO29" i="4"/>
  <c r="AK29" i="4"/>
  <c r="AI29" i="4"/>
  <c r="AK26" i="3"/>
  <c r="AM29" i="4"/>
  <c r="AB25" i="3"/>
  <c r="AQ29" i="4"/>
  <c r="AG29" i="4"/>
  <c r="AC29" i="4" l="1"/>
  <c r="AE28" i="4"/>
  <c r="AA30" i="4"/>
  <c r="AC26" i="3"/>
  <c r="AA27" i="3"/>
  <c r="AE25" i="3"/>
  <c r="AS30" i="4"/>
  <c r="AQ30" i="4"/>
  <c r="AO30" i="4"/>
  <c r="AI27" i="3"/>
  <c r="AM30" i="4"/>
  <c r="AU30" i="4"/>
  <c r="AK30" i="4"/>
  <c r="AI30" i="4"/>
  <c r="AB26" i="3"/>
  <c r="AB29" i="4"/>
  <c r="AG27" i="3"/>
  <c r="AK27" i="3"/>
  <c r="AG30" i="4"/>
  <c r="AC30" i="4" l="1"/>
  <c r="AA31" i="4"/>
  <c r="AE29" i="4"/>
  <c r="AC27" i="3"/>
  <c r="AA28" i="3"/>
  <c r="AE26" i="3"/>
  <c r="AK28" i="3"/>
  <c r="AI31" i="4"/>
  <c r="AB30" i="4"/>
  <c r="AG28" i="3"/>
  <c r="AM31" i="4"/>
  <c r="AU31" i="4"/>
  <c r="AS31" i="4"/>
  <c r="AB27" i="3"/>
  <c r="AI28" i="3"/>
  <c r="AQ31" i="4"/>
  <c r="AK31" i="4"/>
  <c r="AO31" i="4"/>
  <c r="AG31" i="4"/>
  <c r="AC31" i="4" l="1"/>
  <c r="AA32" i="4"/>
  <c r="AE30" i="4"/>
  <c r="AC28" i="3"/>
  <c r="AA29" i="3"/>
  <c r="AE27" i="3"/>
  <c r="AG29" i="3"/>
  <c r="AI29" i="3"/>
  <c r="AK32" i="4"/>
  <c r="AK29" i="3"/>
  <c r="AU32" i="4"/>
  <c r="AB31" i="4"/>
  <c r="AQ32" i="4"/>
  <c r="AO32" i="4"/>
  <c r="AM32" i="4"/>
  <c r="AS32" i="4"/>
  <c r="AI32" i="4"/>
  <c r="AB28" i="3"/>
  <c r="AG32" i="4"/>
  <c r="AC32" i="4" l="1"/>
  <c r="AE31" i="4"/>
  <c r="AA33" i="4"/>
  <c r="AC29" i="3"/>
  <c r="AA30" i="3"/>
  <c r="AE28" i="3"/>
  <c r="AB29" i="3"/>
  <c r="AK30" i="3"/>
  <c r="AS33" i="4"/>
  <c r="AB32" i="4"/>
  <c r="AM33" i="4"/>
  <c r="AO33" i="4"/>
  <c r="AI30" i="3"/>
  <c r="AQ33" i="4"/>
  <c r="AG30" i="3"/>
  <c r="AU33" i="4"/>
  <c r="AK33" i="4"/>
  <c r="AI33" i="4"/>
  <c r="AG33" i="4"/>
  <c r="AC33" i="4" l="1"/>
  <c r="AE32" i="4"/>
  <c r="AA34" i="4"/>
  <c r="AC30" i="3"/>
  <c r="AA31" i="3"/>
  <c r="AE29" i="3"/>
  <c r="AM34" i="4"/>
  <c r="AG34" i="4"/>
  <c r="AK31" i="3"/>
  <c r="AG31" i="3"/>
  <c r="AQ34" i="4"/>
  <c r="AB30" i="3"/>
  <c r="AS34" i="4"/>
  <c r="AK34" i="4"/>
  <c r="AI34" i="4"/>
  <c r="AU34" i="4"/>
  <c r="AO34" i="4"/>
  <c r="AB33" i="4"/>
  <c r="AI31" i="3"/>
  <c r="AC34" i="4" l="1"/>
  <c r="AE33" i="4"/>
  <c r="AA35" i="4"/>
  <c r="AC31" i="3"/>
  <c r="AA32" i="3"/>
  <c r="AE30" i="3"/>
  <c r="AI32" i="3"/>
  <c r="AS35" i="4"/>
  <c r="AO35" i="4"/>
  <c r="AG35" i="4"/>
  <c r="AM35" i="4"/>
  <c r="AQ35" i="4"/>
  <c r="AU35" i="4"/>
  <c r="AG32" i="3"/>
  <c r="AB34" i="4"/>
  <c r="AK32" i="3"/>
  <c r="AB31" i="3"/>
  <c r="AK35" i="4"/>
  <c r="AI35" i="4"/>
  <c r="AC35" i="4" l="1"/>
  <c r="AA36" i="4"/>
  <c r="AE34" i="4"/>
  <c r="AC32" i="3"/>
  <c r="AA33" i="3"/>
  <c r="AE31" i="3"/>
  <c r="N7" i="4"/>
  <c r="AU36" i="4"/>
  <c r="AB32" i="3"/>
  <c r="AG33" i="3"/>
  <c r="AI33" i="3"/>
  <c r="AM36" i="4"/>
  <c r="AG36" i="4"/>
  <c r="N10" i="4"/>
  <c r="O9" i="4"/>
  <c r="AK33" i="3"/>
  <c r="AS36" i="4"/>
  <c r="N8" i="4"/>
  <c r="AI36" i="4"/>
  <c r="O8" i="4"/>
  <c r="O10" i="4"/>
  <c r="AB35" i="4"/>
  <c r="AO36" i="4"/>
  <c r="AK36" i="4"/>
  <c r="AQ36" i="4"/>
  <c r="O7" i="4"/>
  <c r="AC36" i="4" l="1"/>
  <c r="N5" i="4"/>
  <c r="AE35" i="4"/>
  <c r="AC33" i="3"/>
  <c r="AA34" i="3"/>
  <c r="AE32" i="3"/>
  <c r="N9" i="4"/>
  <c r="AI34" i="3"/>
  <c r="AK34" i="3"/>
  <c r="AB33" i="3"/>
  <c r="AG34" i="3"/>
  <c r="O6" i="4"/>
  <c r="AB36" i="4"/>
  <c r="O5" i="4" l="1"/>
  <c r="AE36" i="4"/>
  <c r="AC34" i="3"/>
  <c r="AA35" i="3"/>
  <c r="AE33" i="3"/>
  <c r="AG35" i="3"/>
  <c r="AB34" i="3"/>
  <c r="AK35" i="3"/>
  <c r="AI35" i="3"/>
  <c r="AC35" i="3" l="1"/>
  <c r="AA36" i="3"/>
  <c r="AE34" i="3"/>
  <c r="AB35" i="3"/>
  <c r="AI36" i="3"/>
  <c r="AK36" i="3"/>
  <c r="AG36" i="3"/>
  <c r="AC36" i="3" l="1"/>
  <c r="AA37" i="3"/>
  <c r="AE35" i="3"/>
  <c r="AG37" i="3"/>
  <c r="AK37" i="3"/>
  <c r="AB36" i="3"/>
  <c r="AI37" i="3"/>
  <c r="AC37" i="3" l="1"/>
  <c r="AA38" i="3"/>
  <c r="AE36" i="3"/>
  <c r="AK38" i="3"/>
  <c r="AI38" i="3"/>
  <c r="AB37" i="3"/>
  <c r="AG38" i="3"/>
  <c r="AC38" i="3" l="1"/>
  <c r="AA39" i="3"/>
  <c r="AE37" i="3"/>
  <c r="AI39" i="3"/>
  <c r="AK39" i="3"/>
  <c r="AB38" i="3"/>
  <c r="AG39" i="3"/>
  <c r="AC39" i="3" l="1"/>
  <c r="AA40" i="3"/>
  <c r="AE38" i="3"/>
  <c r="AI40" i="3"/>
  <c r="AK40" i="3"/>
  <c r="AB39" i="3"/>
  <c r="AG40" i="3"/>
  <c r="AC40" i="3" l="1"/>
  <c r="AA41" i="3"/>
  <c r="AE39" i="3"/>
  <c r="AG41" i="3"/>
  <c r="AI41" i="3"/>
  <c r="AB40" i="3"/>
  <c r="AK41" i="3"/>
  <c r="AC41" i="3" l="1"/>
  <c r="AA42" i="3"/>
  <c r="AE40" i="3"/>
  <c r="AG42" i="3"/>
  <c r="AK42" i="3"/>
  <c r="AB41" i="3"/>
  <c r="AI42" i="3"/>
  <c r="AC42" i="3" l="1"/>
  <c r="AA43" i="3"/>
  <c r="AE41" i="3"/>
  <c r="AI43" i="3"/>
  <c r="O7" i="3"/>
  <c r="AK43" i="3"/>
  <c r="N8" i="3"/>
  <c r="O8" i="3"/>
  <c r="N10" i="3"/>
  <c r="AB42" i="3"/>
  <c r="N7" i="3"/>
  <c r="O9" i="3"/>
  <c r="AG43" i="3"/>
  <c r="O10" i="3"/>
  <c r="N5" i="3" l="1"/>
  <c r="V2" i="3" s="1"/>
  <c r="AC43" i="3"/>
  <c r="AE42" i="3"/>
  <c r="AB43" i="3"/>
  <c r="O6" i="3"/>
  <c r="N11" i="3"/>
  <c r="N9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<sst xmlns="http://schemas.openxmlformats.org/spreadsheetml/2006/main" count="539" uniqueCount="162">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</sst>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50"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960BE0C-754F-44D6-BAEF-EE366F2BCB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7523F4-4A00-4606-8DA6-C82A43736A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65B957-8FBC-4D7B-88CE-55174EB765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34551B-12E6-40D1-8FC0-D2C34F6A91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19441D-88C3-4F3F-BBB9-768C1A396C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DDF448-BF02-45CC-80EC-CD396287BA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5C3E4F-4ED4-4736-8932-7EC169561C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3CBD14-8CB2-40A4-9D50-1FD7A1CEC9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769753-12FD-4B78-A2C3-7DEA2FE747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BA9960-24E1-414E-BFF3-C5D56F4746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944B6B-BF1E-4BAE-9CDC-370B6D9938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D83CCB-3DD6-45C7-848F-6CDAAADC03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AC17DE-E488-4803-8350-9BCEFF401B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4282E1-F168-42D2-8610-B2A2E64AAF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D4AFE2-6488-4537-864D-7C67FA0642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A3A204-A433-4CAF-9A0D-C86D4DA50A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DB04F0-EB08-4069-926A-ADF3788708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347EE6-C799-4E51-879D-C939A133DA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F36251-FEAC-4876-9FD4-E2CC23C970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988636-4ED3-46A1-BED6-FA290BF1A3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724B4F-02A5-4A90-8904-AB9D5F7BBA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D1E991-5DB0-492D-B0DA-2CE04AFECF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857B419-1F19-4C30-9A32-EB2AB500A8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8449DF-6017-4CA2-9953-D233DDF009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6543F4-528C-4D14-9EA1-B16A9764D1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57BE47-0009-4B23-BC96-A4BEDBA462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79DF99-BF1F-4E1A-A305-62DD0E4D2A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B27628-1277-404B-B8C6-5DFC0B6D7C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5A0C43-ACDA-4840-A145-D89CD5E965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DBBCDF-43B5-4A39-A13E-BB962AACA5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F478C0B-3F90-4E8C-9321-6B8F727750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2C6FCE-DD79-48D6-8D3A-4E30252506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83DD71-FB72-45CA-B9C0-C9FC05C3C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CA2423-4F96-4E61-94E5-DF6D011A52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63EDEA-6FAF-4B30-ACD0-142AA9A771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53F12D-3DC5-4EB4-9BB8-EEAD3E4C18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D66DE6-ED3B-4F05-8999-29826E0C60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72677A-9DCA-4849-B8E1-02C78CDE6E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4CEF38-22B7-4632-944D-8AE7B5AE66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C94796-308E-48D1-90BB-6639176CC9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DDF7D5-76E3-430A-9F66-8C13342597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DCF983-2CE0-4562-9ABE-F1A6F96A76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FB865A-E6F0-4D93-9DE3-3A82E66D1E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EBD5DE-3C5D-4AD8-A1EA-62A15037FF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26AE3E-FDE0-43DA-8F4A-166456F0BC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637D8A-ECE6-45CD-BDA6-4B86FCE818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45A080-AC29-4FA0-A82C-49C2D38FA7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0C5124-0478-4994-8503-0E1D5F7357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F31F27-17AA-4899-A27A-2529DBAD0F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96A3AD-0BB0-4729-9CCE-C32C053FC0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B22284-5559-4B02-8954-49E9E15EDB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95E294-EAB0-4A13-9A1D-52633F4DD4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211D72-E7DB-4081-A326-F557515A2A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096E544-7277-4301-9C32-0562A6B22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449C63-0909-4F4E-8974-8909540291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39769E-251C-4775-A342-BA95311A48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6807A0-88FB-4AD8-8642-F6A09C78F3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32E537-497C-445F-80DD-63CD0533BF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CE68E8B-B227-4F8E-8828-829BCEAFC3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9411C1-6C48-45B4-B76C-C243EC7CD6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7950FC-EC64-4C72-8C06-157E253A0F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8D8AB9-6194-4306-A151-4CA16B4255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7B5AE8-792D-4D4B-A715-4429E045DF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996C0E-474E-41D9-B69E-20CBDD6481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0F0726-5D1B-4FD2-9814-D7EB4ACE1B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0B86FE-ACB6-48F2-A715-394B0E0F5D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5364CA-4280-44D7-AB32-16F7DCD01F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290903-9242-4749-B129-B508B82AB0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D294A1-D9F0-4430-B0E3-56B3516FEA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73C415-3E95-40B7-A1C1-8F390B488A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408C45-EEC5-47A0-B038-C4E35F503B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518F10-67FB-48B5-AFAC-F4081D0056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BCB4F85-2726-414C-8D34-C329AB76A7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E6F9FD-EC1F-452C-8E74-6225768E84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333CB8-6CB5-4833-A364-211AC1DF1B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41764A-1F43-4A6E-B56E-6E7F765BCD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936FF3-C44B-402D-94E7-46844FBED7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3C26D7-7140-4F9E-AC01-DA8736327A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6A8099-DA24-45CA-8F3B-556D9A52FE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6DA190-513C-46BC-8B63-CD37C27956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CEE804-CE5F-45A8-9C8A-9A61F93D8D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FF1528-A6EE-4A97-8C81-76E5A4DABC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AB3025-167A-4189-92E5-05A3E5E183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BFC650-FA83-49D9-8FA0-CB1EB6B117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0DF272-8C99-45F4-9AB6-710A3F80A5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46879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28911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42" dataDxfId="141">
  <autoFilter ref="R13:X16" xr:uid="{FF2C9E8B-1A62-479C-AF68-79B236C0B7BB}"/>
  <tableColumns count="7">
    <tableColumn id="1" xr3:uid="{727C6146-39EA-4E15-8783-53CAA87FAF36}" name="Zone ID" dataDxfId="140"/>
    <tableColumn id="2" xr3:uid="{2CA65110-6DD7-46D8-BFC2-5EB0C0E57567}" name="Description" dataDxfId="139"/>
    <tableColumn id="3" xr3:uid="{12D64F80-6A69-494F-BF8F-E326D34A185A}" name="Short Description" dataDxfId="138"/>
    <tableColumn id="4" xr3:uid="{71F3F5B2-8F6B-4985-B1FC-5A9D60095474}" name="Start Date" dataDxfId="137"/>
    <tableColumn id="5" xr3:uid="{57258378-8FED-4727-89AC-D938CB414B7B}" name="Finish Date" dataDxfId="136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35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34">
      <calculatedColumnFormula>IF(AA13 = "Date", $S$4, AA13+7)</calculatedColumnFormula>
    </tableColumn>
    <tableColumn id="6" xr3:uid="{5740AC03-CF53-4345-8667-6AC0CA6843D0}" name="Primary Areas" dataDxfId="133">
      <calculatedColumnFormula>PrimaryAreas(3)</calculatedColumnFormula>
    </tableColumn>
    <tableColumn id="2" xr3:uid="{AF232D3D-EC3F-4232-BA5D-1427173C2D6A}" name="Weekly Plan" dataDxfId="132">
      <calculatedColumnFormula xml:space="preserve"> IF(#REF!="", 0,#REF!)+ IF(#REF!="", 0,#REF!)+ IF(#REF!="", 0,#REF!)</calculatedColumnFormula>
    </tableColumn>
    <tableColumn id="3" xr3:uid="{B28103F6-7596-4848-9F0D-3E4A9E5CBEFE}" name="Weekly Actual" dataDxfId="131">
      <calculatedColumnFormula>IF(AND(ISBLANK(#REF!),ISBLANK(#REF!),ISBLANK(#REF!)),"",#REF! +#REF!+#REF!)</calculatedColumnFormula>
    </tableColumn>
    <tableColumn id="4" xr3:uid="{EF1C6009-71E6-491B-B64F-04049D2D9103}" name="Accumulated Plan" dataDxfId="130">
      <calculatedColumnFormula>SUM($AC$14:AC14)</calculatedColumnFormula>
    </tableColumn>
    <tableColumn id="5" xr3:uid="{442DAB73-1233-4C61-8DE9-3B44CE2C5D69}" name="Accumulated Actual" dataDxfId="129">
      <calculatedColumnFormula>IF(AD14="",NA(),SUM($AD$14:AD14))</calculatedColumnFormula>
    </tableColumn>
    <tableColumn id="43" xr3:uid="{CE31DBAF-57B0-4D4D-852A-B07516A73A41}" name="WP_A1" dataDxfId="128">
      <calculatedColumnFormula>WeeklyPlanned(Output_Template[[#Headers],[WP_A1]], Output_Template[[#This Row],[Date]])</calculatedColumnFormula>
    </tableColumn>
    <tableColumn id="44" xr3:uid="{A0857F89-2BC6-42D6-B02F-90D9272451CA}" name="WA_A1" dataDxfId="127"/>
    <tableColumn id="45" xr3:uid="{2A74D439-B21B-40DD-BB55-7D2C2B18629E}" name="WP_A2" dataDxfId="126">
      <calculatedColumnFormula>WeeklyPlanned(Output_Template[[#Headers],[WP_A2]], Output_Template[[#This Row],[Date]])</calculatedColumnFormula>
    </tableColumn>
    <tableColumn id="46" xr3:uid="{670DB326-434A-466C-9E3C-6A8FE180F21F}" name="WA_A2" dataDxfId="125"/>
    <tableColumn id="47" xr3:uid="{B6798EC6-DE2D-49BB-961E-220FED1F6F10}" name="WP_A3" dataDxfId="124">
      <calculatedColumnFormula>WeeklyPlanned(Output_Template[[#Headers],[WP_A3]], Output_Template[[#This Row],[Date]])</calculatedColumnFormula>
    </tableColumn>
    <tableColumn id="48" xr3:uid="{B2CB6DA2-6E53-4BAC-881B-229E451DFCE0}" name="WA_A3" dataDxfId="123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22">
  <autoFilter ref="H2:H5" xr:uid="{1041DC80-58D6-4308-9DE1-A4EC8AAD3C20}"/>
  <tableColumns count="1">
    <tableColumn id="1" xr3:uid="{0E6D3E77-7CB7-40A1-BCA6-DDC8164AAEB9}" name="Holidays" dataDxfId="121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113" dataDxfId="112">
  <autoFilter ref="R13:X21" xr:uid="{FF2C9E8B-1A62-479C-AF68-79B236C0B7BB}"/>
  <tableColumns count="7">
    <tableColumn id="1" xr3:uid="{5AA37268-DD16-498C-9169-AE2EA9DA526A}" name="Zone ID" dataDxfId="111"/>
    <tableColumn id="2" xr3:uid="{0E3A0621-3CBD-40FC-B7C1-86ED2397BCEE}" name="Description" dataDxfId="110"/>
    <tableColumn id="3" xr3:uid="{5A73CD5C-5126-40F4-B5B3-C7A438ED4F4F}" name="Short Description" dataDxfId="109"/>
    <tableColumn id="4" xr3:uid="{CDB025F5-BA1E-4D3D-9F16-1E7E8B24997A}" name="Start Date" dataDxfId="108"/>
    <tableColumn id="5" xr3:uid="{A32C4534-D094-4392-BDFF-D9E6184B332E}" name="Finish Date" dataDxfId="107"/>
    <tableColumn id="6" xr3:uid="{4EBF5FA0-D78E-4850-9053-2FD3D4DF8DDF}" name="Total" dataDxfId="106" dataCellStyle="Linked Cell"/>
    <tableColumn id="7" xr3:uid="{2024E4D3-6ED3-428B-AA0E-731077A47B05}" name="Completed Total" dataDxfId="105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104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103">
      <calculatedColumnFormula>IF(AA13 = "Date", $S$4, AA13+7)</calculatedColumnFormula>
    </tableColumn>
    <tableColumn id="6" xr3:uid="{001A0E6C-64CB-4894-8C22-5853E33F6BB2}" name="Primary Areas" dataDxfId="102">
      <calculatedColumnFormula>PrimaryAreas(8)</calculatedColumnFormula>
    </tableColumn>
    <tableColumn id="2" xr3:uid="{1360E334-97F5-432E-BB23-793619A14458}" name="Weekly Plan" dataDxfId="101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100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99">
      <calculatedColumnFormula>SUM($AC$14:AC14)</calculatedColumnFormula>
    </tableColumn>
    <tableColumn id="5" xr3:uid="{1924FD4A-42CB-49CF-B4A5-079079B5D0F3}" name="Accumulated Actual" dataDxfId="98">
      <calculatedColumnFormula>IF(AD14="",NA(),SUM($AD$14:AD14))</calculatedColumnFormula>
    </tableColumn>
    <tableColumn id="23" xr3:uid="{9D909FAC-40FF-4109-8EAE-74DFABFF8319}" name="WP_ABC" dataDxfId="97">
      <calculatedColumnFormula>WeeklyPlanned(Output_0000[[#Headers],[WP_ABC]], Output_0000[[#This Row],[Date]])</calculatedColumnFormula>
    </tableColumn>
    <tableColumn id="24" xr3:uid="{92ADE5B7-CAEC-41A0-B928-8F7F4344FE26}" name="WA_ABC" dataDxfId="96"/>
    <tableColumn id="25" xr3:uid="{F7FD9E19-6CFF-44A1-AF87-237747B65D1E}" name="WP_ACS" dataDxfId="95">
      <calculatedColumnFormula>WeeklyPlanned(Output_0000[[#Headers],[WP_ACS]], Output_0000[[#This Row],[Date]])</calculatedColumnFormula>
    </tableColumn>
    <tableColumn id="26" xr3:uid="{1FD6096E-155A-48FA-BF57-ABEB209A76A8}" name="WA_ACS" dataDxfId="94"/>
    <tableColumn id="27" xr3:uid="{C32CB5E4-987A-4E05-BFD2-AD1BA55323A7}" name="WP_AL1" dataDxfId="93">
      <calculatedColumnFormula>WeeklyPlanned(Output_0000[[#Headers],[WP_AL1]], Output_0000[[#This Row],[Date]])</calculatedColumnFormula>
    </tableColumn>
    <tableColumn id="28" xr3:uid="{741EC55D-ACF8-45FE-B760-246C2984AB76}" name="WA_AL1" dataDxfId="92"/>
    <tableColumn id="29" xr3:uid="{02D5C536-D7AB-4845-AF46-BA557A0711BE}" name="WP_HBase" dataDxfId="91">
      <calculatedColumnFormula>WeeklyPlanned(Output_0000[[#Headers],[WP_HBase]], Output_0000[[#This Row],[Date]])</calculatedColumnFormula>
    </tableColumn>
    <tableColumn id="30" xr3:uid="{6CFFBF9B-4C23-4C48-B9B4-2C3A9A72CE8C}" name="WA_HBase" dataDxfId="90"/>
    <tableColumn id="31" xr3:uid="{27A2EB7B-E3EA-47B1-A3F2-FFBF58F06F0D}" name="WP_HWST" dataDxfId="89">
      <calculatedColumnFormula>WeeklyPlanned(Output_0000[[#Headers],[WP_HWST]], Output_0000[[#This Row],[Date]])</calculatedColumnFormula>
    </tableColumn>
    <tableColumn id="32" xr3:uid="{1F1D10B3-084B-4075-8E04-CBCE81737E69}" name="WA_HWST" dataDxfId="88"/>
    <tableColumn id="33" xr3:uid="{127722D0-80A4-4F75-9175-6D2C54EBC191}" name="WP_HWSR" dataDxfId="87">
      <calculatedColumnFormula>WeeklyPlanned(Output_0000[[#Headers],[WP_HWSR]], Output_0000[[#This Row],[Date]])</calculatedColumnFormula>
    </tableColumn>
    <tableColumn id="34" xr3:uid="{ED1A96FC-35C0-4018-81E1-B3B51101AB44}" name="WA_HWSR" dataDxfId="86"/>
    <tableColumn id="35" xr3:uid="{584725E1-3456-4D62-8919-994293AB89D3}" name="WP_HL2" dataDxfId="85">
      <calculatedColumnFormula>WeeklyPlanned(Output_0000[[#Headers],[WP_HL2]], Output_0000[[#This Row],[Date]])</calculatedColumnFormula>
    </tableColumn>
    <tableColumn id="36" xr3:uid="{0D58AE03-CEC6-4352-9275-206C438024A6}" name="WA_HL2" dataDxfId="84"/>
    <tableColumn id="37" xr3:uid="{76718DA7-C2F0-424A-9855-A1F7A4401A40}" name="WP_HBCeil" dataDxfId="83">
      <calculatedColumnFormula>WeeklyPlanned(Output_0000[[#Headers],[WP_HBCeil]], Output_0000[[#This Row],[Date]])</calculatedColumnFormula>
    </tableColumn>
    <tableColumn id="38" xr3:uid="{DF9E8E0F-9F93-4E51-85D2-94DDAA517F51}" name="WA_HBCeil" dataDxfId="82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74" dataDxfId="73">
  <autoFilter ref="R13:X21" xr:uid="{FF2C9E8B-1A62-479C-AF68-79B236C0B7BB}"/>
  <tableColumns count="7">
    <tableColumn id="1" xr3:uid="{9FED2BA1-A1A7-4513-A20F-F09DB113155D}" name="Zone ID" dataDxfId="72"/>
    <tableColumn id="2" xr3:uid="{8B67A205-5329-400B-84DC-CB06A032CF16}" name="Description" dataDxfId="71"/>
    <tableColumn id="3" xr3:uid="{2253D560-C30C-43DE-ABAB-BFAFD145DF40}" name="Short Description" dataDxfId="70"/>
    <tableColumn id="4" xr3:uid="{09E57ADB-1BEB-4CFB-B160-A9C7ADA56DE0}" name="Start Date" dataDxfId="69"/>
    <tableColumn id="5" xr3:uid="{B704EAFC-B4AE-45F3-A5AC-5189060C6D42}" name="Finish Date" dataDxfId="68"/>
    <tableColumn id="6" xr3:uid="{FAFABCDE-D7F7-45A9-83E7-80ADC6F01B0B}" name="Total" dataDxfId="67" dataCellStyle="Normal"/>
    <tableColumn id="7" xr3:uid="{F8D69A8D-7550-4939-9D63-599172BCFFFD}" name="Completed Total" dataDxfId="66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65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64">
      <calculatedColumnFormula>IF(AA13 = "Date", $S$4, AA13+7)</calculatedColumnFormula>
    </tableColumn>
    <tableColumn id="6" xr3:uid="{DE271CBB-C0FC-482D-929A-C21AEFAC32E4}" name="Primary Areas" dataDxfId="63">
      <calculatedColumnFormula>PrimaryAreas(8)</calculatedColumnFormula>
    </tableColumn>
    <tableColumn id="2" xr3:uid="{71EE47CC-75E0-49E1-B527-E1364059B0A6}" name="Weekly Plan" dataDxfId="62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61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60">
      <calculatedColumnFormula>SUM($AC$14:AC14)</calculatedColumnFormula>
    </tableColumn>
    <tableColumn id="5" xr3:uid="{CB7FAB5B-BEAB-4D4A-BD18-57DE0B5DE266}" name="Accumulated Actual" dataDxfId="59">
      <calculatedColumnFormula>IF(AD14="",NA(),SUM($AD$14:AD14))</calculatedColumnFormula>
    </tableColumn>
    <tableColumn id="7" xr3:uid="{2A1CBA5C-29D6-4EB1-8BAA-AF2C064B4A02}" name="WP_ABC" dataDxfId="58">
      <calculatedColumnFormula>WeeklyPlanned(Output_0501[[#Headers],[WP_ABC]], Output_0501[[#This Row],[Date]])</calculatedColumnFormula>
    </tableColumn>
    <tableColumn id="8" xr3:uid="{04DC9374-2B37-4BF5-AA39-F11FC0149281}" name="WA_ABC" dataDxfId="57"/>
    <tableColumn id="9" xr3:uid="{4F88CC2C-A480-4C5B-BA01-24B210AB447A}" name="WP_ACS" dataDxfId="56">
      <calculatedColumnFormula>WeeklyPlanned(Output_0501[[#Headers],[WP_ACS]], Output_0501[[#This Row],[Date]])</calculatedColumnFormula>
    </tableColumn>
    <tableColumn id="10" xr3:uid="{48C24C77-4D2B-435F-BBC2-FAD4AD540AB6}" name="WA_ACS" dataDxfId="55"/>
    <tableColumn id="11" xr3:uid="{75D5C587-305D-4077-9FAA-C79F65923E57}" name="WP_AL1" dataDxfId="54">
      <calculatedColumnFormula>WeeklyPlanned(Output_0501[[#Headers],[WP_AL1]], Output_0501[[#This Row],[Date]])</calculatedColumnFormula>
    </tableColumn>
    <tableColumn id="12" xr3:uid="{8077796C-E6FC-4EE3-89F7-798709387F7F}" name="WA_AL1" dataDxfId="53"/>
    <tableColumn id="13" xr3:uid="{792F3323-B0E8-4776-9689-FD45E57B619D}" name="WP_HBase" dataDxfId="52">
      <calculatedColumnFormula>WeeklyPlanned(Output_0501[[#Headers],[WP_HBase]], Output_0501[[#This Row],[Date]])</calculatedColumnFormula>
    </tableColumn>
    <tableColumn id="14" xr3:uid="{9E7E74B1-B432-4576-8F57-2DCED559C004}" name="WA_HBase" dataDxfId="51"/>
    <tableColumn id="15" xr3:uid="{6C8A9406-B3E7-4378-8961-19DE99A823B8}" name="WP_HWST" dataDxfId="50">
      <calculatedColumnFormula>WeeklyPlanned(Output_0501[[#Headers],[WP_HWST]], Output_0501[[#This Row],[Date]])</calculatedColumnFormula>
    </tableColumn>
    <tableColumn id="16" xr3:uid="{85632008-1A06-41BF-96BF-DF4F2942C8E3}" name="WA_HWST" dataDxfId="49"/>
    <tableColumn id="17" xr3:uid="{4ED0746A-56E1-4B9A-8D82-621AD6A805EE}" name="WP_HWSR" dataDxfId="48">
      <calculatedColumnFormula>WeeklyPlanned(Output_0501[[#Headers],[WP_HWSR]], Output_0501[[#This Row],[Date]])</calculatedColumnFormula>
    </tableColumn>
    <tableColumn id="18" xr3:uid="{616A2447-10D3-4C5E-BE98-C8594A351722}" name="WA_HWSR" dataDxfId="47"/>
    <tableColumn id="19" xr3:uid="{13711C20-54F0-41FE-93CC-92DB5745C53C}" name="WP_HL2" dataDxfId="46">
      <calculatedColumnFormula>WeeklyPlanned(Output_0501[[#Headers],[WP_HL2]], Output_0501[[#This Row],[Date]])</calculatedColumnFormula>
    </tableColumn>
    <tableColumn id="20" xr3:uid="{AE155A80-4969-4902-8DAF-8DC808584420}" name="WA_HL2" dataDxfId="45"/>
    <tableColumn id="21" xr3:uid="{186F9C43-2DF5-47B7-A779-6A42D4C3454E}" name="WP_HBCeil" dataDxfId="44">
      <calculatedColumnFormula>WeeklyPlanned(Output_0501[[#Headers],[WP_HBCeil]], Output_0501[[#This Row],[Date]])</calculatedColumnFormula>
    </tableColumn>
    <tableColumn id="22" xr3:uid="{7F8ADB3E-C083-4C51-8B5A-9EACC6ABF4A0}" name="WA_HBCeil" dataDxfId="43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opLeftCell="C1" zoomScale="85" zoomScaleNormal="85" workbookViewId="0">
      <selection activeCell="X26" sqref="X2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70">
        <f ca="1">1-N5</f>
        <v>0.47272727272727277</v>
      </c>
      <c r="AA2" s="53"/>
      <c r="AB2" s="54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70">
        <f ca="1">1-O5</f>
        <v>0.64444444444444438</v>
      </c>
      <c r="AA3" s="53"/>
      <c r="AB3" s="54"/>
      <c r="AC3" s="64">
        <v>43993.726458333331</v>
      </c>
      <c r="AE3" s="38"/>
      <c r="AF3" s="64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3"/>
      <c r="AB4" s="54"/>
      <c r="AC4" s="64">
        <v>43993.726909722223</v>
      </c>
      <c r="AE4" s="38"/>
      <c r="AF4" s="64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3"/>
      <c r="AB5" s="54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3"/>
      <c r="AB6" s="54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7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157</v>
      </c>
      <c r="V10" s="85"/>
      <c r="W10" s="85"/>
      <c r="X10" s="85"/>
      <c r="AB10" s="66"/>
      <c r="AC10" s="65"/>
      <c r="AD10" s="63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5"/>
      <c r="V11" s="85"/>
      <c r="W11" s="85"/>
      <c r="X11" s="85"/>
      <c r="AC11" s="63"/>
      <c r="AD11" s="63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0" t="s">
        <v>46</v>
      </c>
      <c r="K13" s="80"/>
      <c r="L13" s="80"/>
      <c r="M13" s="80"/>
      <c r="N13" s="81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81</v>
      </c>
      <c r="AH13" s="57" t="s">
        <v>83</v>
      </c>
      <c r="AI13" s="57" t="s">
        <v>82</v>
      </c>
      <c r="AJ13" s="57" t="s">
        <v>84</v>
      </c>
      <c r="AK13" s="57" t="s">
        <v>85</v>
      </c>
      <c r="AL13" s="57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149" priority="10">
      <formula>ISERROR(AF14)</formula>
    </cfRule>
  </conditionalFormatting>
  <conditionalFormatting sqref="W13:X13">
    <cfRule type="expression" dxfId="148" priority="8">
      <formula>IF(OR($S$8 = "Assemble Addin", $S$8 = "Bluebeam QL"), TRUE, FALSE)</formula>
    </cfRule>
  </conditionalFormatting>
  <conditionalFormatting sqref="N6:O6">
    <cfRule type="expression" dxfId="147" priority="7">
      <formula>IF($N$6=$O$6, FALSE, TRUE)</formula>
    </cfRule>
  </conditionalFormatting>
  <conditionalFormatting sqref="W14:X16">
    <cfRule type="expression" dxfId="146" priority="5">
      <formula>IF(OR($S$8 = "Assemble Addin", $S$8 = "Bluebeam QL"), TRUE, FALSE)</formula>
    </cfRule>
    <cfRule type="expression" dxfId="145" priority="6">
      <formula>IF(OR($S$8 = "Assemble Addin", $S$8 = "Bluebeam QL"), MOD(ROW(), 2)=0, FALSE)</formula>
    </cfRule>
  </conditionalFormatting>
  <conditionalFormatting sqref="R13">
    <cfRule type="expression" dxfId="144" priority="2">
      <formula>IF($S$8 = "Assemble Addin", TRUE, FALSE)</formula>
    </cfRule>
  </conditionalFormatting>
  <conditionalFormatting sqref="R14:R16">
    <cfRule type="expression" dxfId="143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UPPER("Structural Steel 07/01/2020")</f>
        <v>STRUCTURAL STEEL 07/01/2020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116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J23" sqref="J23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s="4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G37" sqref="G37"/>
    </sheetView>
  </sheetViews>
  <sheetFormatPr defaultRowHeight="14" x14ac:dyDescent="0.3"/>
  <cols>
    <col min="1" max="1" width="2.1796875" style="71" customWidth="1"/>
    <col min="2" max="2" width="45.1796875" style="71" customWidth="1"/>
    <col min="3" max="3" width="27.453125" style="71" customWidth="1"/>
    <col min="4" max="5" width="10.81640625" style="10" customWidth="1"/>
    <col min="6" max="6" width="2.26953125" style="71" customWidth="1"/>
    <col min="7" max="7" width="21.54296875" style="65" bestFit="1" customWidth="1"/>
    <col min="8" max="8" width="15.1796875" style="71" customWidth="1"/>
    <col min="9" max="9" width="19.08984375" style="71" bestFit="1" customWidth="1"/>
    <col min="10" max="11" width="14.1796875" style="71" customWidth="1"/>
    <col min="12" max="16384" width="8.7265625" style="71"/>
  </cols>
  <sheetData>
    <row r="2" spans="2:12" ht="28" customHeight="1" x14ac:dyDescent="0.3">
      <c r="B2" s="105" t="str">
        <f>"PROGRESS REPORT "&amp; TEXT(Report_Date, "mm/dd/yyy")</f>
        <v>PROGRESS REPORT 07/01/2020</v>
      </c>
      <c r="C2" s="105"/>
      <c r="D2" s="105"/>
      <c r="E2" s="105"/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71" t="str">
        <f>"Project Manager(s): " &amp; Project_Manager</f>
        <v>Project Manager(s): Ryan Thomas</v>
      </c>
      <c r="G6" s="77" t="s">
        <v>16</v>
      </c>
      <c r="H6" s="72">
        <v>44013</v>
      </c>
    </row>
    <row r="7" spans="2:12" x14ac:dyDescent="0.3">
      <c r="B7" s="71" t="str">
        <f>"Project Engineer(s): " &amp; Project_Engineer</f>
        <v>Project Engineer(s): Camron Walker (North Add &amp; Site) &amp; David Adams (Historic)</v>
      </c>
      <c r="G7" s="77" t="s">
        <v>31</v>
      </c>
      <c r="H7" s="73" t="s">
        <v>18</v>
      </c>
    </row>
    <row r="8" spans="2:12" x14ac:dyDescent="0.3">
      <c r="B8" s="71" t="str">
        <f>"Superintendent(s):  " &amp; Superintendent</f>
        <v>Superintendent(s):  Jay W. (North Add), Dion G. (Historic), Jason F. (MEP) &amp; Zac G. (Site)</v>
      </c>
      <c r="G8" s="77" t="s">
        <v>32</v>
      </c>
      <c r="H8" s="74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104" t="s">
        <v>26</v>
      </c>
      <c r="C11" s="104"/>
      <c r="D11" s="104"/>
      <c r="E11" s="104"/>
      <c r="F11" s="16"/>
      <c r="G11" s="16"/>
      <c r="H11" s="16"/>
      <c r="I11" s="16"/>
      <c r="J11" s="16"/>
      <c r="K11" s="16"/>
      <c r="L11" s="71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104" t="s">
        <v>27</v>
      </c>
      <c r="C13" s="104"/>
      <c r="D13" s="104"/>
      <c r="E13" s="104"/>
      <c r="F13" s="16"/>
      <c r="G13" s="16"/>
      <c r="H13" s="16"/>
      <c r="I13" s="16"/>
      <c r="J13" s="16"/>
      <c r="K13" s="16"/>
      <c r="L13" s="71" t="s">
        <v>136</v>
      </c>
    </row>
    <row r="14" spans="2:12" hidden="1" x14ac:dyDescent="0.3">
      <c r="B14" s="9"/>
      <c r="G14" s="75"/>
      <c r="H14" s="37"/>
    </row>
    <row r="15" spans="2:12" ht="15" x14ac:dyDescent="0.3">
      <c r="B15" s="104" t="s">
        <v>28</v>
      </c>
      <c r="C15" s="104"/>
      <c r="D15" s="104"/>
      <c r="E15" s="104"/>
      <c r="F15" s="16"/>
      <c r="G15" s="16"/>
      <c r="H15" s="16"/>
      <c r="I15" s="16"/>
      <c r="J15" s="16"/>
      <c r="K15" s="16"/>
      <c r="L15" s="71" t="s">
        <v>136</v>
      </c>
    </row>
    <row r="16" spans="2:12" x14ac:dyDescent="0.3">
      <c r="B16" s="9" t="s">
        <v>151</v>
      </c>
      <c r="C16" s="71" t="s">
        <v>149</v>
      </c>
      <c r="D16" s="10">
        <f ca="1">'0501'!N5</f>
        <v>0</v>
      </c>
      <c r="E16" s="10">
        <f ca="1">'0501'!O5</f>
        <v>0.10714285714285712</v>
      </c>
      <c r="G16" s="75"/>
      <c r="H16" s="37" t="s">
        <v>150</v>
      </c>
      <c r="I16" s="76" t="str">
        <f ca="1">IF(Report_Date = INDIRECT(H16 &amp; "!S9"), "Ready", "Not Ready")</f>
        <v>Ready</v>
      </c>
      <c r="J16" s="71" t="s">
        <v>160</v>
      </c>
      <c r="K16" s="71" t="s">
        <v>161</v>
      </c>
    </row>
    <row r="17" spans="2:12" x14ac:dyDescent="0.3">
      <c r="B17" s="9"/>
      <c r="G17" s="75"/>
      <c r="H17" s="37"/>
    </row>
    <row r="18" spans="2:12" ht="15" hidden="1" x14ac:dyDescent="0.3">
      <c r="B18" s="104" t="s">
        <v>29</v>
      </c>
      <c r="C18" s="104"/>
      <c r="D18" s="104"/>
      <c r="E18" s="104"/>
      <c r="F18" s="16"/>
      <c r="G18" s="16"/>
      <c r="H18" s="16"/>
      <c r="I18" s="16"/>
      <c r="J18" s="16"/>
      <c r="K18" s="16"/>
      <c r="L18" s="71" t="s">
        <v>136</v>
      </c>
    </row>
    <row r="19" spans="2:12" hidden="1" x14ac:dyDescent="0.3">
      <c r="B19" s="9"/>
      <c r="G19" s="75"/>
      <c r="H19" s="37"/>
    </row>
    <row r="20" spans="2:12" ht="15" hidden="1" x14ac:dyDescent="0.3">
      <c r="B20" s="104" t="s">
        <v>30</v>
      </c>
      <c r="C20" s="104"/>
      <c r="D20" s="104"/>
      <c r="E20" s="104"/>
      <c r="F20" s="16"/>
      <c r="G20" s="16"/>
      <c r="H20" s="16"/>
      <c r="I20" s="16"/>
      <c r="J20" s="16"/>
      <c r="K20" s="16"/>
      <c r="L20" s="71" t="s">
        <v>136</v>
      </c>
    </row>
    <row r="21" spans="2:12" hidden="1" x14ac:dyDescent="0.3">
      <c r="B21" s="9"/>
      <c r="G21" s="75"/>
      <c r="H21" s="37"/>
    </row>
    <row r="22" spans="2:12" ht="15" hidden="1" x14ac:dyDescent="0.3">
      <c r="B22" s="104" t="s">
        <v>127</v>
      </c>
      <c r="C22" s="104"/>
      <c r="D22" s="104"/>
      <c r="E22" s="104"/>
      <c r="F22" s="16"/>
      <c r="G22" s="16"/>
      <c r="H22" s="16"/>
      <c r="I22" s="16"/>
      <c r="J22" s="16"/>
      <c r="K22" s="16"/>
      <c r="L22" s="71" t="s">
        <v>136</v>
      </c>
    </row>
    <row r="23" spans="2:12" hidden="1" x14ac:dyDescent="0.3">
      <c r="B23" s="9"/>
      <c r="G23" s="75"/>
      <c r="H23" s="37"/>
    </row>
    <row r="24" spans="2:12" ht="15" hidden="1" x14ac:dyDescent="0.3">
      <c r="B24" s="104" t="s">
        <v>128</v>
      </c>
      <c r="C24" s="104"/>
      <c r="D24" s="104"/>
      <c r="E24" s="104"/>
      <c r="F24" s="16"/>
      <c r="G24" s="16"/>
      <c r="H24" s="16"/>
      <c r="I24" s="16"/>
      <c r="J24" s="16"/>
      <c r="K24" s="16"/>
      <c r="L24" s="71" t="s">
        <v>136</v>
      </c>
    </row>
    <row r="25" spans="2:12" hidden="1" x14ac:dyDescent="0.3">
      <c r="B25" s="9"/>
      <c r="G25" s="75"/>
      <c r="H25" s="37"/>
    </row>
    <row r="26" spans="2:12" ht="15" hidden="1" x14ac:dyDescent="0.3">
      <c r="B26" s="104" t="s">
        <v>129</v>
      </c>
      <c r="C26" s="104"/>
      <c r="D26" s="104"/>
      <c r="E26" s="104"/>
      <c r="F26" s="16"/>
      <c r="G26" s="16"/>
      <c r="H26" s="16"/>
      <c r="I26" s="16"/>
      <c r="J26" s="16"/>
      <c r="K26" s="16"/>
      <c r="L26" s="71" t="s">
        <v>136</v>
      </c>
    </row>
    <row r="27" spans="2:12" hidden="1" x14ac:dyDescent="0.3">
      <c r="B27" s="9"/>
      <c r="G27" s="75"/>
      <c r="H27" s="37"/>
    </row>
    <row r="28" spans="2:12" ht="15" hidden="1" x14ac:dyDescent="0.3">
      <c r="B28" s="104" t="s">
        <v>130</v>
      </c>
      <c r="C28" s="104"/>
      <c r="D28" s="104"/>
      <c r="E28" s="104"/>
      <c r="F28" s="16"/>
      <c r="G28" s="16"/>
      <c r="H28" s="16"/>
      <c r="I28" s="16"/>
      <c r="J28" s="16"/>
      <c r="K28" s="16"/>
      <c r="L28" s="71" t="s">
        <v>136</v>
      </c>
    </row>
    <row r="29" spans="2:12" hidden="1" x14ac:dyDescent="0.3">
      <c r="B29" s="9"/>
      <c r="G29" s="75"/>
      <c r="H29" s="37"/>
    </row>
    <row r="30" spans="2:12" ht="15" hidden="1" x14ac:dyDescent="0.3">
      <c r="B30" s="104" t="s">
        <v>131</v>
      </c>
      <c r="C30" s="104"/>
      <c r="D30" s="104"/>
      <c r="E30" s="104"/>
      <c r="F30" s="16"/>
      <c r="G30" s="16"/>
      <c r="H30" s="16"/>
      <c r="I30" s="16"/>
      <c r="J30" s="16"/>
      <c r="K30" s="16"/>
      <c r="L30" s="71" t="s">
        <v>136</v>
      </c>
    </row>
    <row r="31" spans="2:12" hidden="1" x14ac:dyDescent="0.3">
      <c r="B31" s="9"/>
      <c r="G31" s="75"/>
      <c r="H31" s="37"/>
    </row>
    <row r="32" spans="2:12" ht="15" x14ac:dyDescent="0.3">
      <c r="B32" s="104" t="s">
        <v>132</v>
      </c>
      <c r="C32" s="104"/>
      <c r="D32" s="104"/>
      <c r="E32" s="104"/>
      <c r="F32" s="16"/>
      <c r="G32" s="16"/>
      <c r="H32" s="16"/>
      <c r="I32" s="16"/>
      <c r="J32" s="16"/>
      <c r="K32" s="16"/>
      <c r="L32" s="71" t="s">
        <v>136</v>
      </c>
    </row>
    <row r="33" spans="2:10" x14ac:dyDescent="0.3">
      <c r="B33" s="9" t="s">
        <v>154</v>
      </c>
      <c r="C33" s="71" t="s">
        <v>133</v>
      </c>
      <c r="G33" s="75"/>
      <c r="H33" s="37" t="s">
        <v>134</v>
      </c>
      <c r="J33" s="71" t="s">
        <v>160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2:E15 E17:E21">
    <cfRule type="expression" dxfId="42" priority="55">
      <formula>IF(ISBLANK($D12), FALSE, IF(RedGreen_Formatting = "Enabled", $D12 &lt;= $E12 + Percent_Error, FALSE))</formula>
    </cfRule>
    <cfRule type="expression" dxfId="41" priority="56">
      <formula>IF(ISBLANK($D12), FALSE, IF(RedGreen_Formatting = "Enabled", $D12 &gt; $E12 + Percent_Error, FALSE))</formula>
    </cfRule>
  </conditionalFormatting>
  <conditionalFormatting sqref="E22">
    <cfRule type="expression" dxfId="40" priority="53">
      <formula>IF(ISBLANK($D22), FALSE, IF(RedGreen_Formatting = "Enabled", $D22 &lt;= $E22 + Percent_Error, FALSE))</formula>
    </cfRule>
    <cfRule type="expression" dxfId="39" priority="54">
      <formula>IF(ISBLANK($D22), FALSE, IF(RedGreen_Formatting = "Enabled", $D22 &gt; $E22 + Percent_Error, FALSE))</formula>
    </cfRule>
  </conditionalFormatting>
  <conditionalFormatting sqref="E24">
    <cfRule type="expression" dxfId="38" priority="51">
      <formula>IF(ISBLANK($D24), FALSE, IF(RedGreen_Formatting = "Enabled", $D24 &lt;= $E24 + Percent_Error, FALSE))</formula>
    </cfRule>
    <cfRule type="expression" dxfId="37" priority="52">
      <formula>IF(ISBLANK($D24), FALSE, IF(RedGreen_Formatting = "Enabled", $D24 &gt; $E24 + Percent_Error, FALSE))</formula>
    </cfRule>
  </conditionalFormatting>
  <conditionalFormatting sqref="E26">
    <cfRule type="expression" dxfId="36" priority="49">
      <formula>IF(ISBLANK($D26), FALSE, IF(RedGreen_Formatting = "Enabled", $D26 &lt;= $E26 + Percent_Error, FALSE))</formula>
    </cfRule>
    <cfRule type="expression" dxfId="35" priority="50">
      <formula>IF(ISBLANK($D26), FALSE, IF(RedGreen_Formatting = "Enabled", $D26 &gt; $E26 + Percent_Error, FALSE))</formula>
    </cfRule>
  </conditionalFormatting>
  <conditionalFormatting sqref="E28">
    <cfRule type="expression" dxfId="34" priority="47">
      <formula>IF(ISBLANK($D28), FALSE, IF(RedGreen_Formatting = "Enabled", $D28 &lt;= $E28 + Percent_Error, FALSE))</formula>
    </cfRule>
    <cfRule type="expression" dxfId="33" priority="48">
      <formula>IF(ISBLANK($D28), FALSE, IF(RedGreen_Formatting = "Enabled", $D28 &gt; $E28 + Percent_Error, FALSE))</formula>
    </cfRule>
  </conditionalFormatting>
  <conditionalFormatting sqref="E30">
    <cfRule type="expression" dxfId="32" priority="45">
      <formula>IF(ISBLANK($D30), FALSE, IF(RedGreen_Formatting = "Enabled", $D30 &lt;= $E30 + Percent_Error, FALSE))</formula>
    </cfRule>
    <cfRule type="expression" dxfId="31" priority="46">
      <formula>IF(ISBLANK($D30), FALSE, IF(RedGreen_Formatting = "Enabled", $D30 &gt; $E30 + Percent_Error, FALSE))</formula>
    </cfRule>
  </conditionalFormatting>
  <conditionalFormatting sqref="E32">
    <cfRule type="expression" dxfId="30" priority="43">
      <formula>IF(ISBLANK($D32), FALSE, IF(RedGreen_Formatting = "Enabled", $D32 &lt;= $E32 + Percent_Error, FALSE))</formula>
    </cfRule>
    <cfRule type="expression" dxfId="29" priority="44">
      <formula>IF(ISBLANK($D32), FALSE, IF(RedGreen_Formatting = "Enabled", $D32 &gt; $E32 + Percent_Error, FALSE))</formula>
    </cfRule>
  </conditionalFormatting>
  <conditionalFormatting sqref="E34">
    <cfRule type="expression" dxfId="28" priority="25">
      <formula>IF(ISBLANK($D34), FALSE, IF(RedGreen_Formatting = "Enabled", $D34 &lt;= $E34 + Percent_Error, FALSE))</formula>
    </cfRule>
    <cfRule type="expression" dxfId="27" priority="26">
      <formula>IF(ISBLANK($D34), FALSE, IF(RedGreen_Formatting = "Enabled", $D34 &gt; $E34 + Percent_Error, FALSE))</formula>
    </cfRule>
  </conditionalFormatting>
  <conditionalFormatting sqref="E33">
    <cfRule type="expression" dxfId="26" priority="5">
      <formula>IF(ISBLANK($D33), FALSE, IF(RedGreen_Formatting = "Enabled", $D33 &lt;= $E33 + Percent_Error, FALSE))</formula>
    </cfRule>
    <cfRule type="expression" dxfId="25" priority="6">
      <formula>IF(ISBLANK($D33), FALSE, IF(RedGreen_Formatting = "Enabled", $D33 &gt; $E33 + Percent_Error, FALSE))</formula>
    </cfRule>
  </conditionalFormatting>
  <conditionalFormatting sqref="E16">
    <cfRule type="expression" dxfId="24" priority="3">
      <formula>IF(ISBLANK($D16), FALSE, IF(RedGreen_Formatting = "Enabled", $D16 &lt;= $E16 + Percent_Error, FALSE))</formula>
    </cfRule>
    <cfRule type="expression" dxfId="23" priority="4">
      <formula>IF(ISBLANK($D16), FALSE, IF(RedGreen_Formatting = "Enabled", $D16 &gt; $E16 + Percent_Error, FALSE))</formula>
    </cfRule>
  </conditionalFormatting>
  <conditionalFormatting sqref="I16">
    <cfRule type="cellIs" dxfId="22" priority="2" operator="equal">
      <formula>"Ready"</formula>
    </cfRule>
    <cfRule type="cellIs" dxfId="21" priority="1" operator="equal">
      <formula>"Not Ready"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8" t="s">
        <v>80</v>
      </c>
      <c r="AB1" s="79"/>
    </row>
    <row r="2" spans="2:49" ht="14" customHeight="1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0000</v>
      </c>
      <c r="T2" s="17" t="s">
        <v>59</v>
      </c>
      <c r="U2" s="27" t="b">
        <v>1</v>
      </c>
      <c r="AA2" s="53"/>
      <c r="AB2" s="54"/>
    </row>
    <row r="3" spans="2:49" ht="14" customHeight="1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AA3" s="53"/>
      <c r="AB3" s="54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MIN(Input_0000[Start Date])+(7-WEEKDAY(MIN(Input_0000[Start Date]),2)+_xlfn.SWITCH(Reporting_Day, "Sunday", 7, "Monday", 1, "Tuesday", 2, "Wednesday", 3, "Thursday", 4, "Friday", 5, "Saturday", 6))</f>
        <v>44048</v>
      </c>
      <c r="T4" s="17" t="s">
        <v>61</v>
      </c>
      <c r="U4" s="27" t="b">
        <v>1</v>
      </c>
      <c r="AA4" s="53"/>
      <c r="AB4" s="54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</v>
      </c>
      <c r="R5" s="17" t="s">
        <v>79</v>
      </c>
      <c r="S5" s="24">
        <f>MAX(Input_0000[Finish Date])+(7-WEEKDAY(MAX(Input_0000[Finish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97" t="e">
        <f>Main!#REF!</f>
        <v>#REF!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1068</v>
      </c>
      <c r="O6" s="29">
        <f ca="1">SUM(INDIRECT("Output_"&amp;$S$2&amp;"[Weekly Plan]"))</f>
        <v>1053.1999999999998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  <c r="AD6" s="38"/>
    </row>
    <row r="7" spans="2:49" ht="15.5" thickBot="1" x14ac:dyDescent="0.35">
      <c r="B7" s="21" t="s">
        <v>44</v>
      </c>
      <c r="C7" s="97" t="e">
        <f>RIGHT(Main!#REF!, LEN(Main!#REF!) - 4)</f>
        <v>#REF!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 t="e">
        <f ca="1">VLOOKUP($S$3, INDIRECT("Output_"&amp;$S$2), 5, FALSE)</f>
        <v>#N/A</v>
      </c>
      <c r="O7" s="29">
        <f ca="1">_xlfn.IFNA(VLOOKUP($S$3, INDIRECT("Output_"&amp;$S$2), 6, FALSE), 0)</f>
        <v>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</row>
    <row r="8" spans="2:49" ht="15" x14ac:dyDescent="0.3">
      <c r="B8" s="30"/>
      <c r="C8" s="52"/>
      <c r="D8" s="52"/>
      <c r="E8" s="52"/>
      <c r="F8" s="52"/>
      <c r="G8" s="52"/>
      <c r="H8" s="52"/>
      <c r="I8" s="52"/>
      <c r="J8" s="90" t="str">
        <f>_xlfn.CONCAT("This Week's Production (", IF(ISBLANK($S$6),"",$S$6), ")")</f>
        <v>This Week's Production (Count)</v>
      </c>
      <c r="K8" s="90"/>
      <c r="L8" s="90"/>
      <c r="M8" s="90"/>
      <c r="N8" s="28" t="e">
        <f ca="1">VLOOKUP($S$3, INDIRECT("Output_"&amp;$S$2), 3, FALSE)</f>
        <v>#N/A</v>
      </c>
      <c r="O8" s="29" t="e">
        <f ca="1">VLOOKUP($S$3, INDIRECT("Output_"&amp;$S$2), 4, FALSE)</f>
        <v>#N/A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52"/>
      <c r="D9" s="52"/>
      <c r="E9" s="52"/>
      <c r="F9" s="52"/>
      <c r="G9" s="52"/>
      <c r="H9" s="52"/>
      <c r="I9" s="52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45.791304347826078</v>
      </c>
      <c r="O9" s="33" t="e">
        <f ca="1">AVERAGE(INDIRECT("AD14:AD" &amp;MATCH($S$3,INDIRECT("Output_"&amp;$S$2&amp;"[Date]"),0)+13))</f>
        <v>#N/A</v>
      </c>
      <c r="T9" s="17" t="s">
        <v>114</v>
      </c>
      <c r="U9" s="27"/>
    </row>
    <row r="10" spans="2:49" ht="15" x14ac:dyDescent="0.3">
      <c r="B10" s="30"/>
      <c r="C10" s="52"/>
      <c r="D10" s="52"/>
      <c r="E10" s="52"/>
      <c r="F10" s="52"/>
      <c r="G10" s="52"/>
      <c r="H10" s="52"/>
      <c r="I10" s="52"/>
      <c r="J10" s="90" t="str">
        <f>_xlfn.CONCAT("Average Past 4 Weeks (", IF(ISBLANK($S$6),"",$S$6), ")")</f>
        <v>Average Past 4 Weeks (Count)</v>
      </c>
      <c r="K10" s="90"/>
      <c r="L10" s="90"/>
      <c r="M10" s="90"/>
      <c r="N10" s="32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33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17" t="s">
        <v>115</v>
      </c>
      <c r="U10" s="62"/>
    </row>
    <row r="11" spans="2:49" ht="15" x14ac:dyDescent="0.3">
      <c r="B11" s="30"/>
      <c r="C11" s="52"/>
      <c r="D11" s="52"/>
      <c r="E11" s="52"/>
      <c r="F11" s="52"/>
      <c r="G11" s="52"/>
      <c r="H11" s="52"/>
      <c r="I11" s="52"/>
      <c r="J11" s="90" t="str">
        <f>_xlfn.CONCAT("On Schedule Average (", IF(ISBLANK($S$6),"",$S$6), ")")</f>
        <v>On Schedule Average (Count)</v>
      </c>
      <c r="K11" s="90"/>
      <c r="L11" s="90"/>
      <c r="M11" s="90"/>
      <c r="N11" s="32"/>
      <c r="O11" s="33"/>
    </row>
    <row r="12" spans="2:49" ht="15" x14ac:dyDescent="0.3">
      <c r="B12" s="30"/>
      <c r="C12" s="52"/>
      <c r="D12" s="52"/>
      <c r="E12" s="52"/>
      <c r="F12" s="52"/>
      <c r="G12" s="52"/>
      <c r="H12" s="52"/>
      <c r="I12" s="52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52"/>
      <c r="D13" s="52"/>
      <c r="E13" s="52"/>
      <c r="F13" s="52"/>
      <c r="G13" s="52"/>
      <c r="H13" s="52"/>
      <c r="I13" s="52"/>
      <c r="J13" s="80" t="s">
        <v>46</v>
      </c>
      <c r="K13" s="80"/>
      <c r="L13" s="80"/>
      <c r="M13" s="80"/>
      <c r="N13" s="81"/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52"/>
      <c r="D14" s="52"/>
      <c r="E14" s="52"/>
      <c r="F14" s="52"/>
      <c r="G14" s="52"/>
      <c r="H14" s="52"/>
      <c r="I14" s="52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8">
        <v>148</v>
      </c>
      <c r="X14" s="8">
        <v>12</v>
      </c>
      <c r="AA14" s="47">
        <f t="shared" ref="AA14" si="0">IF(AA13 = "Date", $S$4, AA13+7)</f>
        <v>44048</v>
      </c>
      <c r="AB14" s="49" t="str">
        <f t="shared" ref="AB14:AB36" ca="1" si="1">PrimaryAreas(8)</f>
        <v>ABC</v>
      </c>
      <c r="AC1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1">
        <f ca="1">SUM($AC$14:AC14)</f>
        <v>74</v>
      </c>
      <c r="AF14" s="51" t="e">
        <f>IF(AD14="",NA(),SUM($AD$14:AD14))</f>
        <v>#N/A</v>
      </c>
      <c r="AG14" s="51">
        <f ca="1">WeeklyPlanned(Output_0000[[#Headers],[WP_ABC]], Output_0000[[#This Row],[Date]])</f>
        <v>74</v>
      </c>
      <c r="AH14" s="51"/>
      <c r="AI14" s="51" t="str">
        <f ca="1">WeeklyPlanned(Output_0000[[#Headers],[WP_ACS]], Output_0000[[#This Row],[Date]])</f>
        <v/>
      </c>
      <c r="AJ14" s="51"/>
      <c r="AK14" s="51" t="str">
        <f ca="1">WeeklyPlanned(Output_0000[[#Headers],[WP_AL1]], Output_0000[[#This Row],[Date]])</f>
        <v/>
      </c>
      <c r="AL14" s="51"/>
      <c r="AM14" s="51" t="str">
        <f ca="1">WeeklyPlanned(Output_0000[[#Headers],[WP_HBase]], Output_0000[[#This Row],[Date]])</f>
        <v/>
      </c>
      <c r="AN14" s="51"/>
      <c r="AO14" s="51" t="str">
        <f ca="1">WeeklyPlanned(Output_0000[[#Headers],[WP_HWST]], Output_0000[[#This Row],[Date]])</f>
        <v/>
      </c>
      <c r="AP14" s="51"/>
      <c r="AQ14" s="51" t="str">
        <f ca="1">WeeklyPlanned(Output_0000[[#Headers],[WP_HWSR]], Output_0000[[#This Row],[Date]])</f>
        <v/>
      </c>
      <c r="AR14" s="51"/>
      <c r="AS14" s="51" t="str">
        <f ca="1">WeeklyPlanned(Output_0000[[#Headers],[WP_HL2]], Output_0000[[#This Row],[Date]])</f>
        <v/>
      </c>
      <c r="AT14" s="51"/>
      <c r="AU14" s="51" t="str">
        <f ca="1">WeeklyPlanned(Output_0000[[#Headers],[WP_HBCeil]], Output_0000[[#This Row],[Date]])</f>
        <v/>
      </c>
      <c r="AV14" s="51"/>
    </row>
    <row r="15" spans="2:49" ht="16" thickBot="1" x14ac:dyDescent="0.4">
      <c r="B15" s="30"/>
      <c r="C15" s="52"/>
      <c r="D15" s="52"/>
      <c r="E15" s="52"/>
      <c r="F15" s="52"/>
      <c r="G15" s="52"/>
      <c r="H15" s="52"/>
      <c r="I15" s="52"/>
      <c r="J15" s="39"/>
      <c r="K15" s="39"/>
      <c r="L15" s="88"/>
      <c r="M15" s="88"/>
      <c r="N15" s="88"/>
      <c r="O15" s="8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8">
        <v>102</v>
      </c>
      <c r="X15" s="8">
        <v>0</v>
      </c>
      <c r="AA15" s="47">
        <f t="shared" ref="AA15:AA20" si="2">IF(AA14 = "Date", $S$4, AA14+7)</f>
        <v>44055</v>
      </c>
      <c r="AB15" s="49" t="str">
        <f t="shared" ca="1" si="1"/>
        <v>ABC</v>
      </c>
      <c r="AC1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1">
        <f ca="1">SUM($AC$14:AC15)</f>
        <v>133.19999999999999</v>
      </c>
      <c r="AF15" s="51" t="e">
        <f>IF(AD15="",NA(),SUM($AD$14:AD15))</f>
        <v>#N/A</v>
      </c>
      <c r="AG15" s="51">
        <f ca="1">WeeklyPlanned(Output_0000[[#Headers],[WP_ABC]], Output_0000[[#This Row],[Date]])</f>
        <v>59.2</v>
      </c>
      <c r="AH15" s="51"/>
      <c r="AI15" s="51" t="str">
        <f ca="1">WeeklyPlanned(Output_0000[[#Headers],[WP_ACS]], Output_0000[[#This Row],[Date]])</f>
        <v/>
      </c>
      <c r="AJ15" s="51"/>
      <c r="AK15" s="51" t="str">
        <f ca="1">WeeklyPlanned(Output_0000[[#Headers],[WP_AL1]], Output_0000[[#This Row],[Date]])</f>
        <v/>
      </c>
      <c r="AL15" s="51"/>
      <c r="AM15" s="51" t="str">
        <f ca="1">WeeklyPlanned(Output_0000[[#Headers],[WP_HBase]], Output_0000[[#This Row],[Date]])</f>
        <v/>
      </c>
      <c r="AN15" s="51"/>
      <c r="AO15" s="51" t="str">
        <f ca="1">WeeklyPlanned(Output_0000[[#Headers],[WP_HWST]], Output_0000[[#This Row],[Date]])</f>
        <v/>
      </c>
      <c r="AP15" s="51"/>
      <c r="AQ15" s="51" t="str">
        <f ca="1">WeeklyPlanned(Output_0000[[#Headers],[WP_HWSR]], Output_0000[[#This Row],[Date]])</f>
        <v/>
      </c>
      <c r="AR15" s="51"/>
      <c r="AS15" s="51" t="str">
        <f ca="1">WeeklyPlanned(Output_0000[[#Headers],[WP_HL2]], Output_0000[[#This Row],[Date]])</f>
        <v/>
      </c>
      <c r="AT15" s="51"/>
      <c r="AU15" s="51" t="str">
        <f ca="1">WeeklyPlanned(Output_0000[[#Headers],[WP_HBCeil]], Output_0000[[#This Row],[Date]])</f>
        <v/>
      </c>
      <c r="AV15" s="51"/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8">
        <v>279</v>
      </c>
      <c r="X16" s="8">
        <v>0</v>
      </c>
      <c r="AA16" s="47">
        <f t="shared" si="2"/>
        <v>44062</v>
      </c>
      <c r="AB16" s="49">
        <f t="shared" ca="1" si="1"/>
        <v>0</v>
      </c>
      <c r="AC1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1">
        <f ca="1">SUM($AC$14:AC16)</f>
        <v>133.19999999999999</v>
      </c>
      <c r="AF16" s="51" t="e">
        <f>IF(AD16="",NA(),SUM($AD$14:AD16))</f>
        <v>#N/A</v>
      </c>
      <c r="AG16" s="51" t="str">
        <f ca="1">WeeklyPlanned(Output_0000[[#Headers],[WP_ABC]], Output_0000[[#This Row],[Date]])</f>
        <v/>
      </c>
      <c r="AH16" s="51"/>
      <c r="AI16" s="51" t="str">
        <f ca="1">WeeklyPlanned(Output_0000[[#Headers],[WP_ACS]], Output_0000[[#This Row],[Date]])</f>
        <v/>
      </c>
      <c r="AJ16" s="51"/>
      <c r="AK16" s="51" t="str">
        <f ca="1">WeeklyPlanned(Output_0000[[#Headers],[WP_AL1]], Output_0000[[#This Row],[Date]])</f>
        <v/>
      </c>
      <c r="AL16" s="51"/>
      <c r="AM16" s="51" t="str">
        <f ca="1">WeeklyPlanned(Output_0000[[#Headers],[WP_HBase]], Output_0000[[#This Row],[Date]])</f>
        <v/>
      </c>
      <c r="AN16" s="51"/>
      <c r="AO16" s="51" t="str">
        <f ca="1">WeeklyPlanned(Output_0000[[#Headers],[WP_HWST]], Output_0000[[#This Row],[Date]])</f>
        <v/>
      </c>
      <c r="AP16" s="51"/>
      <c r="AQ16" s="51" t="str">
        <f ca="1">WeeklyPlanned(Output_0000[[#Headers],[WP_HWSR]], Output_0000[[#This Row],[Date]])</f>
        <v/>
      </c>
      <c r="AR16" s="51"/>
      <c r="AS16" s="51" t="str">
        <f ca="1">WeeklyPlanned(Output_0000[[#Headers],[WP_HL2]], Output_0000[[#This Row],[Date]])</f>
        <v/>
      </c>
      <c r="AT16" s="51"/>
      <c r="AU16" s="51" t="str">
        <f ca="1">WeeklyPlanned(Output_0000[[#Headers],[WP_HBCeil]], Output_0000[[#This Row],[Date]])</f>
        <v/>
      </c>
      <c r="AV16" s="51"/>
    </row>
    <row r="17" spans="2:48" ht="15.5" x14ac:dyDescent="0.35">
      <c r="B17" s="30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43"/>
      <c r="R17" s="58"/>
      <c r="S17" s="59" t="s">
        <v>140</v>
      </c>
      <c r="T17" s="59" t="s">
        <v>95</v>
      </c>
      <c r="U17" s="60">
        <v>44131</v>
      </c>
      <c r="V17" s="60">
        <v>44140</v>
      </c>
      <c r="W17" s="61">
        <v>132</v>
      </c>
      <c r="X17" s="61">
        <v>0</v>
      </c>
      <c r="AA17" s="47">
        <f t="shared" si="2"/>
        <v>44069</v>
      </c>
      <c r="AB17" s="49">
        <f t="shared" ca="1" si="1"/>
        <v>0</v>
      </c>
      <c r="AC1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1">
        <f ca="1">SUM($AC$14:AC17)</f>
        <v>133.19999999999999</v>
      </c>
      <c r="AF17" s="51" t="e">
        <f>IF(AD17="",NA(),SUM($AD$14:AD17))</f>
        <v>#N/A</v>
      </c>
      <c r="AG17" s="51" t="str">
        <f ca="1">WeeklyPlanned(Output_0000[[#Headers],[WP_ABC]], Output_0000[[#This Row],[Date]])</f>
        <v/>
      </c>
      <c r="AH17" s="51"/>
      <c r="AI17" s="51" t="str">
        <f ca="1">WeeklyPlanned(Output_0000[[#Headers],[WP_ACS]], Output_0000[[#This Row],[Date]])</f>
        <v/>
      </c>
      <c r="AJ17" s="51"/>
      <c r="AK17" s="51" t="str">
        <f ca="1">WeeklyPlanned(Output_0000[[#Headers],[WP_AL1]], Output_0000[[#This Row],[Date]])</f>
        <v/>
      </c>
      <c r="AL17" s="51"/>
      <c r="AM17" s="51" t="str">
        <f ca="1">WeeklyPlanned(Output_0000[[#Headers],[WP_HBase]], Output_0000[[#This Row],[Date]])</f>
        <v/>
      </c>
      <c r="AN17" s="51"/>
      <c r="AO17" s="51" t="str">
        <f ca="1">WeeklyPlanned(Output_0000[[#Headers],[WP_HWST]], Output_0000[[#This Row],[Date]])</f>
        <v/>
      </c>
      <c r="AP17" s="51"/>
      <c r="AQ17" s="51" t="str">
        <f ca="1">WeeklyPlanned(Output_0000[[#Headers],[WP_HWSR]], Output_0000[[#This Row],[Date]])</f>
        <v/>
      </c>
      <c r="AR17" s="51"/>
      <c r="AS17" s="51" t="str">
        <f ca="1">WeeklyPlanned(Output_0000[[#Headers],[WP_HL2]], Output_0000[[#This Row],[Date]])</f>
        <v/>
      </c>
      <c r="AT17" s="51"/>
      <c r="AU17" s="51" t="str">
        <f ca="1">WeeklyPlanned(Output_0000[[#Headers],[WP_HBCeil]], Output_0000[[#This Row],[Date]])</f>
        <v/>
      </c>
      <c r="AV17" s="51"/>
    </row>
    <row r="18" spans="2:48" ht="15.5" x14ac:dyDescent="0.35">
      <c r="B18" s="30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43"/>
      <c r="R18" s="58"/>
      <c r="S18" s="59" t="s">
        <v>144</v>
      </c>
      <c r="T18" s="59" t="s">
        <v>96</v>
      </c>
      <c r="U18" s="60">
        <v>44113</v>
      </c>
      <c r="V18" s="60">
        <v>44181</v>
      </c>
      <c r="W18" s="61">
        <v>103</v>
      </c>
      <c r="X18" s="61">
        <v>0</v>
      </c>
      <c r="AA18" s="47">
        <f t="shared" si="2"/>
        <v>44076</v>
      </c>
      <c r="AB18" s="49">
        <f t="shared" ca="1" si="1"/>
        <v>0</v>
      </c>
      <c r="AC1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1">
        <f ca="1">SUM($AC$14:AC18)</f>
        <v>133.19999999999999</v>
      </c>
      <c r="AF18" s="51" t="e">
        <f>IF(AD18="",NA(),SUM($AD$14:AD18))</f>
        <v>#N/A</v>
      </c>
      <c r="AG18" s="51" t="str">
        <f ca="1">WeeklyPlanned(Output_0000[[#Headers],[WP_ABC]], Output_0000[[#This Row],[Date]])</f>
        <v/>
      </c>
      <c r="AH18" s="51"/>
      <c r="AI18" s="51" t="str">
        <f ca="1">WeeklyPlanned(Output_0000[[#Headers],[WP_ACS]], Output_0000[[#This Row],[Date]])</f>
        <v/>
      </c>
      <c r="AJ18" s="51"/>
      <c r="AK18" s="51" t="str">
        <f ca="1">WeeklyPlanned(Output_0000[[#Headers],[WP_AL1]], Output_0000[[#This Row],[Date]])</f>
        <v/>
      </c>
      <c r="AL18" s="51"/>
      <c r="AM18" s="51" t="str">
        <f ca="1">WeeklyPlanned(Output_0000[[#Headers],[WP_HBase]], Output_0000[[#This Row],[Date]])</f>
        <v/>
      </c>
      <c r="AN18" s="51"/>
      <c r="AO18" s="51" t="str">
        <f ca="1">WeeklyPlanned(Output_0000[[#Headers],[WP_HWST]], Output_0000[[#This Row],[Date]])</f>
        <v/>
      </c>
      <c r="AP18" s="51"/>
      <c r="AQ18" s="51" t="str">
        <f ca="1">WeeklyPlanned(Output_0000[[#Headers],[WP_HWSR]], Output_0000[[#This Row],[Date]])</f>
        <v/>
      </c>
      <c r="AR18" s="51"/>
      <c r="AS18" s="51" t="str">
        <f ca="1">WeeklyPlanned(Output_0000[[#Headers],[WP_HL2]], Output_0000[[#This Row],[Date]])</f>
        <v/>
      </c>
      <c r="AT18" s="51"/>
      <c r="AU18" s="51" t="str">
        <f ca="1">WeeklyPlanned(Output_0000[[#Headers],[WP_HBCeil]], Output_0000[[#This Row],[Date]])</f>
        <v/>
      </c>
      <c r="AV18" s="51"/>
    </row>
    <row r="19" spans="2:48" ht="15.5" x14ac:dyDescent="0.35">
      <c r="B19" s="30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43"/>
      <c r="R19" s="58"/>
      <c r="S19" s="59" t="s">
        <v>143</v>
      </c>
      <c r="T19" s="59" t="s">
        <v>97</v>
      </c>
      <c r="U19" s="60">
        <v>44182</v>
      </c>
      <c r="V19" s="60">
        <v>44195</v>
      </c>
      <c r="W19" s="61">
        <v>30</v>
      </c>
      <c r="X19" s="61">
        <v>0</v>
      </c>
      <c r="AA19" s="47">
        <f t="shared" si="2"/>
        <v>44083</v>
      </c>
      <c r="AB19" s="49">
        <f t="shared" ca="1" si="1"/>
        <v>0</v>
      </c>
      <c r="AC1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1">
        <f ca="1">SUM($AC$14:AC19)</f>
        <v>133.19999999999999</v>
      </c>
      <c r="AF19" s="51" t="e">
        <f>IF(AD19="",NA(),SUM($AD$14:AD19))</f>
        <v>#N/A</v>
      </c>
      <c r="AG19" s="51" t="str">
        <f ca="1">WeeklyPlanned(Output_0000[[#Headers],[WP_ABC]], Output_0000[[#This Row],[Date]])</f>
        <v/>
      </c>
      <c r="AH19" s="51"/>
      <c r="AI19" s="51" t="str">
        <f ca="1">WeeklyPlanned(Output_0000[[#Headers],[WP_ACS]], Output_0000[[#This Row],[Date]])</f>
        <v/>
      </c>
      <c r="AJ19" s="51"/>
      <c r="AK19" s="51" t="str">
        <f ca="1">WeeklyPlanned(Output_0000[[#Headers],[WP_AL1]], Output_0000[[#This Row],[Date]])</f>
        <v/>
      </c>
      <c r="AL19" s="51"/>
      <c r="AM19" s="51" t="str">
        <f ca="1">WeeklyPlanned(Output_0000[[#Headers],[WP_HBase]], Output_0000[[#This Row],[Date]])</f>
        <v/>
      </c>
      <c r="AN19" s="51"/>
      <c r="AO19" s="51" t="str">
        <f ca="1">WeeklyPlanned(Output_0000[[#Headers],[WP_HWST]], Output_0000[[#This Row],[Date]])</f>
        <v/>
      </c>
      <c r="AP19" s="51"/>
      <c r="AQ19" s="51" t="str">
        <f ca="1">WeeklyPlanned(Output_0000[[#Headers],[WP_HWSR]], Output_0000[[#This Row],[Date]])</f>
        <v/>
      </c>
      <c r="AR19" s="51"/>
      <c r="AS19" s="51" t="str">
        <f ca="1">WeeklyPlanned(Output_0000[[#Headers],[WP_HL2]], Output_0000[[#This Row],[Date]])</f>
        <v/>
      </c>
      <c r="AT19" s="51"/>
      <c r="AU19" s="51" t="str">
        <f ca="1">WeeklyPlanned(Output_0000[[#Headers],[WP_HBCeil]], Output_0000[[#This Row],[Date]])</f>
        <v/>
      </c>
      <c r="AV19" s="51"/>
    </row>
    <row r="20" spans="2:48" ht="15.5" x14ac:dyDescent="0.35">
      <c r="B20" s="30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43"/>
      <c r="R20" s="58"/>
      <c r="S20" s="59" t="s">
        <v>142</v>
      </c>
      <c r="T20" s="59" t="s">
        <v>98</v>
      </c>
      <c r="U20" s="60">
        <v>44109</v>
      </c>
      <c r="V20" s="60">
        <v>44127</v>
      </c>
      <c r="W20" s="61">
        <v>245</v>
      </c>
      <c r="X20" s="61">
        <v>0</v>
      </c>
      <c r="AA20" s="47">
        <f t="shared" si="2"/>
        <v>44090</v>
      </c>
      <c r="AB20" s="49" t="str">
        <f t="shared" ca="1" si="1"/>
        <v>HBCeil</v>
      </c>
      <c r="AC2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1">
        <f ca="1">SUM($AC$14:AC20)</f>
        <v>135.61666666666665</v>
      </c>
      <c r="AF20" s="51" t="e">
        <f>IF(AD20="",NA(),SUM($AD$14:AD20))</f>
        <v>#N/A</v>
      </c>
      <c r="AG20" s="51" t="str">
        <f ca="1">WeeklyPlanned(Output_0000[[#Headers],[WP_ABC]], Output_0000[[#This Row],[Date]])</f>
        <v/>
      </c>
      <c r="AH20" s="51"/>
      <c r="AI20" s="51" t="str">
        <f ca="1">WeeklyPlanned(Output_0000[[#Headers],[WP_ACS]], Output_0000[[#This Row],[Date]])</f>
        <v/>
      </c>
      <c r="AJ20" s="51"/>
      <c r="AK20" s="51" t="str">
        <f ca="1">WeeklyPlanned(Output_0000[[#Headers],[WP_AL1]], Output_0000[[#This Row],[Date]])</f>
        <v/>
      </c>
      <c r="AL20" s="51"/>
      <c r="AM20" s="51" t="str">
        <f ca="1">WeeklyPlanned(Output_0000[[#Headers],[WP_HBase]], Output_0000[[#This Row],[Date]])</f>
        <v/>
      </c>
      <c r="AN20" s="51"/>
      <c r="AO20" s="51" t="str">
        <f ca="1">WeeklyPlanned(Output_0000[[#Headers],[WP_HWST]], Output_0000[[#This Row],[Date]])</f>
        <v/>
      </c>
      <c r="AP20" s="51"/>
      <c r="AQ20" s="51" t="str">
        <f ca="1">WeeklyPlanned(Output_0000[[#Headers],[WP_HWSR]], Output_0000[[#This Row],[Date]])</f>
        <v/>
      </c>
      <c r="AR20" s="51"/>
      <c r="AS20" s="51" t="str">
        <f ca="1">WeeklyPlanned(Output_0000[[#Headers],[WP_HL2]], Output_0000[[#This Row],[Date]])</f>
        <v/>
      </c>
      <c r="AT20" s="51"/>
      <c r="AU20" s="51">
        <f ca="1">WeeklyPlanned(Output_0000[[#Headers],[WP_HBCeil]], Output_0000[[#This Row],[Date]])</f>
        <v>2.4166666666666665</v>
      </c>
      <c r="AV20" s="51"/>
    </row>
    <row r="21" spans="2:48" ht="15.5" x14ac:dyDescent="0.35">
      <c r="B21" s="30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43"/>
      <c r="R21" s="58"/>
      <c r="S21" s="59" t="s">
        <v>141</v>
      </c>
      <c r="T21" s="59" t="s">
        <v>99</v>
      </c>
      <c r="U21" s="60">
        <v>44089</v>
      </c>
      <c r="V21" s="60">
        <v>44104</v>
      </c>
      <c r="W21" s="61">
        <v>29</v>
      </c>
      <c r="X21" s="61">
        <v>0</v>
      </c>
      <c r="AA21" s="47">
        <f t="shared" ref="AA21:AA36" si="3">IF(AA20 = "Date", $S$4, AA20+7)</f>
        <v>44097</v>
      </c>
      <c r="AB21" s="49" t="str">
        <f t="shared" ca="1" si="1"/>
        <v>HBCeil</v>
      </c>
      <c r="AC2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1">
        <f ca="1">SUM($AC$14:AC21)</f>
        <v>147.69999999999999</v>
      </c>
      <c r="AF21" s="51" t="e">
        <f>IF(AD21="",NA(),SUM($AD$14:AD21))</f>
        <v>#N/A</v>
      </c>
      <c r="AG21" s="51" t="str">
        <f ca="1">WeeklyPlanned(Output_0000[[#Headers],[WP_ABC]], Output_0000[[#This Row],[Date]])</f>
        <v/>
      </c>
      <c r="AH21" s="51"/>
      <c r="AI21" s="51" t="str">
        <f ca="1">WeeklyPlanned(Output_0000[[#Headers],[WP_ACS]], Output_0000[[#This Row],[Date]])</f>
        <v/>
      </c>
      <c r="AJ21" s="51"/>
      <c r="AK21" s="51" t="str">
        <f ca="1">WeeklyPlanned(Output_0000[[#Headers],[WP_AL1]], Output_0000[[#This Row],[Date]])</f>
        <v/>
      </c>
      <c r="AL21" s="51"/>
      <c r="AM21" s="51" t="str">
        <f ca="1">WeeklyPlanned(Output_0000[[#Headers],[WP_HBase]], Output_0000[[#This Row],[Date]])</f>
        <v/>
      </c>
      <c r="AN21" s="51"/>
      <c r="AO21" s="51" t="str">
        <f ca="1">WeeklyPlanned(Output_0000[[#Headers],[WP_HWST]], Output_0000[[#This Row],[Date]])</f>
        <v/>
      </c>
      <c r="AP21" s="51"/>
      <c r="AQ21" s="51" t="str">
        <f ca="1">WeeklyPlanned(Output_0000[[#Headers],[WP_HWSR]], Output_0000[[#This Row],[Date]])</f>
        <v/>
      </c>
      <c r="AR21" s="51"/>
      <c r="AS21" s="51" t="str">
        <f ca="1">WeeklyPlanned(Output_0000[[#Headers],[WP_HL2]], Output_0000[[#This Row],[Date]])</f>
        <v/>
      </c>
      <c r="AT21" s="51"/>
      <c r="AU21" s="51">
        <f ca="1">WeeklyPlanned(Output_0000[[#Headers],[WP_HBCeil]], Output_0000[[#This Row],[Date]])</f>
        <v>12.083333333333332</v>
      </c>
      <c r="AV21" s="51"/>
    </row>
    <row r="22" spans="2:48" ht="15.5" x14ac:dyDescent="0.35">
      <c r="B22" s="30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43"/>
      <c r="AA22" s="47">
        <f t="shared" si="3"/>
        <v>44104</v>
      </c>
      <c r="AB22" s="49" t="str">
        <f t="shared" ca="1" si="1"/>
        <v>HBCeil</v>
      </c>
      <c r="AC2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1">
        <f ca="1">SUM($AC$14:AC22)</f>
        <v>159.78333333333333</v>
      </c>
      <c r="AF22" s="51" t="e">
        <f>IF(AD22="",NA(),SUM($AD$14:AD22))</f>
        <v>#N/A</v>
      </c>
      <c r="AG22" s="51" t="str">
        <f ca="1">WeeklyPlanned(Output_0000[[#Headers],[WP_ABC]], Output_0000[[#This Row],[Date]])</f>
        <v/>
      </c>
      <c r="AH22" s="51"/>
      <c r="AI22" s="51" t="str">
        <f ca="1">WeeklyPlanned(Output_0000[[#Headers],[WP_ACS]], Output_0000[[#This Row],[Date]])</f>
        <v/>
      </c>
      <c r="AJ22" s="51"/>
      <c r="AK22" s="51" t="str">
        <f ca="1">WeeklyPlanned(Output_0000[[#Headers],[WP_AL1]], Output_0000[[#This Row],[Date]])</f>
        <v/>
      </c>
      <c r="AL22" s="51"/>
      <c r="AM22" s="51" t="str">
        <f ca="1">WeeklyPlanned(Output_0000[[#Headers],[WP_HBase]], Output_0000[[#This Row],[Date]])</f>
        <v/>
      </c>
      <c r="AN22" s="51"/>
      <c r="AO22" s="51" t="str">
        <f ca="1">WeeklyPlanned(Output_0000[[#Headers],[WP_HWST]], Output_0000[[#This Row],[Date]])</f>
        <v/>
      </c>
      <c r="AP22" s="51"/>
      <c r="AQ22" s="51" t="str">
        <f ca="1">WeeklyPlanned(Output_0000[[#Headers],[WP_HWSR]], Output_0000[[#This Row],[Date]])</f>
        <v/>
      </c>
      <c r="AR22" s="51"/>
      <c r="AS22" s="51" t="str">
        <f ca="1">WeeklyPlanned(Output_0000[[#Headers],[WP_HL2]], Output_0000[[#This Row],[Date]])</f>
        <v/>
      </c>
      <c r="AT22" s="51"/>
      <c r="AU22" s="51">
        <f ca="1">WeeklyPlanned(Output_0000[[#Headers],[WP_HBCeil]], Output_0000[[#This Row],[Date]])</f>
        <v>12.083333333333332</v>
      </c>
      <c r="AV22" s="51"/>
    </row>
    <row r="23" spans="2:48" ht="15.5" x14ac:dyDescent="0.35">
      <c r="B23" s="30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43"/>
      <c r="AA23" s="47">
        <f t="shared" si="3"/>
        <v>44111</v>
      </c>
      <c r="AB23" s="49" t="str">
        <f t="shared" ca="1" si="1"/>
        <v>ACS, HL2, HBCeil</v>
      </c>
      <c r="AC2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1">
        <f ca="1">SUM($AC$14:AC23)</f>
        <v>276.46666666666664</v>
      </c>
      <c r="AF23" s="51" t="e">
        <f>IF(AD23="",NA(),SUM($AD$14:AD23))</f>
        <v>#N/A</v>
      </c>
      <c r="AG23" s="51" t="str">
        <f ca="1">WeeklyPlanned(Output_0000[[#Headers],[WP_ABC]], Output_0000[[#This Row],[Date]])</f>
        <v/>
      </c>
      <c r="AH23" s="51"/>
      <c r="AI23" s="51">
        <f ca="1">WeeklyPlanned(Output_0000[[#Headers],[WP_ACS]], Output_0000[[#This Row],[Date]])</f>
        <v>81.599999999999994</v>
      </c>
      <c r="AJ23" s="51"/>
      <c r="AK23" s="51" t="str">
        <f ca="1">WeeklyPlanned(Output_0000[[#Headers],[WP_AL1]], Output_0000[[#This Row],[Date]])</f>
        <v/>
      </c>
      <c r="AL23" s="51"/>
      <c r="AM23" s="51" t="str">
        <f ca="1">WeeklyPlanned(Output_0000[[#Headers],[WP_HBase]], Output_0000[[#This Row],[Date]])</f>
        <v/>
      </c>
      <c r="AN23" s="51"/>
      <c r="AO23" s="51" t="str">
        <f ca="1">WeeklyPlanned(Output_0000[[#Headers],[WP_HWST]], Output_0000[[#This Row],[Date]])</f>
        <v/>
      </c>
      <c r="AP23" s="51"/>
      <c r="AQ23" s="51" t="str">
        <f ca="1">WeeklyPlanned(Output_0000[[#Headers],[WP_HWSR]], Output_0000[[#This Row],[Date]])</f>
        <v/>
      </c>
      <c r="AR23" s="51"/>
      <c r="AS23" s="51">
        <f ca="1">WeeklyPlanned(Output_0000[[#Headers],[WP_HL2]], Output_0000[[#This Row],[Date]])</f>
        <v>32.666666666666664</v>
      </c>
      <c r="AT23" s="51"/>
      <c r="AU23" s="51">
        <f ca="1">WeeklyPlanned(Output_0000[[#Headers],[WP_HBCeil]], Output_0000[[#This Row],[Date]])</f>
        <v>2.4166666666666665</v>
      </c>
      <c r="AV23" s="51"/>
    </row>
    <row r="24" spans="2:48" ht="15.5" x14ac:dyDescent="0.35">
      <c r="B24" s="30"/>
      <c r="C24" s="52" t="s">
        <v>47</v>
      </c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43"/>
      <c r="AA24" s="47">
        <f t="shared" si="3"/>
        <v>44118</v>
      </c>
      <c r="AB24" s="49" t="str">
        <f t="shared" ca="1" si="1"/>
        <v>ACS, HWST, HL2</v>
      </c>
      <c r="AC2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1">
        <f ca="1">SUM($AC$14:AC24)</f>
        <v>384.83945578231288</v>
      </c>
      <c r="AF24" s="51" t="e">
        <f>IF(AD24="",NA(),SUM($AD$14:AD24))</f>
        <v>#N/A</v>
      </c>
      <c r="AG24" s="51" t="str">
        <f ca="1">WeeklyPlanned(Output_0000[[#Headers],[WP_ABC]], Output_0000[[#This Row],[Date]])</f>
        <v/>
      </c>
      <c r="AH24" s="51"/>
      <c r="AI24" s="51">
        <f ca="1">WeeklyPlanned(Output_0000[[#Headers],[WP_ACS]], Output_0000[[#This Row],[Date]])</f>
        <v>20.399999999999999</v>
      </c>
      <c r="AJ24" s="51"/>
      <c r="AK24" s="51" t="str">
        <f ca="1">WeeklyPlanned(Output_0000[[#Headers],[WP_AL1]], Output_0000[[#This Row],[Date]])</f>
        <v/>
      </c>
      <c r="AL24" s="51"/>
      <c r="AM24" s="51" t="str">
        <f ca="1">WeeklyPlanned(Output_0000[[#Headers],[WP_HBase]], Output_0000[[#This Row],[Date]])</f>
        <v/>
      </c>
      <c r="AN24" s="51"/>
      <c r="AO24" s="51">
        <f ca="1">WeeklyPlanned(Output_0000[[#Headers],[WP_HWST]], Output_0000[[#This Row],[Date]])</f>
        <v>6.3061224489795915</v>
      </c>
      <c r="AP24" s="51"/>
      <c r="AQ24" s="51" t="str">
        <f ca="1">WeeklyPlanned(Output_0000[[#Headers],[WP_HWSR]], Output_0000[[#This Row],[Date]])</f>
        <v/>
      </c>
      <c r="AR24" s="51"/>
      <c r="AS24" s="51">
        <f ca="1">WeeklyPlanned(Output_0000[[#Headers],[WP_HL2]], Output_0000[[#This Row],[Date]])</f>
        <v>81.666666666666657</v>
      </c>
      <c r="AT24" s="51"/>
      <c r="AU24" s="51" t="str">
        <f ca="1">WeeklyPlanned(Output_0000[[#Headers],[WP_HBCeil]], Output_0000[[#This Row],[Date]])</f>
        <v/>
      </c>
      <c r="AV24" s="51"/>
    </row>
    <row r="25" spans="2:48" ht="15.5" x14ac:dyDescent="0.35">
      <c r="B25" s="30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43"/>
      <c r="AA25" s="47">
        <f t="shared" si="3"/>
        <v>44125</v>
      </c>
      <c r="AB25" s="49" t="str">
        <f t="shared" ca="1" si="1"/>
        <v>HWST, HL2</v>
      </c>
      <c r="AC2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1">
        <f ca="1">SUM($AC$14:AC25)</f>
        <v>477.01632653061222</v>
      </c>
      <c r="AF25" s="51" t="e">
        <f>IF(AD25="",NA(),SUM($AD$14:AD25))</f>
        <v>#N/A</v>
      </c>
      <c r="AG25" s="51" t="str">
        <f ca="1">WeeklyPlanned(Output_0000[[#Headers],[WP_ABC]], Output_0000[[#This Row],[Date]])</f>
        <v/>
      </c>
      <c r="AH25" s="51"/>
      <c r="AI25" s="51" t="str">
        <f ca="1">WeeklyPlanned(Output_0000[[#Headers],[WP_ACS]], Output_0000[[#This Row],[Date]])</f>
        <v/>
      </c>
      <c r="AJ25" s="51"/>
      <c r="AK25" s="51" t="str">
        <f ca="1">WeeklyPlanned(Output_0000[[#Headers],[WP_AL1]], Output_0000[[#This Row],[Date]])</f>
        <v/>
      </c>
      <c r="AL25" s="51"/>
      <c r="AM25" s="51" t="str">
        <f ca="1">WeeklyPlanned(Output_0000[[#Headers],[WP_HBase]], Output_0000[[#This Row],[Date]])</f>
        <v/>
      </c>
      <c r="AN25" s="51"/>
      <c r="AO25" s="51">
        <f ca="1">WeeklyPlanned(Output_0000[[#Headers],[WP_HWST]], Output_0000[[#This Row],[Date]])</f>
        <v>10.510204081632653</v>
      </c>
      <c r="AP25" s="51"/>
      <c r="AQ25" s="51" t="str">
        <f ca="1">WeeklyPlanned(Output_0000[[#Headers],[WP_HWSR]], Output_0000[[#This Row],[Date]])</f>
        <v/>
      </c>
      <c r="AR25" s="51"/>
      <c r="AS25" s="51">
        <f ca="1">WeeklyPlanned(Output_0000[[#Headers],[WP_HL2]], Output_0000[[#This Row],[Date]])</f>
        <v>81.666666666666657</v>
      </c>
      <c r="AT25" s="51"/>
      <c r="AU25" s="51" t="str">
        <f ca="1">WeeklyPlanned(Output_0000[[#Headers],[WP_HBCeil]], Output_0000[[#This Row],[Date]])</f>
        <v/>
      </c>
      <c r="AV25" s="51"/>
    </row>
    <row r="26" spans="2:48" ht="15.5" x14ac:dyDescent="0.35">
      <c r="B26" s="30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43"/>
      <c r="S26" s="37"/>
      <c r="AA26" s="47">
        <f t="shared" si="3"/>
        <v>44132</v>
      </c>
      <c r="AB26" s="49" t="str">
        <f t="shared" ca="1" si="1"/>
        <v>HBase, HWST, HL2</v>
      </c>
      <c r="AC2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1">
        <f ca="1">SUM($AC$14:AC26)</f>
        <v>553.02653061224487</v>
      </c>
      <c r="AF26" s="51" t="e">
        <f>IF(AD26="",NA(),SUM($AD$14:AD26))</f>
        <v>#N/A</v>
      </c>
      <c r="AG26" s="51" t="str">
        <f ca="1">WeeklyPlanned(Output_0000[[#Headers],[WP_ABC]], Output_0000[[#This Row],[Date]])</f>
        <v/>
      </c>
      <c r="AH26" s="51"/>
      <c r="AI26" s="51" t="str">
        <f ca="1">WeeklyPlanned(Output_0000[[#Headers],[WP_ACS]], Output_0000[[#This Row],[Date]])</f>
        <v/>
      </c>
      <c r="AJ26" s="51"/>
      <c r="AK26" s="51" t="str">
        <f ca="1">WeeklyPlanned(Output_0000[[#Headers],[WP_AL1]], Output_0000[[#This Row],[Date]])</f>
        <v/>
      </c>
      <c r="AL26" s="51"/>
      <c r="AM26" s="51">
        <f ca="1">WeeklyPlanned(Output_0000[[#Headers],[WP_HBase]], Output_0000[[#This Row],[Date]])</f>
        <v>16.5</v>
      </c>
      <c r="AN26" s="51"/>
      <c r="AO26" s="51">
        <f ca="1">WeeklyPlanned(Output_0000[[#Headers],[WP_HWST]], Output_0000[[#This Row],[Date]])</f>
        <v>10.510204081632653</v>
      </c>
      <c r="AP26" s="51"/>
      <c r="AQ26" s="51" t="str">
        <f ca="1">WeeklyPlanned(Output_0000[[#Headers],[WP_HWSR]], Output_0000[[#This Row],[Date]])</f>
        <v/>
      </c>
      <c r="AR26" s="51"/>
      <c r="AS26" s="51">
        <f ca="1">WeeklyPlanned(Output_0000[[#Headers],[WP_HL2]], Output_0000[[#This Row],[Date]])</f>
        <v>49</v>
      </c>
      <c r="AT26" s="51"/>
      <c r="AU26" s="51" t="str">
        <f ca="1">WeeklyPlanned(Output_0000[[#Headers],[WP_HBCeil]], Output_0000[[#This Row],[Date]])</f>
        <v/>
      </c>
      <c r="AV26" s="51"/>
    </row>
    <row r="27" spans="2:48" ht="15.5" x14ac:dyDescent="0.35">
      <c r="B27" s="30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43"/>
      <c r="AA27" s="47">
        <f t="shared" si="3"/>
        <v>44139</v>
      </c>
      <c r="AB27" s="49" t="str">
        <f t="shared" ca="1" si="1"/>
        <v>AL1, HBase, HWST</v>
      </c>
      <c r="AC2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1">
        <f ca="1">SUM($AC$14:AC27)</f>
        <v>757.63673469387754</v>
      </c>
      <c r="AF27" s="51" t="e">
        <f>IF(AD27="",NA(),SUM($AD$14:AD27))</f>
        <v>#N/A</v>
      </c>
      <c r="AG27" s="51" t="str">
        <f ca="1">WeeklyPlanned(Output_0000[[#Headers],[WP_ABC]], Output_0000[[#This Row],[Date]])</f>
        <v/>
      </c>
      <c r="AH27" s="51"/>
      <c r="AI27" s="51" t="str">
        <f ca="1">WeeklyPlanned(Output_0000[[#Headers],[WP_ACS]], Output_0000[[#This Row],[Date]])</f>
        <v/>
      </c>
      <c r="AJ27" s="51"/>
      <c r="AK27" s="51">
        <f ca="1">WeeklyPlanned(Output_0000[[#Headers],[WP_AL1]], Output_0000[[#This Row],[Date]])</f>
        <v>111.6</v>
      </c>
      <c r="AL27" s="51"/>
      <c r="AM27" s="51">
        <f ca="1">WeeklyPlanned(Output_0000[[#Headers],[WP_HBase]], Output_0000[[#This Row],[Date]])</f>
        <v>82.5</v>
      </c>
      <c r="AN27" s="51"/>
      <c r="AO27" s="51">
        <f ca="1">WeeklyPlanned(Output_0000[[#Headers],[WP_HWST]], Output_0000[[#This Row],[Date]])</f>
        <v>10.510204081632653</v>
      </c>
      <c r="AP27" s="51"/>
      <c r="AQ27" s="51" t="str">
        <f ca="1">WeeklyPlanned(Output_0000[[#Headers],[WP_HWSR]], Output_0000[[#This Row],[Date]])</f>
        <v/>
      </c>
      <c r="AR27" s="51"/>
      <c r="AS27" s="51" t="str">
        <f ca="1">WeeklyPlanned(Output_0000[[#Headers],[WP_HL2]], Output_0000[[#This Row],[Date]])</f>
        <v/>
      </c>
      <c r="AT27" s="51"/>
      <c r="AU27" s="51" t="str">
        <f ca="1">WeeklyPlanned(Output_0000[[#Headers],[WP_HBCeil]], Output_0000[[#This Row],[Date]])</f>
        <v/>
      </c>
      <c r="AV27" s="51"/>
    </row>
    <row r="28" spans="2:48" ht="15.5" x14ac:dyDescent="0.35">
      <c r="B28" s="30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43"/>
      <c r="AA28" s="47">
        <f t="shared" si="3"/>
        <v>44146</v>
      </c>
      <c r="AB28" s="49" t="str">
        <f t="shared" ca="1" si="1"/>
        <v>AL1, HBase, HWST</v>
      </c>
      <c r="AC2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1">
        <f ca="1">SUM($AC$14:AC28)</f>
        <v>940.64693877551019</v>
      </c>
      <c r="AF28" s="51" t="e">
        <f>IF(AD28="",NA(),SUM($AD$14:AD28))</f>
        <v>#N/A</v>
      </c>
      <c r="AG28" s="51" t="str">
        <f ca="1">WeeklyPlanned(Output_0000[[#Headers],[WP_ABC]], Output_0000[[#This Row],[Date]])</f>
        <v/>
      </c>
      <c r="AH28" s="51"/>
      <c r="AI28" s="51" t="str">
        <f ca="1">WeeklyPlanned(Output_0000[[#Headers],[WP_ACS]], Output_0000[[#This Row],[Date]])</f>
        <v/>
      </c>
      <c r="AJ28" s="51"/>
      <c r="AK28" s="51">
        <f ca="1">WeeklyPlanned(Output_0000[[#Headers],[WP_AL1]], Output_0000[[#This Row],[Date]])</f>
        <v>139.5</v>
      </c>
      <c r="AL28" s="51"/>
      <c r="AM28" s="51">
        <f ca="1">WeeklyPlanned(Output_0000[[#Headers],[WP_HBase]], Output_0000[[#This Row],[Date]])</f>
        <v>33</v>
      </c>
      <c r="AN28" s="51"/>
      <c r="AO28" s="51">
        <f ca="1">WeeklyPlanned(Output_0000[[#Headers],[WP_HWST]], Output_0000[[#This Row],[Date]])</f>
        <v>10.510204081632653</v>
      </c>
      <c r="AP28" s="51"/>
      <c r="AQ28" s="51" t="str">
        <f ca="1">WeeklyPlanned(Output_0000[[#Headers],[WP_HWSR]], Output_0000[[#This Row],[Date]])</f>
        <v/>
      </c>
      <c r="AR28" s="51"/>
      <c r="AS28" s="51" t="str">
        <f ca="1">WeeklyPlanned(Output_0000[[#Headers],[WP_HL2]], Output_0000[[#This Row],[Date]])</f>
        <v/>
      </c>
      <c r="AT28" s="51"/>
      <c r="AU28" s="51" t="str">
        <f ca="1">WeeklyPlanned(Output_0000[[#Headers],[WP_HBCeil]], Output_0000[[#This Row],[Date]])</f>
        <v/>
      </c>
      <c r="AV28" s="51"/>
    </row>
    <row r="29" spans="2:48" ht="15.5" x14ac:dyDescent="0.35">
      <c r="B29" s="30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43"/>
      <c r="AA29" s="47">
        <f t="shared" si="3"/>
        <v>44153</v>
      </c>
      <c r="AB29" s="49" t="str">
        <f t="shared" ca="1" si="1"/>
        <v>AL1, HWST</v>
      </c>
      <c r="AC2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1">
        <f ca="1">SUM($AC$14:AC29)</f>
        <v>979.05714285714282</v>
      </c>
      <c r="AF29" s="51" t="e">
        <f>IF(AD29="",NA(),SUM($AD$14:AD29))</f>
        <v>#N/A</v>
      </c>
      <c r="AG29" s="51" t="str">
        <f ca="1">WeeklyPlanned(Output_0000[[#Headers],[WP_ABC]], Output_0000[[#This Row],[Date]])</f>
        <v/>
      </c>
      <c r="AH29" s="51"/>
      <c r="AI29" s="51" t="str">
        <f ca="1">WeeklyPlanned(Output_0000[[#Headers],[WP_ACS]], Output_0000[[#This Row],[Date]])</f>
        <v/>
      </c>
      <c r="AJ29" s="51"/>
      <c r="AK29" s="51">
        <f ca="1">WeeklyPlanned(Output_0000[[#Headers],[WP_AL1]], Output_0000[[#This Row],[Date]])</f>
        <v>27.9</v>
      </c>
      <c r="AL29" s="51"/>
      <c r="AM29" s="51" t="str">
        <f ca="1">WeeklyPlanned(Output_0000[[#Headers],[WP_HBase]], Output_0000[[#This Row],[Date]])</f>
        <v/>
      </c>
      <c r="AN29" s="51"/>
      <c r="AO29" s="51">
        <f ca="1">WeeklyPlanned(Output_0000[[#Headers],[WP_HWST]], Output_0000[[#This Row],[Date]])</f>
        <v>10.510204081632653</v>
      </c>
      <c r="AP29" s="51"/>
      <c r="AQ29" s="51" t="str">
        <f ca="1">WeeklyPlanned(Output_0000[[#Headers],[WP_HWSR]], Output_0000[[#This Row],[Date]])</f>
        <v/>
      </c>
      <c r="AR29" s="51"/>
      <c r="AS29" s="51" t="str">
        <f ca="1">WeeklyPlanned(Output_0000[[#Headers],[WP_HL2]], Output_0000[[#This Row],[Date]])</f>
        <v/>
      </c>
      <c r="AT29" s="51"/>
      <c r="AU29" s="51" t="str">
        <f ca="1">WeeklyPlanned(Output_0000[[#Headers],[WP_HBCeil]], Output_0000[[#This Row],[Date]])</f>
        <v/>
      </c>
      <c r="AV29" s="51"/>
    </row>
    <row r="30" spans="2:48" ht="15.5" x14ac:dyDescent="0.35">
      <c r="B30" s="30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43"/>
      <c r="AA30" s="47">
        <f t="shared" si="3"/>
        <v>44160</v>
      </c>
      <c r="AB30" s="49" t="str">
        <f t="shared" ca="1" si="1"/>
        <v>HWST</v>
      </c>
      <c r="AC3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1">
        <f ca="1">SUM($AC$14:AC30)</f>
        <v>989.56734693877547</v>
      </c>
      <c r="AF30" s="51" t="e">
        <f>IF(AD30="",NA(),SUM($AD$14:AD30))</f>
        <v>#N/A</v>
      </c>
      <c r="AG30" s="51" t="str">
        <f ca="1">WeeklyPlanned(Output_0000[[#Headers],[WP_ABC]], Output_0000[[#This Row],[Date]])</f>
        <v/>
      </c>
      <c r="AH30" s="51"/>
      <c r="AI30" s="51" t="str">
        <f ca="1">WeeklyPlanned(Output_0000[[#Headers],[WP_ACS]], Output_0000[[#This Row],[Date]])</f>
        <v/>
      </c>
      <c r="AJ30" s="51"/>
      <c r="AK30" s="51" t="str">
        <f ca="1">WeeklyPlanned(Output_0000[[#Headers],[WP_AL1]], Output_0000[[#This Row],[Date]])</f>
        <v/>
      </c>
      <c r="AL30" s="51"/>
      <c r="AM30" s="51" t="str">
        <f ca="1">WeeklyPlanned(Output_0000[[#Headers],[WP_HBase]], Output_0000[[#This Row],[Date]])</f>
        <v/>
      </c>
      <c r="AN30" s="51"/>
      <c r="AO30" s="51">
        <f ca="1">WeeklyPlanned(Output_0000[[#Headers],[WP_HWST]], Output_0000[[#This Row],[Date]])</f>
        <v>10.510204081632653</v>
      </c>
      <c r="AP30" s="51"/>
      <c r="AQ30" s="51" t="str">
        <f ca="1">WeeklyPlanned(Output_0000[[#Headers],[WP_HWSR]], Output_0000[[#This Row],[Date]])</f>
        <v/>
      </c>
      <c r="AR30" s="51"/>
      <c r="AS30" s="51" t="str">
        <f ca="1">WeeklyPlanned(Output_0000[[#Headers],[WP_HL2]], Output_0000[[#This Row],[Date]])</f>
        <v/>
      </c>
      <c r="AT30" s="51"/>
      <c r="AU30" s="51" t="str">
        <f ca="1">WeeklyPlanned(Output_0000[[#Headers],[WP_HBCeil]], Output_0000[[#This Row],[Date]])</f>
        <v/>
      </c>
      <c r="AV30" s="51"/>
    </row>
    <row r="31" spans="2:48" ht="15.5" x14ac:dyDescent="0.35">
      <c r="B31" s="30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43"/>
      <c r="AA31" s="47">
        <f t="shared" si="3"/>
        <v>44167</v>
      </c>
      <c r="AB31" s="49" t="str">
        <f t="shared" ca="1" si="1"/>
        <v>HWST</v>
      </c>
      <c r="AC3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1">
        <f ca="1">SUM($AC$14:AC31)</f>
        <v>1000.0775510204081</v>
      </c>
      <c r="AF31" s="51" t="e">
        <f>IF(AD31="",NA(),SUM($AD$14:AD31))</f>
        <v>#N/A</v>
      </c>
      <c r="AG31" s="51" t="str">
        <f ca="1">WeeklyPlanned(Output_0000[[#Headers],[WP_ABC]], Output_0000[[#This Row],[Date]])</f>
        <v/>
      </c>
      <c r="AH31" s="51"/>
      <c r="AI31" s="51" t="str">
        <f ca="1">WeeklyPlanned(Output_0000[[#Headers],[WP_ACS]], Output_0000[[#This Row],[Date]])</f>
        <v/>
      </c>
      <c r="AJ31" s="51"/>
      <c r="AK31" s="51" t="str">
        <f ca="1">WeeklyPlanned(Output_0000[[#Headers],[WP_AL1]], Output_0000[[#This Row],[Date]])</f>
        <v/>
      </c>
      <c r="AL31" s="51"/>
      <c r="AM31" s="51" t="str">
        <f ca="1">WeeklyPlanned(Output_0000[[#Headers],[WP_HBase]], Output_0000[[#This Row],[Date]])</f>
        <v/>
      </c>
      <c r="AN31" s="51"/>
      <c r="AO31" s="51">
        <f ca="1">WeeklyPlanned(Output_0000[[#Headers],[WP_HWST]], Output_0000[[#This Row],[Date]])</f>
        <v>10.510204081632653</v>
      </c>
      <c r="AP31" s="51"/>
      <c r="AQ31" s="51" t="str">
        <f ca="1">WeeklyPlanned(Output_0000[[#Headers],[WP_HWSR]], Output_0000[[#This Row],[Date]])</f>
        <v/>
      </c>
      <c r="AR31" s="51"/>
      <c r="AS31" s="51" t="str">
        <f ca="1">WeeklyPlanned(Output_0000[[#Headers],[WP_HL2]], Output_0000[[#This Row],[Date]])</f>
        <v/>
      </c>
      <c r="AT31" s="51"/>
      <c r="AU31" s="51" t="str">
        <f ca="1">WeeklyPlanned(Output_0000[[#Headers],[WP_HBCeil]], Output_0000[[#This Row],[Date]])</f>
        <v/>
      </c>
      <c r="AV31" s="51"/>
    </row>
    <row r="32" spans="2:48" ht="15.5" x14ac:dyDescent="0.35">
      <c r="B32" s="30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43"/>
      <c r="AA32" s="47">
        <f t="shared" si="3"/>
        <v>44174</v>
      </c>
      <c r="AB32" s="49" t="str">
        <f t="shared" ca="1" si="1"/>
        <v>HWST</v>
      </c>
      <c r="AC3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1">
        <f ca="1">SUM($AC$14:AC32)</f>
        <v>1010.5877551020408</v>
      </c>
      <c r="AF32" s="51" t="e">
        <f>IF(AD32="",NA(),SUM($AD$14:AD32))</f>
        <v>#N/A</v>
      </c>
      <c r="AG32" s="51" t="str">
        <f ca="1">WeeklyPlanned(Output_0000[[#Headers],[WP_ABC]], Output_0000[[#This Row],[Date]])</f>
        <v/>
      </c>
      <c r="AH32" s="51"/>
      <c r="AI32" s="51" t="str">
        <f ca="1">WeeklyPlanned(Output_0000[[#Headers],[WP_ACS]], Output_0000[[#This Row],[Date]])</f>
        <v/>
      </c>
      <c r="AJ32" s="51"/>
      <c r="AK32" s="51" t="str">
        <f ca="1">WeeklyPlanned(Output_0000[[#Headers],[WP_AL1]], Output_0000[[#This Row],[Date]])</f>
        <v/>
      </c>
      <c r="AL32" s="51"/>
      <c r="AM32" s="51" t="str">
        <f ca="1">WeeklyPlanned(Output_0000[[#Headers],[WP_HBase]], Output_0000[[#This Row],[Date]])</f>
        <v/>
      </c>
      <c r="AN32" s="51"/>
      <c r="AO32" s="51">
        <f ca="1">WeeklyPlanned(Output_0000[[#Headers],[WP_HWST]], Output_0000[[#This Row],[Date]])</f>
        <v>10.510204081632653</v>
      </c>
      <c r="AP32" s="51"/>
      <c r="AQ32" s="51" t="str">
        <f ca="1">WeeklyPlanned(Output_0000[[#Headers],[WP_HWSR]], Output_0000[[#This Row],[Date]])</f>
        <v/>
      </c>
      <c r="AR32" s="51"/>
      <c r="AS32" s="51" t="str">
        <f ca="1">WeeklyPlanned(Output_0000[[#Headers],[WP_HL2]], Output_0000[[#This Row],[Date]])</f>
        <v/>
      </c>
      <c r="AT32" s="51"/>
      <c r="AU32" s="51" t="str">
        <f ca="1">WeeklyPlanned(Output_0000[[#Headers],[WP_HBCeil]], Output_0000[[#This Row],[Date]])</f>
        <v/>
      </c>
      <c r="AV32" s="51"/>
    </row>
    <row r="33" spans="2:48" ht="15.5" x14ac:dyDescent="0.35">
      <c r="B33" s="30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43"/>
      <c r="AA33" s="47">
        <f t="shared" si="3"/>
        <v>44181</v>
      </c>
      <c r="AB33" s="49" t="str">
        <f t="shared" ca="1" si="1"/>
        <v>HWST</v>
      </c>
      <c r="AC3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1">
        <f ca="1">SUM($AC$14:AC33)</f>
        <v>1021.0979591836734</v>
      </c>
      <c r="AF33" s="51" t="e">
        <f>IF(AD33="",NA(),SUM($AD$14:AD33))</f>
        <v>#N/A</v>
      </c>
      <c r="AG33" s="51" t="str">
        <f ca="1">WeeklyPlanned(Output_0000[[#Headers],[WP_ABC]], Output_0000[[#This Row],[Date]])</f>
        <v/>
      </c>
      <c r="AH33" s="51"/>
      <c r="AI33" s="51" t="str">
        <f ca="1">WeeklyPlanned(Output_0000[[#Headers],[WP_ACS]], Output_0000[[#This Row],[Date]])</f>
        <v/>
      </c>
      <c r="AJ33" s="51"/>
      <c r="AK33" s="51" t="str">
        <f ca="1">WeeklyPlanned(Output_0000[[#Headers],[WP_AL1]], Output_0000[[#This Row],[Date]])</f>
        <v/>
      </c>
      <c r="AL33" s="51"/>
      <c r="AM33" s="51" t="str">
        <f ca="1">WeeklyPlanned(Output_0000[[#Headers],[WP_HBase]], Output_0000[[#This Row],[Date]])</f>
        <v/>
      </c>
      <c r="AN33" s="51"/>
      <c r="AO33" s="51">
        <f ca="1">WeeklyPlanned(Output_0000[[#Headers],[WP_HWST]], Output_0000[[#This Row],[Date]])</f>
        <v>10.510204081632653</v>
      </c>
      <c r="AP33" s="51"/>
      <c r="AQ33" s="51" t="str">
        <f ca="1">WeeklyPlanned(Output_0000[[#Headers],[WP_HWSR]], Output_0000[[#This Row],[Date]])</f>
        <v/>
      </c>
      <c r="AR33" s="51"/>
      <c r="AS33" s="51" t="str">
        <f ca="1">WeeklyPlanned(Output_0000[[#Headers],[WP_HL2]], Output_0000[[#This Row],[Date]])</f>
        <v/>
      </c>
      <c r="AT33" s="51"/>
      <c r="AU33" s="51" t="str">
        <f ca="1">WeeklyPlanned(Output_0000[[#Headers],[WP_HBCeil]], Output_0000[[#This Row],[Date]])</f>
        <v/>
      </c>
      <c r="AV33" s="51"/>
    </row>
    <row r="34" spans="2:48" ht="15.5" x14ac:dyDescent="0.35">
      <c r="B34" s="30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43"/>
      <c r="AA34" s="47">
        <f t="shared" si="3"/>
        <v>44188</v>
      </c>
      <c r="AB34" s="49" t="str">
        <f t="shared" ca="1" si="1"/>
        <v>HWST, HWSR</v>
      </c>
      <c r="AC3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1">
        <f ca="1">SUM($AC$14:AC34)</f>
        <v>1036.5333333333333</v>
      </c>
      <c r="AF34" s="51" t="e">
        <f>IF(AD34="",NA(),SUM($AD$14:AD34))</f>
        <v>#N/A</v>
      </c>
      <c r="AG34" s="51" t="str">
        <f ca="1">WeeklyPlanned(Output_0000[[#Headers],[WP_ABC]], Output_0000[[#This Row],[Date]])</f>
        <v/>
      </c>
      <c r="AH34" s="51"/>
      <c r="AI34" s="51" t="str">
        <f ca="1">WeeklyPlanned(Output_0000[[#Headers],[WP_ACS]], Output_0000[[#This Row],[Date]])</f>
        <v/>
      </c>
      <c r="AJ34" s="51"/>
      <c r="AK34" s="51" t="str">
        <f ca="1">WeeklyPlanned(Output_0000[[#Headers],[WP_AL1]], Output_0000[[#This Row],[Date]])</f>
        <v/>
      </c>
      <c r="AL34" s="51"/>
      <c r="AM34" s="51" t="str">
        <f ca="1">WeeklyPlanned(Output_0000[[#Headers],[WP_HBase]], Output_0000[[#This Row],[Date]])</f>
        <v/>
      </c>
      <c r="AN34" s="51"/>
      <c r="AO34" s="51">
        <f ca="1">WeeklyPlanned(Output_0000[[#Headers],[WP_HWST]], Output_0000[[#This Row],[Date]])</f>
        <v>2.1020408163265305</v>
      </c>
      <c r="AP34" s="51"/>
      <c r="AQ34" s="51">
        <f ca="1">WeeklyPlanned(Output_0000[[#Headers],[WP_HWSR]], Output_0000[[#This Row],[Date]])</f>
        <v>13.333333333333334</v>
      </c>
      <c r="AR34" s="51"/>
      <c r="AS34" s="51" t="str">
        <f ca="1">WeeklyPlanned(Output_0000[[#Headers],[WP_HL2]], Output_0000[[#This Row],[Date]])</f>
        <v/>
      </c>
      <c r="AT34" s="51"/>
      <c r="AU34" s="51" t="str">
        <f ca="1">WeeklyPlanned(Output_0000[[#Headers],[WP_HBCeil]], Output_0000[[#This Row],[Date]])</f>
        <v/>
      </c>
      <c r="AV34" s="51"/>
    </row>
    <row r="35" spans="2:48" ht="15.5" x14ac:dyDescent="0.35">
      <c r="B35" s="30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43"/>
      <c r="AA35" s="47">
        <f t="shared" si="3"/>
        <v>44195</v>
      </c>
      <c r="AB35" s="49" t="str">
        <f t="shared" ca="1" si="1"/>
        <v>HWSR</v>
      </c>
      <c r="AC3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1">
        <f ca="1">SUM($AC$14:AC35)</f>
        <v>1049.8666666666666</v>
      </c>
      <c r="AF35" s="51" t="e">
        <f>IF(AD35="",NA(),SUM($AD$14:AD35))</f>
        <v>#N/A</v>
      </c>
      <c r="AG35" s="51" t="str">
        <f ca="1">WeeklyPlanned(Output_0000[[#Headers],[WP_ABC]], Output_0000[[#This Row],[Date]])</f>
        <v/>
      </c>
      <c r="AH35" s="51"/>
      <c r="AI35" s="51" t="str">
        <f ca="1">WeeklyPlanned(Output_0000[[#Headers],[WP_ACS]], Output_0000[[#This Row],[Date]])</f>
        <v/>
      </c>
      <c r="AJ35" s="51"/>
      <c r="AK35" s="51" t="str">
        <f ca="1">WeeklyPlanned(Output_0000[[#Headers],[WP_AL1]], Output_0000[[#This Row],[Date]])</f>
        <v/>
      </c>
      <c r="AL35" s="51"/>
      <c r="AM35" s="51" t="str">
        <f ca="1">WeeklyPlanned(Output_0000[[#Headers],[WP_HBase]], Output_0000[[#This Row],[Date]])</f>
        <v/>
      </c>
      <c r="AN35" s="51"/>
      <c r="AO35" s="51" t="str">
        <f ca="1">WeeklyPlanned(Output_0000[[#Headers],[WP_HWST]], Output_0000[[#This Row],[Date]])</f>
        <v/>
      </c>
      <c r="AP35" s="51"/>
      <c r="AQ35" s="51">
        <f ca="1">WeeklyPlanned(Output_0000[[#Headers],[WP_HWSR]], Output_0000[[#This Row],[Date]])</f>
        <v>13.333333333333334</v>
      </c>
      <c r="AR35" s="51"/>
      <c r="AS35" s="51" t="str">
        <f ca="1">WeeklyPlanned(Output_0000[[#Headers],[WP_HL2]], Output_0000[[#This Row],[Date]])</f>
        <v/>
      </c>
      <c r="AT35" s="51"/>
      <c r="AU35" s="51" t="str">
        <f ca="1">WeeklyPlanned(Output_0000[[#Headers],[WP_HBCeil]], Output_0000[[#This Row],[Date]])</f>
        <v/>
      </c>
      <c r="AV35" s="51"/>
    </row>
    <row r="36" spans="2:48" ht="15.5" x14ac:dyDescent="0.35">
      <c r="B36" s="30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43"/>
      <c r="AA36" s="47">
        <f t="shared" si="3"/>
        <v>44202</v>
      </c>
      <c r="AB36" s="49" t="str">
        <f t="shared" ca="1" si="1"/>
        <v>HWSR</v>
      </c>
      <c r="AC3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1">
        <f ca="1">SUM($AC$14:AC36)</f>
        <v>1053.1999999999998</v>
      </c>
      <c r="AF36" s="51" t="e">
        <f>IF(AD36="",NA(),SUM($AD$14:AD36))</f>
        <v>#N/A</v>
      </c>
      <c r="AG36" s="51" t="str">
        <f ca="1">WeeklyPlanned(Output_0000[[#Headers],[WP_ABC]], Output_0000[[#This Row],[Date]])</f>
        <v/>
      </c>
      <c r="AH36" s="51"/>
      <c r="AI36" s="51" t="str">
        <f ca="1">WeeklyPlanned(Output_0000[[#Headers],[WP_ACS]], Output_0000[[#This Row],[Date]])</f>
        <v/>
      </c>
      <c r="AJ36" s="51"/>
      <c r="AK36" s="51" t="str">
        <f ca="1">WeeklyPlanned(Output_0000[[#Headers],[WP_AL1]], Output_0000[[#This Row],[Date]])</f>
        <v/>
      </c>
      <c r="AL36" s="51"/>
      <c r="AM36" s="51" t="str">
        <f ca="1">WeeklyPlanned(Output_0000[[#Headers],[WP_HBase]], Output_0000[[#This Row],[Date]])</f>
        <v/>
      </c>
      <c r="AN36" s="51"/>
      <c r="AO36" s="51" t="str">
        <f ca="1">WeeklyPlanned(Output_0000[[#Headers],[WP_HWST]], Output_0000[[#This Row],[Date]])</f>
        <v/>
      </c>
      <c r="AP36" s="51"/>
      <c r="AQ36" s="51">
        <f ca="1">WeeklyPlanned(Output_0000[[#Headers],[WP_HWSR]], Output_0000[[#This Row],[Date]])</f>
        <v>3.3333333333333335</v>
      </c>
      <c r="AR36" s="51"/>
      <c r="AS36" s="51" t="str">
        <f ca="1">WeeklyPlanned(Output_0000[[#Headers],[WP_HL2]], Output_0000[[#This Row],[Date]])</f>
        <v/>
      </c>
      <c r="AT36" s="51"/>
      <c r="AU36" s="51" t="str">
        <f ca="1">WeeklyPlanned(Output_0000[[#Headers],[WP_HBCeil]], Output_0000[[#This Row],[Date]])</f>
        <v/>
      </c>
      <c r="AV36" s="51"/>
    </row>
    <row r="37" spans="2:48" ht="15" x14ac:dyDescent="0.3">
      <c r="B37" s="30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43"/>
    </row>
    <row r="38" spans="2:48" ht="15" x14ac:dyDescent="0.3">
      <c r="B38" s="30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43"/>
    </row>
    <row r="39" spans="2:48" ht="15" x14ac:dyDescent="0.3">
      <c r="B39" s="30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43"/>
    </row>
    <row r="40" spans="2:48" ht="15.5" thickBot="1" x14ac:dyDescent="0.35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120" priority="7">
      <formula>ISERROR(AF14)</formula>
    </cfRule>
  </conditionalFormatting>
  <conditionalFormatting sqref="W13:X13">
    <cfRule type="expression" dxfId="119" priority="6">
      <formula>IF(OR($S$8 = "Assemble Addin", $S$8 = "Bluebeam QL"), TRUE, FALSE)</formula>
    </cfRule>
  </conditionalFormatting>
  <conditionalFormatting sqref="N6:O6">
    <cfRule type="expression" dxfId="118" priority="5">
      <formula>IF($N$6=$O$6, FALSE, TRUE)</formula>
    </cfRule>
  </conditionalFormatting>
  <conditionalFormatting sqref="W14:X21">
    <cfRule type="expression" dxfId="117" priority="3">
      <formula>IF(OR($S$8 = "Assemble Addin", $S$8 = "Bluebeam QL"), TRUE, FALSE)</formula>
    </cfRule>
    <cfRule type="expression" dxfId="116" priority="4">
      <formula>IF(OR($S$8 = "Assemble Addin", $S$8 = "Bluebeam QL"), MOD(ROW(), 2)=0, FALSE)</formula>
    </cfRule>
  </conditionalFormatting>
  <conditionalFormatting sqref="R13">
    <cfRule type="expression" dxfId="115" priority="2">
      <formula>IF($S$8 = "Assemble Addin", TRUE, FALSE)</formula>
    </cfRule>
  </conditionalFormatting>
  <conditionalFormatting sqref="R14:R21">
    <cfRule type="expression" dxfId="114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="85" zoomScaleNormal="85" workbookViewId="0">
      <selection activeCell="AC7" sqref="AC7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2" width="9.453125" style="69" customWidth="1"/>
    <col min="13" max="13" width="12.0898437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49" ht="14.5" thickBot="1" x14ac:dyDescent="0.35">
      <c r="AA1" s="78" t="s">
        <v>80</v>
      </c>
      <c r="AB1" s="79"/>
    </row>
    <row r="2" spans="2:4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3"/>
      <c r="AB2" s="54"/>
    </row>
    <row r="3" spans="2:4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3"/>
      <c r="AB3" s="54"/>
      <c r="AC3" s="64">
        <v>44022.573796296296</v>
      </c>
      <c r="AE3" s="38"/>
      <c r="AF3" s="64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3"/>
      <c r="AB4" s="54"/>
      <c r="AC4" s="64">
        <v>44022.575659722221</v>
      </c>
      <c r="AE4" s="38"/>
      <c r="AF4" s="64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97" t="str">
        <f>Main!C16</f>
        <v>Glassey Steel Works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</row>
    <row r="7" spans="2:49" ht="15.5" thickBot="1" x14ac:dyDescent="0.35">
      <c r="B7" s="21" t="s">
        <v>44</v>
      </c>
      <c r="C7" s="97" t="str">
        <f>RIGHT(Main!B16, LEN(Main!B16) - 4)</f>
        <v>Structural Steel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5"/>
      <c r="AB7" s="56"/>
      <c r="AC7" s="69" t="str">
        <f>TEXT(AC4-AC3, "hh:mm:ss")</f>
        <v>00:02:41</v>
      </c>
    </row>
    <row r="8" spans="2:49" ht="15" x14ac:dyDescent="0.3">
      <c r="B8" s="30"/>
      <c r="C8" s="68"/>
      <c r="D8" s="68"/>
      <c r="E8" s="68"/>
      <c r="F8" s="68"/>
      <c r="G8" s="68"/>
      <c r="H8" s="68"/>
      <c r="I8" s="68"/>
      <c r="J8" s="90" t="str">
        <f>_xlfn.CONCAT("This Week's Production (", IF(ISBLANK($S$6),"",$S$6), ")")</f>
        <v>This Week's Production (Count)</v>
      </c>
      <c r="K8" s="90"/>
      <c r="L8" s="90"/>
      <c r="M8" s="9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8"/>
      <c r="D9" s="68"/>
      <c r="E9" s="68"/>
      <c r="F9" s="68"/>
      <c r="G9" s="68"/>
      <c r="H9" s="68"/>
      <c r="I9" s="68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7"/>
    </row>
    <row r="10" spans="2:49" ht="15" x14ac:dyDescent="0.3">
      <c r="B10" s="30"/>
      <c r="C10" s="68"/>
      <c r="D10" s="68"/>
      <c r="E10" s="68"/>
      <c r="F10" s="68"/>
      <c r="G10" s="68"/>
      <c r="H10" s="68"/>
      <c r="I10" s="68"/>
      <c r="J10" s="90" t="str">
        <f>_xlfn.CONCAT("Average Past 4 Weeks (", IF(ISBLANK($S$6),"",$S$6), ")")</f>
        <v>Average Past 4 Weeks (Count)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5"/>
      <c r="V10" s="85"/>
      <c r="W10" s="85"/>
      <c r="X10" s="85"/>
      <c r="AB10" s="66"/>
      <c r="AC10" s="65"/>
      <c r="AD10" s="63"/>
    </row>
    <row r="11" spans="2:49" ht="15" x14ac:dyDescent="0.3">
      <c r="B11" s="30"/>
      <c r="C11" s="68"/>
      <c r="D11" s="68"/>
      <c r="E11" s="68"/>
      <c r="F11" s="68"/>
      <c r="G11" s="68"/>
      <c r="H11" s="68"/>
      <c r="I11" s="68"/>
      <c r="J11" s="90" t="str">
        <f>_xlfn.CONCAT("On Schedule Average (", IF(ISBLANK($S$6),"",$S$6), ")")</f>
        <v>On Schedule Average (Count)</v>
      </c>
      <c r="K11" s="90"/>
      <c r="L11" s="90"/>
      <c r="M11" s="9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5"/>
      <c r="V11" s="85"/>
      <c r="W11" s="85"/>
      <c r="X11" s="85"/>
      <c r="AC11" s="63"/>
      <c r="AD11" s="63"/>
    </row>
    <row r="12" spans="2:49" ht="15" x14ac:dyDescent="0.3">
      <c r="B12" s="30"/>
      <c r="C12" s="68"/>
      <c r="D12" s="68"/>
      <c r="E12" s="68"/>
      <c r="F12" s="68"/>
      <c r="G12" s="68"/>
      <c r="H12" s="68"/>
      <c r="I12" s="68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68"/>
      <c r="D13" s="68"/>
      <c r="E13" s="68"/>
      <c r="F13" s="68"/>
      <c r="G13" s="68"/>
      <c r="H13" s="68"/>
      <c r="I13" s="68"/>
      <c r="J13" s="80" t="s">
        <v>46</v>
      </c>
      <c r="K13" s="80"/>
      <c r="L13" s="80"/>
      <c r="M13" s="80"/>
      <c r="N13" s="81">
        <f ca="1">IF($O$5&gt;0.999, "Completed", WORKDAY($S$3, ROUNDUP((SUM(Input_0501[Total])-(INDIRECT("AF"&amp;MATCH($S$3, Output_0501[Date],0)+13)))/($O$10/COUNTIF($U$2:$U$8, TRUE)),0), Holidays_Table[Holidays]))</f>
        <v>44285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6"/>
      <c r="N14" s="86"/>
      <c r="O14" s="8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9">
        <v>202</v>
      </c>
      <c r="X14" s="69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8"/>
      <c r="M15" s="88"/>
      <c r="N15" s="88"/>
      <c r="O15" s="8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9">
        <v>102</v>
      </c>
      <c r="X15" s="69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9">
        <v>324</v>
      </c>
      <c r="X16" s="69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59" t="s">
        <v>140</v>
      </c>
      <c r="T17" s="59" t="s">
        <v>95</v>
      </c>
      <c r="U17" s="60">
        <v>44131</v>
      </c>
      <c r="V17" s="60">
        <v>44140</v>
      </c>
      <c r="W17" s="69">
        <v>132</v>
      </c>
      <c r="X17" s="69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59" t="s">
        <v>144</v>
      </c>
      <c r="T18" s="59" t="s">
        <v>96</v>
      </c>
      <c r="U18" s="60">
        <v>44113</v>
      </c>
      <c r="V18" s="60">
        <v>44181</v>
      </c>
      <c r="W18" s="69">
        <v>273</v>
      </c>
      <c r="X18" s="69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R19" s="36"/>
      <c r="S19" s="59" t="s">
        <v>143</v>
      </c>
      <c r="T19" s="59" t="s">
        <v>97</v>
      </c>
      <c r="U19" s="60">
        <v>44182</v>
      </c>
      <c r="V19" s="60">
        <v>44195</v>
      </c>
      <c r="W19" s="69">
        <v>32</v>
      </c>
      <c r="X19" s="69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R20" s="36"/>
      <c r="S20" s="59" t="s">
        <v>142</v>
      </c>
      <c r="T20" s="59" t="s">
        <v>98</v>
      </c>
      <c r="U20" s="60">
        <v>44109</v>
      </c>
      <c r="V20" s="60">
        <v>44127</v>
      </c>
      <c r="W20" s="69">
        <v>250</v>
      </c>
      <c r="X20" s="69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R21" s="36"/>
      <c r="S21" s="59" t="s">
        <v>141</v>
      </c>
      <c r="T21" s="59" t="s">
        <v>99</v>
      </c>
      <c r="U21" s="60">
        <v>44089</v>
      </c>
      <c r="V21" s="60">
        <v>44104</v>
      </c>
      <c r="W21" s="69">
        <v>29</v>
      </c>
      <c r="X21" s="69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81" priority="7">
      <formula>ISERROR(AF14)</formula>
    </cfRule>
  </conditionalFormatting>
  <conditionalFormatting sqref="W13:X13">
    <cfRule type="expression" dxfId="80" priority="6">
      <formula>IF(OR($S$8 = "Assemble Addin", $S$8 = "Bluebeam QL"), TRUE, FALSE)</formula>
    </cfRule>
  </conditionalFormatting>
  <conditionalFormatting sqref="N6:O6">
    <cfRule type="expression" dxfId="79" priority="5">
      <formula>IF($N$6=$O$6, FALSE, TRUE)</formula>
    </cfRule>
  </conditionalFormatting>
  <conditionalFormatting sqref="W14:X21">
    <cfRule type="expression" dxfId="78" priority="3">
      <formula>IF(OR($S$8 = "Assemble Addin", $S$8 = "Bluebeam QL"), TRUE, FALSE)</formula>
    </cfRule>
    <cfRule type="expression" dxfId="77" priority="4">
      <formula>IF(OR($S$8 = "Assemble Addin", $S$8 = "Bluebeam QL"), MOD(ROW(), 2)=0, FALSE)</formula>
    </cfRule>
  </conditionalFormatting>
  <conditionalFormatting sqref="R13">
    <cfRule type="expression" dxfId="76" priority="2">
      <formula>IF($S$8 = "Assemble Addin", TRUE, FALSE)</formula>
    </cfRule>
  </conditionalFormatting>
  <conditionalFormatting sqref="R14:R21">
    <cfRule type="expression" dxfId="75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2020-07-15T00:16:27Z</cp:lastPrinted>
  <dcterms:created xsi:type="dcterms:W3CDTF">2019-04-09T17:53:55Z</dcterms:created>
  <dcterms:modified xsi:type="dcterms:W3CDTF">2020-07-15T18:48:23Z</dcterms:modified>
</cp:coreProperties>
</file>