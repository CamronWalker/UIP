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95F1CC74-8FB7-4F92-8499-3B24E6D23A5E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3" l="1"/>
  <c r="R1" i="10"/>
  <c r="H16" i="2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I16" i="2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I33" i="2"/>
  <c r="AI33" i="11"/>
  <c r="AI31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I15" i="3"/>
  <c r="AG15" i="3"/>
  <c r="AK15" i="3"/>
  <c r="N12" i="3"/>
  <c r="AC15" i="3" l="1"/>
  <c r="AE15" i="3" s="1"/>
  <c r="AE14" i="3"/>
  <c r="AA16" i="3"/>
  <c r="B2" i="3"/>
  <c r="C5" i="3"/>
  <c r="C4" i="3"/>
  <c r="AB15" i="3"/>
  <c r="AI16" i="3"/>
  <c r="N6" i="3"/>
  <c r="AK16" i="3"/>
  <c r="AG1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B17" i="3"/>
  <c r="AK18" i="3"/>
  <c r="AG18" i="3"/>
  <c r="AC18" i="3" l="1"/>
  <c r="AA19" i="3"/>
  <c r="AE17" i="3"/>
  <c r="B2" i="2"/>
  <c r="B4" i="2"/>
  <c r="AI19" i="3"/>
  <c r="AB18" i="3"/>
  <c r="AK19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G21" i="3"/>
  <c r="AB20" i="3"/>
  <c r="AK21" i="3"/>
  <c r="AI21" i="3"/>
  <c r="AC21" i="3" l="1"/>
  <c r="AA22" i="3"/>
  <c r="AB21" i="3"/>
  <c r="AK22" i="3"/>
  <c r="AI22" i="3"/>
  <c r="AG22" i="3"/>
  <c r="AC22" i="3" l="1"/>
  <c r="AE22" i="3" s="1"/>
  <c r="AA23" i="3"/>
  <c r="AE21" i="3"/>
  <c r="AK23" i="3"/>
  <c r="AI23" i="3"/>
  <c r="AB22" i="3"/>
  <c r="AG23" i="3"/>
  <c r="AC23" i="3" l="1"/>
  <c r="AA24" i="3"/>
  <c r="AK24" i="3"/>
  <c r="AB23" i="3"/>
  <c r="AI24" i="3"/>
  <c r="AG24" i="3"/>
  <c r="AC24" i="3" l="1"/>
  <c r="AE23" i="3"/>
  <c r="AA25" i="3"/>
  <c r="AG25" i="3"/>
  <c r="AB24" i="3"/>
  <c r="AI25" i="3"/>
  <c r="AK25" i="3"/>
  <c r="AC25" i="3" l="1"/>
  <c r="AA26" i="3"/>
  <c r="AE24" i="3"/>
  <c r="AB25" i="3"/>
  <c r="AG26" i="3"/>
  <c r="AI26" i="3"/>
  <c r="AK26" i="3"/>
  <c r="AC26" i="3" l="1"/>
  <c r="AA27" i="3"/>
  <c r="AE25" i="3"/>
  <c r="AI27" i="3"/>
  <c r="AB26" i="3"/>
  <c r="AG27" i="3"/>
  <c r="AK27" i="3"/>
  <c r="AC27" i="3" l="1"/>
  <c r="AA28" i="3"/>
  <c r="AE26" i="3"/>
  <c r="AI28" i="3"/>
  <c r="AB27" i="3"/>
  <c r="AK28" i="3"/>
  <c r="AG28" i="3"/>
  <c r="AC28" i="3" l="1"/>
  <c r="AA29" i="3"/>
  <c r="AE27" i="3"/>
  <c r="AI29" i="3"/>
  <c r="AB28" i="3"/>
  <c r="AK29" i="3"/>
  <c r="AG29" i="3"/>
  <c r="AC29" i="3" l="1"/>
  <c r="AA30" i="3"/>
  <c r="AE28" i="3"/>
  <c r="AI30" i="3"/>
  <c r="AG30" i="3"/>
  <c r="AB29" i="3"/>
  <c r="AK30" i="3"/>
  <c r="AC30" i="3" l="1"/>
  <c r="AA31" i="3"/>
  <c r="AE29" i="3"/>
  <c r="AB30" i="3"/>
  <c r="AK31" i="3"/>
  <c r="AG31" i="3"/>
  <c r="AI31" i="3"/>
  <c r="AC31" i="3" l="1"/>
  <c r="AA32" i="3"/>
  <c r="AE30" i="3"/>
  <c r="AK32" i="3"/>
  <c r="AI32" i="3"/>
  <c r="AG32" i="3"/>
  <c r="AB31" i="3"/>
  <c r="AC32" i="3" l="1"/>
  <c r="AA33" i="3"/>
  <c r="AE31" i="3"/>
  <c r="AI33" i="3"/>
  <c r="AB32" i="3"/>
  <c r="AG33" i="3"/>
  <c r="AK33" i="3"/>
  <c r="AC33" i="3" l="1"/>
  <c r="AA34" i="3"/>
  <c r="AE32" i="3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<sst xmlns="http://schemas.openxmlformats.org/spreadsheetml/2006/main" count="521" uniqueCount="161">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</sst>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NumberFormat="1"/>
    <xf numFmtId="0" fontId="21" fillId="0" borderId="0" xfId="3" applyAlignment="1">
      <alignment horizontal="right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6E0BAD2-5541-4A7A-924E-E3D4401C62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847D32-015E-4917-AC61-E026932CA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2B8666-C037-4877-B205-C772F8B0A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1B8F2E-BE47-4661-8BAA-6C11B6097B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3CD00D-490D-47EA-9692-90EDC6063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B41492-53F8-451B-9FF8-9AC9BAE51B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230E7F-13B2-4BFB-B6C4-428FD5609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3A1712-195D-4CD0-B2B8-E88D43CCFE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0D9192-1A94-41EE-B40D-133B121659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22E2AC-9A00-49E4-B513-9657711AB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0C4FFA-7E55-4AD0-B015-402B59B76E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6A5ECC-4CB8-43B1-94E4-2FBF6C0694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A7D49A-8DA6-4C72-8801-CD3DE72BB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BD6F3B-9DCB-42B6-948A-71DF17344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70C338-C6B4-4EB5-9736-8F15885525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E39329-76FA-4482-957B-B6D53C1305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1F56F1-113E-4191-9F5A-D2802A0CD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332246-101E-456F-90A2-35C941072C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642945-B409-439D-B139-8C60417918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21FDCD-BF31-447D-9C5D-29A5133A9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C1B2E7-37B3-42AF-9FC3-FE0518F1D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965645-385B-49CD-B2B5-0C29838F4B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19F470-C961-4BA8-B6D4-B36383FE9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4E2BBB-49B2-4971-9D0D-A432F20A7E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E421EE-088C-4CB4-A8DE-D8109A7BA8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78394A-6629-4529-873B-CA2FC3A207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B3320D-1CE5-4D11-BB8A-ECA860288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4EEE08-0417-4978-B660-A5F049AB1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FCF642-8C50-4136-BCCC-E14988842B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54CF21-8EC0-46D2-B46F-4AD657AB95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AE3FF09-93ED-48A0-AD5D-DA2F581648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6453DD-3A49-4384-95D1-C3D719789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DDAA28-10E6-4576-8A91-C27B88B270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234401-6AA7-40E9-BDB7-DD96FB8708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6DED35-BD20-4AC5-9E8D-23D6310020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39747A-1CB9-47B3-B503-B04EF753F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49C556-39A2-4234-A85C-8DA3198887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D0C452-4C1C-403E-B1BC-CBFCE6C298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D41615-BD4E-4C5C-BC49-62580D23EC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D572D3-0BF0-4D93-8ECA-5178348615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55AC59-EEE1-4E33-B367-097A199F77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C6F2E8-AC97-4D43-9E0F-57F159097E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9629BF-7C73-46D9-8ABF-2558FE55D8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9A3941-5402-4045-AF2B-0E62652A6A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829BAD-92AE-42CF-99BB-5848CC345C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B3D5B8-6F62-4CB6-BCDF-713EB8D62F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CBFBCB-BCDC-45BD-AF0F-37F626007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2BDDF1-55B8-422D-BEBD-2983F5B09A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19F01E-8CEB-4042-A1C5-782DEDDDEF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32A6CF-D0CA-4A95-86CB-4A76B666F1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372755-010F-4F5B-B5AB-376D50EE9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0E3447-4B35-4D86-B5EF-21D719E77D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FF1498-4793-46BD-8322-07D9B153E5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3A76B5-4B6A-49CE-99BD-8DD1B9391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2804A3-DA16-4FBA-A78F-8DC398B3E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6F9433-F931-4767-B3AE-8E0529F7A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EE2312-B1B8-4748-BE57-B36298E82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4894E7-37B2-4115-8124-501F562305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59070C-7324-41CF-8700-9430BB8F79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0687F9-923D-4AF7-8F91-C098A6045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ABFC2B-F01E-40E1-A9D7-D35557BA5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9A36A6-91CA-4371-9FEB-A4075D5AB7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05CFB93-9158-427B-9B6E-58F2F78BCB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C0CA05-12CD-4A8C-B88A-FA4BC36A42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5B3587-E44F-4A6D-8182-28CAF13709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0CEAAD-5D78-4504-AA63-A7AB4061EC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D67C7A-B01D-4176-ABE5-9F1E9B1EF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D29792-A0EC-4329-8030-B09657FD7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475D1E-E805-458A-9393-F4DE8FC9D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C92D84-74D5-44EF-8D8A-AE9DBA5A7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29F8D2-AFF9-463B-B717-CF6D3A8FCD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58DF4F-8A89-44BF-A323-B0B35BD6FF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9F9052-BBD7-4D42-A01B-B728E6830B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2B0A6E-DA6A-4868-BB7C-068ED88EC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F24BDB-870D-4541-9410-00A46ECB3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E8F723-713F-498E-8897-02C747BDA0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F14855-85C3-4C61-8DE5-A3BD249865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AEB09C-C027-4892-A7A9-FEBBD9102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040D3B-70D2-4F5D-B12D-8886B2688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846B02-858C-478A-BF87-87B06B2A3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85ADB6-9431-40C1-8132-FF605EA29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15932F-FAEB-4274-A5B5-721DCBDF9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1972EC-0CFA-4F32-8D12-5D61CDF944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303D0F-0460-4E09-A595-324CB563FD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5B9232-DB84-4D8B-8A89-C5D27F1172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60838A-9CF8-43D7-93C8-1B3FF8831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0C7EEF-CE43-4D42-9BEB-72B91798F5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04CB84-6A4A-41DF-B52B-B3E200BC0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3D1298-6241-42B2-92ED-FD84D88A01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045928-3116-4D15-8A70-CF0D2A8E34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DD4E8A-ECE9-4BB3-89E3-8A5BD801D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5A1628-9C74-4799-B373-108A7C8CEB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8" dataDxfId="117">
  <autoFilter ref="R13:X16" xr:uid="{FF2C9E8B-1A62-479C-AF68-79B236C0B7BB}"/>
  <tableColumns count="7">
    <tableColumn id="1" xr3:uid="{727C6146-39EA-4E15-8783-53CAA87FAF36}" name="Zone ID" dataDxfId="116"/>
    <tableColumn id="2" xr3:uid="{2CA65110-6DD7-46D8-BFC2-5EB0C0E57567}" name="Description" dataDxfId="115"/>
    <tableColumn id="3" xr3:uid="{12D64F80-6A69-494F-BF8F-E326D34A185A}" name="Short Description" dataDxfId="114"/>
    <tableColumn id="4" xr3:uid="{71F3F5B2-8F6B-4985-B1FC-5A9D60095474}" name="Start Date" dataDxfId="113"/>
    <tableColumn id="5" xr3:uid="{57258378-8FED-4727-89AC-D938CB414B7B}" name="Finish Date" dataDxfId="11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0">
      <calculatedColumnFormula>IF(AA13 = "Date", $S$4, AA13+7)</calculatedColumnFormula>
    </tableColumn>
    <tableColumn id="6" xr3:uid="{5740AC03-CF53-4345-8667-6AC0CA6843D0}" name="Primary Areas" dataDxfId="109">
      <calculatedColumnFormula>PrimaryAreas(3)</calculatedColumnFormula>
    </tableColumn>
    <tableColumn id="2" xr3:uid="{AF232D3D-EC3F-4232-BA5D-1427173C2D6A}" name="Weekly Plan" dataDxfId="108">
      <calculatedColumnFormula xml:space="preserve"> IF(#REF!="", 0,#REF!)+ IF(#REF!="", 0,#REF!)+ IF(#REF!="", 0,#REF!)</calculatedColumnFormula>
    </tableColumn>
    <tableColumn id="3" xr3:uid="{B28103F6-7596-4848-9F0D-3E4A9E5CBEFE}" name="Weekly Actual" dataDxfId="107">
      <calculatedColumnFormula>IF(AND(ISBLANK(#REF!),ISBLANK(#REF!),ISBLANK(#REF!)),"",#REF! +#REF!+#REF!)</calculatedColumnFormula>
    </tableColumn>
    <tableColumn id="4" xr3:uid="{EF1C6009-71E6-491B-B64F-04049D2D9103}" name="Accumulated Plan" dataDxfId="106">
      <calculatedColumnFormula>SUM($AC$14:AC14)</calculatedColumnFormula>
    </tableColumn>
    <tableColumn id="5" xr3:uid="{442DAB73-1233-4C61-8DE9-3B44CE2C5D69}" name="Accumulated Actual" dataDxfId="105">
      <calculatedColumnFormula>IF(AD14="",NA(),SUM($AD$14:AD14))</calculatedColumnFormula>
    </tableColumn>
    <tableColumn id="43" xr3:uid="{CE31DBAF-57B0-4D4D-852A-B07516A73A41}" name="WP_A1" dataDxfId="104">
      <calculatedColumnFormula>WeeklyPlanned(Output_Template[[#Headers],[WP_A1]], Output_Template[[#This Row],[Date]])</calculatedColumnFormula>
    </tableColumn>
    <tableColumn id="44" xr3:uid="{A0857F89-2BC6-42D6-B02F-90D9272451CA}" name="WA_A1" dataDxfId="103"/>
    <tableColumn id="45" xr3:uid="{2A74D439-B21B-40DD-BB55-7D2C2B18629E}" name="WP_A2" dataDxfId="102">
      <calculatedColumnFormula>WeeklyPlanned(Output_Template[[#Headers],[WP_A2]], Output_Template[[#This Row],[Date]])</calculatedColumnFormula>
    </tableColumn>
    <tableColumn id="46" xr3:uid="{670DB326-434A-466C-9E3C-6A8FE180F21F}" name="WA_A2" dataDxfId="101"/>
    <tableColumn id="47" xr3:uid="{B6798EC6-DE2D-49BB-961E-220FED1F6F10}" name="WP_A3" dataDxfId="100">
      <calculatedColumnFormula>WeeklyPlanned(Output_Template[[#Headers],[WP_A3]], Output_Template[[#This Row],[Date]])</calculatedColumnFormula>
    </tableColumn>
    <tableColumn id="48" xr3:uid="{B2CB6DA2-6E53-4BAC-881B-229E451DFCE0}" name="WA_A3" dataDxfId="99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64" dataDxfId="63">
  <autoFilter ref="R13:X16" xr:uid="{FF2C9E8B-1A62-479C-AF68-79B236C0B7BB}"/>
  <tableColumns count="7">
    <tableColumn id="1" xr3:uid="{98B6CEFA-F45C-41F6-AA4B-12A3C8376FF3}" name="Zone ID" dataDxfId="62"/>
    <tableColumn id="2" xr3:uid="{0EED481C-6B7F-45EA-96EB-621E9C83F3F6}" name="Description" dataDxfId="61"/>
    <tableColumn id="3" xr3:uid="{92B65829-37BF-4514-B7D6-292B5B8F0C44}" name="Short Description" dataDxfId="60"/>
    <tableColumn id="4" xr3:uid="{80A86D55-7D1D-4DFA-811D-6869E0913B53}" name="Start Date" dataDxfId="59"/>
    <tableColumn id="5" xr3:uid="{93521AA3-7D74-4D93-B395-07061FC7E0C3}" name="Finish Date" dataDxfId="58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5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56">
      <calculatedColumnFormula>IF(AA13 = "Date", $S$4, AA13+7)</calculatedColumnFormula>
    </tableColumn>
    <tableColumn id="6" xr3:uid="{AB52DC66-705D-403C-9556-5F09775CDBB4}" name="Primary Areas" dataDxfId="55">
      <calculatedColumnFormula>PrimaryAreas(3)</calculatedColumnFormula>
    </tableColumn>
    <tableColumn id="2" xr3:uid="{B199DE9E-07BB-4F6F-BF0F-FD9612C1E4A1}" name="Weekly Plan" dataDxfId="54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53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52">
      <calculatedColumnFormula>SUM($AC$14:AC14)</calculatedColumnFormula>
    </tableColumn>
    <tableColumn id="5" xr3:uid="{651F866A-913C-41F0-96AF-A1AE2AFF845B}" name="Accumulated Actual" dataDxfId="51">
      <calculatedColumnFormula>IF(AD14="",NA(),SUM($AD$14:AD14))</calculatedColumnFormula>
    </tableColumn>
    <tableColumn id="43" xr3:uid="{32BBBBE6-824B-424A-A817-1078C82774BD}" name="WP_A1" dataDxfId="50">
      <calculatedColumnFormula>WeeklyPlanned(Output_0001[[#Headers],[WP_A1]], Output_0001[[#This Row],[Date]])</calculatedColumnFormula>
    </tableColumn>
    <tableColumn id="44" xr3:uid="{2E76C9D7-DBC3-40AA-B2D2-F2A8133ADEDC}" name="WA_A1" dataDxfId="49"/>
    <tableColumn id="45" xr3:uid="{8349A05E-AB3B-4D38-86D5-C3757AF0C549}" name="WP_A2" dataDxfId="48">
      <calculatedColumnFormula>WeeklyPlanned(Output_0001[[#Headers],[WP_A2]], Output_0001[[#This Row],[Date]])</calculatedColumnFormula>
    </tableColumn>
    <tableColumn id="46" xr3:uid="{98829D33-590E-463C-A7AE-DB10CF64BCCB}" name="WA_A2" dataDxfId="47"/>
    <tableColumn id="47" xr3:uid="{0C2A1C55-569B-4688-8BB0-54DD665AAD32}" name="WP_A3" dataDxfId="46">
      <calculatedColumnFormula>WeeklyPlanned(Output_0001[[#Headers],[WP_A3]], Output_0001[[#This Row],[Date]])</calculatedColumnFormula>
    </tableColumn>
    <tableColumn id="48" xr3:uid="{5EA3C838-64EE-4DF3-8DFE-BE9B5AC605F5}" name="WA_A3" dataDxf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7" t="str">
        <f>HYPERLINK("#Main!A1", "Back to Main")</f>
        <v>Back to Main</v>
      </c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155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44" priority="10">
      <formula>ISERROR(AF14)</formula>
    </cfRule>
  </conditionalFormatting>
  <conditionalFormatting sqref="W13:X13">
    <cfRule type="expression" dxfId="43" priority="8">
      <formula>IF(OR($S$8 = "Assemble Addin", $S$8 = "Bluebeam QL"), TRUE, FALSE)</formula>
    </cfRule>
  </conditionalFormatting>
  <conditionalFormatting sqref="N6:O6">
    <cfRule type="expression" dxfId="42" priority="7">
      <formula>IF($N$6=$O$6, FALSE, TRUE)</formula>
    </cfRule>
  </conditionalFormatting>
  <conditionalFormatting sqref="W14:X16">
    <cfRule type="expression" dxfId="41" priority="5">
      <formula>IF(OR($S$8 = "Assemble Addin", $S$8 = "Bluebeam QL"), TRUE, FALSE)</formula>
    </cfRule>
    <cfRule type="expression" dxfId="40" priority="6">
      <formula>IF(OR($S$8 = "Assemble Addin", $S$8 = "Bluebeam QL"), MOD(ROW(), 2)=0, FALSE)</formula>
    </cfRule>
  </conditionalFormatting>
  <conditionalFormatting sqref="R13">
    <cfRule type="expression" dxfId="39" priority="2">
      <formula>IF($S$8 = "Assemble Addin", TRUE, FALSE)</formula>
    </cfRule>
  </conditionalFormatting>
  <conditionalFormatting sqref="R14:R16">
    <cfRule type="expression" dxfId="3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153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150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151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C21" sqref="C21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156</v>
      </c>
      <c r="J10" s="12" t="s">
        <v>35</v>
      </c>
      <c r="K10" s="12" t="s">
        <v>34</v>
      </c>
    </row>
    <row r="11" spans="2:12" ht="15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6" t="s">
        <v>160</v>
      </c>
    </row>
    <row r="12" spans="2:12" x14ac:dyDescent="0.3">
      <c r="B12" s="13"/>
      <c r="G12" s="38"/>
      <c r="H12" s="37"/>
    </row>
    <row r="13" spans="2:12" ht="15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6" t="s">
        <v>160</v>
      </c>
    </row>
    <row r="14" spans="2:12" s="77" customFormat="1" x14ac:dyDescent="0.3">
      <c r="B14" s="9"/>
      <c r="D14" s="10"/>
      <c r="E14" s="10"/>
      <c r="G14" s="73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6" t="s">
        <v>160</v>
      </c>
    </row>
    <row r="16" spans="2:12" ht="14.5" x14ac:dyDescent="0.35">
      <c r="B16" s="9" t="s">
        <v>149</v>
      </c>
      <c r="C16" s="67" t="s">
        <v>148</v>
      </c>
      <c r="D16" s="10">
        <f ca="1">'0501'!N5</f>
        <v>0</v>
      </c>
      <c r="E16" s="10">
        <f ca="1">'0501'!O5</f>
        <v>0.10714285714285712</v>
      </c>
      <c r="G16" s="73"/>
      <c r="H16" s="106" t="str">
        <f>HYPERLINK("#0501!A1", "0501")</f>
        <v>0501</v>
      </c>
      <c r="I16" s="74" t="str">
        <f ca="1">IF(Report_Date = INDIRECT(H16 &amp; "!S9"), "Ready", "Not Ready")</f>
        <v>Ready</v>
      </c>
      <c r="J16" s="67" t="s">
        <v>158</v>
      </c>
      <c r="K16" s="67" t="s">
        <v>159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6" t="s">
        <v>160</v>
      </c>
    </row>
    <row r="19" spans="2:12" x14ac:dyDescent="0.3">
      <c r="B19" s="9"/>
      <c r="G19" s="73"/>
      <c r="H19" s="37"/>
    </row>
    <row r="20" spans="2:12" ht="15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6" t="s">
        <v>160</v>
      </c>
    </row>
    <row r="21" spans="2:12" x14ac:dyDescent="0.3">
      <c r="B21" s="9"/>
      <c r="G21" s="73"/>
      <c r="H21" s="37"/>
    </row>
    <row r="22" spans="2:12" ht="15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6" t="s">
        <v>160</v>
      </c>
    </row>
    <row r="23" spans="2:12" x14ac:dyDescent="0.3">
      <c r="B23" s="9"/>
      <c r="G23" s="73"/>
      <c r="H23" s="37"/>
    </row>
    <row r="24" spans="2:12" ht="15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6" t="s">
        <v>160</v>
      </c>
    </row>
    <row r="25" spans="2:12" x14ac:dyDescent="0.3">
      <c r="B25" s="9"/>
      <c r="G25" s="73"/>
      <c r="H25" s="37"/>
    </row>
    <row r="26" spans="2:12" ht="15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6" t="s">
        <v>160</v>
      </c>
    </row>
    <row r="27" spans="2:12" x14ac:dyDescent="0.3">
      <c r="B27" s="9"/>
      <c r="G27" s="73"/>
      <c r="H27" s="37"/>
    </row>
    <row r="28" spans="2:12" ht="15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6" t="s">
        <v>160</v>
      </c>
    </row>
    <row r="29" spans="2:12" x14ac:dyDescent="0.3">
      <c r="B29" s="9"/>
      <c r="G29" s="73"/>
      <c r="H29" s="37"/>
    </row>
    <row r="30" spans="2:12" ht="15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6" t="s">
        <v>160</v>
      </c>
    </row>
    <row r="31" spans="2:12" x14ac:dyDescent="0.3">
      <c r="B31" s="9"/>
      <c r="G31" s="73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67" t="s">
        <v>160</v>
      </c>
    </row>
    <row r="33" spans="2:10" x14ac:dyDescent="0.3">
      <c r="B33" s="9" t="s">
        <v>152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158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7:E21 E12:E15">
    <cfRule type="expression" dxfId="37" priority="57">
      <formula>IF(ISBLANK($D12), FALSE, IF(RedGreen_Formatting = "Enabled", $D12 &lt;= $E12 + Percent_Error, FALSE))</formula>
    </cfRule>
    <cfRule type="expression" dxfId="36" priority="58">
      <formula>IF(ISBLANK($D12), FALSE, IF(RedGreen_Formatting = "Enabled", $D12 &gt; $E12 + Percent_Error, FALSE))</formula>
    </cfRule>
  </conditionalFormatting>
  <conditionalFormatting sqref="E22">
    <cfRule type="expression" dxfId="35" priority="55">
      <formula>IF(ISBLANK($D22), FALSE, IF(RedGreen_Formatting = "Enabled", $D22 &lt;= $E22 + Percent_Error, FALSE))</formula>
    </cfRule>
    <cfRule type="expression" dxfId="34" priority="56">
      <formula>IF(ISBLANK($D22), FALSE, IF(RedGreen_Formatting = "Enabled", $D22 &gt; $E22 + Percent_Error, FALSE))</formula>
    </cfRule>
  </conditionalFormatting>
  <conditionalFormatting sqref="E24">
    <cfRule type="expression" dxfId="33" priority="53">
      <formula>IF(ISBLANK($D24), FALSE, IF(RedGreen_Formatting = "Enabled", $D24 &lt;= $E24 + Percent_Error, FALSE))</formula>
    </cfRule>
    <cfRule type="expression" dxfId="32" priority="54">
      <formula>IF(ISBLANK($D24), FALSE, IF(RedGreen_Formatting = "Enabled", $D24 &gt; $E24 + Percent_Error, FALSE))</formula>
    </cfRule>
  </conditionalFormatting>
  <conditionalFormatting sqref="E26">
    <cfRule type="expression" dxfId="31" priority="51">
      <formula>IF(ISBLANK($D26), FALSE, IF(RedGreen_Formatting = "Enabled", $D26 &lt;= $E26 + Percent_Error, FALSE))</formula>
    </cfRule>
    <cfRule type="expression" dxfId="30" priority="52">
      <formula>IF(ISBLANK($D26), FALSE, IF(RedGreen_Formatting = "Enabled", $D26 &gt; $E26 + Percent_Error, FALSE))</formula>
    </cfRule>
  </conditionalFormatting>
  <conditionalFormatting sqref="E28">
    <cfRule type="expression" dxfId="29" priority="49">
      <formula>IF(ISBLANK($D28), FALSE, IF(RedGreen_Formatting = "Enabled", $D28 &lt;= $E28 + Percent_Error, FALSE))</formula>
    </cfRule>
    <cfRule type="expression" dxfId="28" priority="50">
      <formula>IF(ISBLANK($D28), FALSE, IF(RedGreen_Formatting = "Enabled", $D28 &gt; $E28 + Percent_Error, FALSE))</formula>
    </cfRule>
  </conditionalFormatting>
  <conditionalFormatting sqref="E30">
    <cfRule type="expression" dxfId="27" priority="47">
      <formula>IF(ISBLANK($D30), FALSE, IF(RedGreen_Formatting = "Enabled", $D30 &lt;= $E30 + Percent_Error, FALSE))</formula>
    </cfRule>
    <cfRule type="expression" dxfId="26" priority="48">
      <formula>IF(ISBLANK($D30), FALSE, IF(RedGreen_Formatting = "Enabled", $D30 &gt; $E30 + Percent_Error, FALSE))</formula>
    </cfRule>
  </conditionalFormatting>
  <conditionalFormatting sqref="E32">
    <cfRule type="expression" dxfId="25" priority="45">
      <formula>IF(ISBLANK($D32), FALSE, IF(RedGreen_Formatting = "Enabled", $D32 &lt;= $E32 + Percent_Error, FALSE))</formula>
    </cfRule>
    <cfRule type="expression" dxfId="24" priority="46">
      <formula>IF(ISBLANK($D32), FALSE, IF(RedGreen_Formatting = "Enabled", $D32 &gt; $E32 + Percent_Error, FALSE))</formula>
    </cfRule>
  </conditionalFormatting>
  <conditionalFormatting sqref="E34">
    <cfRule type="expression" dxfId="23" priority="27">
      <formula>IF(ISBLANK($D34), FALSE, IF(RedGreen_Formatting = "Enabled", $D34 &lt;= $E34 + Percent_Error, FALSE))</formula>
    </cfRule>
    <cfRule type="expression" dxfId="22" priority="28">
      <formula>IF(ISBLANK($D34), FALSE, IF(RedGreen_Formatting = "Enabled", $D34 &gt; $E34 + Percent_Error, FALSE))</formula>
    </cfRule>
  </conditionalFormatting>
  <conditionalFormatting sqref="E33">
    <cfRule type="expression" dxfId="21" priority="7">
      <formula>IF(ISBLANK($D33), FALSE, IF(RedGreen_Formatting = "Enabled", $D33 &lt;= $E33 + Percent_Error, FALSE))</formula>
    </cfRule>
    <cfRule type="expression" dxfId="20" priority="8">
      <formula>IF(ISBLANK($D33), FALSE, IF(RedGreen_Formatting = "Enabled", $D33 &gt; $E33 + Percent_Error, FALSE))</formula>
    </cfRule>
  </conditionalFormatting>
  <conditionalFormatting sqref="E16">
    <cfRule type="expression" dxfId="19" priority="5">
      <formula>IF(ISBLANK($D16), FALSE, IF(RedGreen_Formatting = "Enabled", $D16 &lt;= $E16 + Percent_Error, FALSE))</formula>
    </cfRule>
    <cfRule type="expression" dxfId="18" priority="6">
      <formula>IF(ISBLANK($D16), FALSE, IF(RedGreen_Formatting = "Enabled", $D16 &gt; $E16 + Percent_Error, FALSE))</formula>
    </cfRule>
  </conditionalFormatting>
  <conditionalFormatting sqref="I16">
    <cfRule type="cellIs" dxfId="17" priority="3" operator="equal">
      <formula>"Not Ready"</formula>
    </cfRule>
    <cfRule type="cellIs" dxfId="16" priority="4" operator="equal">
      <formula>"Ready"</formula>
    </cfRule>
  </conditionalFormatting>
  <conditionalFormatting sqref="I33">
    <cfRule type="cellIs" dxfId="15" priority="1" operator="equal">
      <formula>"Not Ready"</formula>
    </cfRule>
    <cfRule type="cellIs" dxfId="14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C6" sqref="C6:I6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7" t="str">
        <f>HYPERLINK("#Main!A1", "Back to Main")</f>
        <v>Back to Main</v>
      </c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8"/>
      <c r="M15" s="88"/>
      <c r="N15" s="88"/>
      <c r="O15" s="89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155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2020-07-31T15:28:49Z</dcterms:modified>
</cp:coreProperties>
</file>