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AAFB3024-0A88-46EF-AA12-E96831DEE0F7}" xr6:coauthVersionLast="44" xr6:coauthVersionMax="44" xr10:uidLastSave="{00000000-0000-0000-0000-000000000000}"/>
  <bookViews>
    <workbookView xWindow="-28920" yWindow="14190" windowWidth="29040" windowHeight="17640" activeTab="1" xr2:uid="{791B15CC-68B2-4D54-B53E-4FED7E26F6F4}"/>
  </bookViews>
  <sheets>
    <sheet name="Settings" sheetId="1" r:id="rId1"/>
    <sheet name="Main" sheetId="2" r:id="rId2"/>
  </sheets>
  <functionGroups builtInGroupCount="19"/>
  <definedNames>
    <definedName name="Dev_Mode">Settings!$F$3</definedName>
    <definedName name="Half_After_Holiday">Settings!$F$5</definedName>
    <definedName name="Logging">Settings!$F$4</definedName>
    <definedName name="Power_BI_Export_Folder">Settings!$L$1</definedName>
    <definedName name="Power_BI_Filename">Settings!$C$6</definedName>
    <definedName name="_xlnm.Print_Area" localSheetId="1">Main!$B$2:$E$45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8" i="2" l="1"/>
  <c r="B6" i="2"/>
  <c r="B7" i="2"/>
  <c r="B2" i="2" l="1"/>
  <c r="B4" i="2"/>
  <c r="C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K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</commentList>
</comments>
</file>

<file path=xl/sharedStrings.xml><?xml version="1.0" encoding="utf-8"?>
<sst xmlns="http://schemas.openxmlformats.org/spreadsheetml/2006/main" count="40" uniqueCount="40">
  <si>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</si>
  <si>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</si>
  <si>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</si>
  <si>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</si>
  <si>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</si>
  <si>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</si>
  <si>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</si>
  <si>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</si>
  <si>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</si>
  <si>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</si>
  <si>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</si>
  <si>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</si>
  <si>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</si>
  <si>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</si>
  <si>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</si>
  <si>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S000</t>
  </si>
  <si>
    <t>Westland Super Cool Project</t>
  </si>
  <si>
    <t>C:\Users\camron\OneDrive - Westland Construction\Projects\S590 - SGU Temple Remodel\UIP</t>
  </si>
  <si>
    <t>Report Date:</t>
  </si>
  <si>
    <t>Reporting Day</t>
  </si>
  <si>
    <t>Wednesday</t>
  </si>
  <si>
    <t>Project Manager</t>
  </si>
  <si>
    <t>Project Engineer</t>
  </si>
  <si>
    <t>Default 1</t>
  </si>
  <si>
    <t>Default 2</t>
  </si>
  <si>
    <t>Default 3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</si>
  <si>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</si>
  <si>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</si>
  <si>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</si>
  <si>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</si>
  <si>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</si>
  <si>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</si>
  <si>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</si>
  <si>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</si>
  <si>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</si>
  <si>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</si>
  <si>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0301  Footings</t>
  </si>
  <si>
    <t>0302  Foundation Walls</t>
  </si>
  <si>
    <t>Disabled</t>
  </si>
  <si>
    <t>RedGreen Formatting: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</si>
</sst>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%"/>
  </numFmts>
  <fonts count="12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sz val="13"/>
      <color theme="1"/>
      <name val="Interstate-Light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8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14" fontId="1" fillId="2" borderId="1" xfId="1" applyNumberFormat="1"/>
    <xf numFmtId="0" fontId="8" fillId="0" borderId="0" xfId="0" applyFont="1" applyAlignment="1">
      <alignment horizontal="left"/>
    </xf>
    <xf numFmtId="0" fontId="9" fillId="0" borderId="0" xfId="0" applyFont="1"/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7" fillId="0" borderId="0" xfId="0" applyFont="1" applyFill="1" applyAlignment="1">
      <alignment horizontal="left" vertical="center"/>
    </xf>
    <xf numFmtId="165" fontId="9" fillId="0" borderId="0" xfId="0" applyNumberFormat="1" applyFont="1"/>
    <xf numFmtId="0" fontId="11" fillId="4" borderId="0" xfId="0" applyFont="1" applyFill="1"/>
    <xf numFmtId="165" fontId="11" fillId="4" borderId="0" xfId="0" applyNumberFormat="1" applyFont="1" applyFill="1"/>
    <xf numFmtId="0" fontId="10" fillId="5" borderId="0" xfId="0" applyFont="1" applyFill="1" applyAlignment="1">
      <alignment horizontal="left" vertical="center"/>
    </xf>
    <xf numFmtId="0" fontId="9" fillId="0" borderId="0" xfId="0" applyFont="1" applyAlignment="1">
      <alignment horizontal="left" indent="2"/>
    </xf>
  </cellXfs>
  <cellStyles count="2">
    <cellStyle name="Input" xfId="1" builtinId="20"/>
    <cellStyle name="Normal" xfId="0" builtinId="0"/>
  </cellStyles>
  <dxfs count="14"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numFmt numFmtId="19" formatCode="m/d/yyyy"/>
    </dxf>
    <dxf>
      <numFmt numFmtId="19" formatCode="m/d/yyyy"/>
    </dxf>
  </dxfs>
  <tableStyles count="0" defaultTableStyle="TableStyleMedium2" defaultPivotStyle="PivotStyleLight16"/>
  <colors>
    <mruColors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19050</xdr:rowOff>
        </xdr:from>
        <xdr:to>
          <xdr:col>10</xdr:col>
          <xdr:colOff>1644650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160131</xdr:rowOff>
    </xdr:from>
    <xdr:to>
      <xdr:col>4</xdr:col>
      <xdr:colOff>742388</xdr:colOff>
      <xdr:row>2</xdr:row>
      <xdr:rowOff>22087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6566" y="160131"/>
          <a:ext cx="1454692" cy="39756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13">
  <autoFilter ref="H2:H5" xr:uid="{1041DC80-58D6-4308-9DE1-A4EC8AAD3C20}"/>
  <tableColumns count="1">
    <tableColumn id="1" xr3:uid="{0E6D3E77-7CB7-40A1-BCA6-DDC8164AAEB9}" name="Holidays" dataDxfId="12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L18"/>
  <sheetViews>
    <sheetView workbookViewId="0">
      <selection activeCell="H20" sqref="H20"/>
    </sheetView>
  </sheetViews>
  <sheetFormatPr defaultRowHeight="14.5" x14ac:dyDescent="0.35"/>
  <cols>
    <col min="1" max="1" width="2.6328125" customWidth="1"/>
    <col min="2" max="2" width="18.36328125" bestFit="1" customWidth="1"/>
    <col min="3" max="3" width="35.54296875" customWidth="1"/>
    <col min="4" max="4" width="2.36328125" customWidth="1"/>
    <col min="5" max="5" width="17.81640625" bestFit="1" customWidth="1"/>
    <col min="6" max="6" width="14.36328125" customWidth="1"/>
    <col min="7" max="7" width="2.6328125" customWidth="1"/>
    <col min="8" max="8" width="17.453125" customWidth="1"/>
    <col min="9" max="10" width="2.6328125" customWidth="1"/>
    <col min="11" max="11" width="23.08984375" bestFit="1" customWidth="1"/>
    <col min="12" max="12" width="86.6328125" bestFit="1" customWidth="1"/>
  </cols>
  <sheetData>
    <row r="1" spans="2:12" ht="15.5" x14ac:dyDescent="0.35">
      <c r="E1" s="10" t="s">
        <v>5</v>
      </c>
      <c r="F1" s="10"/>
      <c r="H1" s="2" t="s">
        <v>9</v>
      </c>
      <c r="K1" s="5" t="s">
        <v>12</v>
      </c>
      <c r="L1" s="5" t="s">
        <v>17</v>
      </c>
    </row>
    <row r="2" spans="2:12" ht="15.5" x14ac:dyDescent="0.35">
      <c r="B2" s="11" t="s">
        <v>6</v>
      </c>
      <c r="C2" s="11"/>
      <c r="E2" t="s">
        <v>0</v>
      </c>
      <c r="F2" t="s">
        <v>7</v>
      </c>
      <c r="H2" t="s">
        <v>3</v>
      </c>
    </row>
    <row r="3" spans="2:12" x14ac:dyDescent="0.35">
      <c r="B3" s="3" t="s">
        <v>10</v>
      </c>
      <c r="C3" s="4" t="s">
        <v>16</v>
      </c>
      <c r="E3" t="s">
        <v>1</v>
      </c>
      <c r="F3" t="b">
        <v>1</v>
      </c>
      <c r="H3" s="1">
        <v>43976</v>
      </c>
    </row>
    <row r="4" spans="2:12" x14ac:dyDescent="0.35">
      <c r="B4" s="3" t="s">
        <v>13</v>
      </c>
      <c r="C4" s="4" t="s">
        <v>15</v>
      </c>
      <c r="E4" t="s">
        <v>2</v>
      </c>
      <c r="F4" t="b">
        <v>1</v>
      </c>
      <c r="H4" s="1">
        <v>44190</v>
      </c>
    </row>
    <row r="5" spans="2:12" x14ac:dyDescent="0.35">
      <c r="B5" t="s">
        <v>8</v>
      </c>
      <c r="C5" s="6">
        <v>44652</v>
      </c>
      <c r="E5" t="s">
        <v>4</v>
      </c>
      <c r="F5" t="b">
        <v>1</v>
      </c>
      <c r="H5" s="1">
        <v>44197</v>
      </c>
    </row>
    <row r="6" spans="2:12" x14ac:dyDescent="0.35">
      <c r="B6" t="s">
        <v>14</v>
      </c>
      <c r="C6" s="4" t="str">
        <f>C4&amp;" Power BI Export.xlsx"</f>
        <v>S000 Power BI Export.xlsx</v>
      </c>
      <c r="E6" t="s">
        <v>11</v>
      </c>
      <c r="F6" t="b">
        <v>0</v>
      </c>
      <c r="H6" s="1"/>
    </row>
    <row r="7" spans="2:12" x14ac:dyDescent="0.35">
      <c r="B7" t="s">
        <v>19</v>
      </c>
      <c r="C7" s="4" t="s">
        <v>20</v>
      </c>
      <c r="H7" s="1"/>
    </row>
    <row r="8" spans="2:12" x14ac:dyDescent="0.35">
      <c r="B8" t="s">
        <v>21</v>
      </c>
      <c r="C8" s="4" t="s">
        <v>23</v>
      </c>
      <c r="H8" s="1"/>
    </row>
    <row r="9" spans="2:12" x14ac:dyDescent="0.35">
      <c r="B9" t="s">
        <v>22</v>
      </c>
      <c r="C9" s="4" t="s">
        <v>24</v>
      </c>
      <c r="H9" s="1"/>
    </row>
    <row r="10" spans="2:12" x14ac:dyDescent="0.35">
      <c r="B10" t="s">
        <v>26</v>
      </c>
      <c r="C10" s="4" t="s">
        <v>25</v>
      </c>
      <c r="H10" s="1"/>
    </row>
    <row r="11" spans="2:12" x14ac:dyDescent="0.35">
      <c r="H11" s="1"/>
    </row>
    <row r="12" spans="2:12" x14ac:dyDescent="0.35">
      <c r="H12" s="1"/>
    </row>
    <row r="13" spans="2:12" x14ac:dyDescent="0.35">
      <c r="H13" s="1"/>
    </row>
    <row r="14" spans="2:12" x14ac:dyDescent="0.35">
      <c r="H14" s="1"/>
    </row>
    <row r="15" spans="2:12" x14ac:dyDescent="0.35">
      <c r="H15" s="1"/>
    </row>
    <row r="16" spans="2:12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This setting adds half production for the day after a holiday on the schedule. (Also half production for the week of Christmas)" sqref="F5" xr:uid="{99DB0BEB-D9A3-46F5-B50F-0AEE7303E4ED}">
      <formula1>"TRUE, 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10</xdr:col>
                    <xdr:colOff>19050</xdr:colOff>
                    <xdr:row>1</xdr:row>
                    <xdr:rowOff>19050</xdr:rowOff>
                  </from>
                  <to>
                    <xdr:col>10</xdr:col>
                    <xdr:colOff>1644650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H24"/>
  <sheetViews>
    <sheetView tabSelected="1" zoomScale="115" zoomScaleNormal="115" workbookViewId="0">
      <selection activeCell="G15" sqref="G15"/>
    </sheetView>
  </sheetViews>
  <sheetFormatPr defaultRowHeight="14.5" x14ac:dyDescent="0.35"/>
  <cols>
    <col min="1" max="1" width="2.1796875" customWidth="1"/>
    <col min="2" max="2" width="48.81640625" style="9" customWidth="1"/>
    <col min="3" max="3" width="21.1796875" style="9" customWidth="1"/>
    <col min="4" max="5" width="10.90625" style="13" customWidth="1"/>
    <col min="6" max="6" width="2.26953125" customWidth="1"/>
    <col min="7" max="7" width="18.81640625" bestFit="1" customWidth="1"/>
    <col min="8" max="8" width="13.90625" customWidth="1"/>
  </cols>
  <sheetData>
    <row r="2" spans="2:8" ht="28" customHeight="1" x14ac:dyDescent="0.35">
      <c r="B2" s="12" t="str">
        <f>"PROGRESS REPORT "&amp; TEXT(Report_Date, "mm/dd/yyy")</f>
        <v>PROGRESS REPORT 05/20/2020</v>
      </c>
      <c r="C2" s="12"/>
      <c r="D2" s="12"/>
      <c r="E2" s="12"/>
    </row>
    <row r="3" spans="2:8" ht="8" customHeight="1" x14ac:dyDescent="0.35"/>
    <row r="4" spans="2:8" ht="17.5" x14ac:dyDescent="0.35">
      <c r="B4" s="8" t="str">
        <f>Project_Number &amp; " - " &amp; Project_Name</f>
        <v>S000 - Westland Super Cool Project</v>
      </c>
    </row>
    <row r="5" spans="2:8" ht="6" customHeight="1" x14ac:dyDescent="0.35"/>
    <row r="6" spans="2:8" x14ac:dyDescent="0.35">
      <c r="B6" s="9" t="str">
        <f>"Project Manager: " &amp; Project_Manager</f>
        <v>Project Manager: Default 1</v>
      </c>
      <c r="G6" t="s">
        <v>18</v>
      </c>
      <c r="H6" s="7">
        <v>43971</v>
      </c>
    </row>
    <row r="7" spans="2:8" x14ac:dyDescent="0.35">
      <c r="B7" s="9" t="str">
        <f>"Project Engineer: " &amp; Project_Engineer</f>
        <v>Project Engineer: Default 2</v>
      </c>
      <c r="G7" t="s">
        <v>39</v>
      </c>
      <c r="H7" s="4" t="s">
        <v>38</v>
      </c>
    </row>
    <row r="8" spans="2:8" x14ac:dyDescent="0.35">
      <c r="B8" s="9" t="str">
        <f>"Superintendent:  " &amp; Superintendent</f>
        <v>Superintendent:  Default 3</v>
      </c>
    </row>
    <row r="9" spans="2:8" ht="10" customHeight="1" x14ac:dyDescent="0.35"/>
    <row r="10" spans="2:8" ht="16.5" x14ac:dyDescent="0.35">
      <c r="B10" s="14" t="s">
        <v>27</v>
      </c>
      <c r="C10" s="14" t="s">
        <v>28</v>
      </c>
      <c r="D10" s="15" t="s">
        <v>29</v>
      </c>
      <c r="E10" s="15" t="s">
        <v>30</v>
      </c>
    </row>
    <row r="11" spans="2:8" ht="15" x14ac:dyDescent="0.35">
      <c r="B11" s="16" t="s">
        <v>31</v>
      </c>
      <c r="C11" s="16"/>
      <c r="D11" s="16"/>
      <c r="E11" s="16"/>
    </row>
    <row r="12" spans="2:8" x14ac:dyDescent="0.35">
      <c r="B12" s="17" t="s">
        <v>36</v>
      </c>
      <c r="D12" s="13">
        <v>0.5</v>
      </c>
      <c r="E12" s="13">
        <v>0.51</v>
      </c>
    </row>
    <row r="13" spans="2:8" x14ac:dyDescent="0.35">
      <c r="B13" s="17" t="s">
        <v>37</v>
      </c>
      <c r="D13" s="13">
        <v>0</v>
      </c>
      <c r="E13" s="13">
        <v>0.4</v>
      </c>
    </row>
    <row r="14" spans="2:8" x14ac:dyDescent="0.35">
      <c r="B14" s="17"/>
      <c r="D14" s="13">
        <v>0.5</v>
      </c>
      <c r="E14" s="13">
        <v>0.3</v>
      </c>
    </row>
    <row r="15" spans="2:8" ht="15" x14ac:dyDescent="0.35">
      <c r="B15" s="16" t="s">
        <v>32</v>
      </c>
      <c r="C15" s="16"/>
      <c r="D15" s="16"/>
      <c r="E15" s="16"/>
    </row>
    <row r="18" spans="2:5" ht="15" x14ac:dyDescent="0.35">
      <c r="B18" s="16" t="s">
        <v>33</v>
      </c>
      <c r="C18" s="16"/>
      <c r="D18" s="16"/>
      <c r="E18" s="16"/>
    </row>
    <row r="21" spans="2:5" ht="15" x14ac:dyDescent="0.35">
      <c r="B21" s="16" t="s">
        <v>34</v>
      </c>
      <c r="C21" s="16"/>
      <c r="D21" s="16"/>
      <c r="E21" s="16"/>
    </row>
    <row r="24" spans="2:5" ht="15" x14ac:dyDescent="0.35">
      <c r="B24" s="16" t="s">
        <v>35</v>
      </c>
      <c r="C24" s="16"/>
      <c r="D24" s="16"/>
      <c r="E24" s="16"/>
    </row>
  </sheetData>
  <mergeCells count="6">
    <mergeCell ref="B24:E24"/>
    <mergeCell ref="B2:E2"/>
    <mergeCell ref="B11:E11"/>
    <mergeCell ref="B15:E15"/>
    <mergeCell ref="B18:E18"/>
    <mergeCell ref="B21:E21"/>
  </mergeCells>
  <conditionalFormatting sqref="E12:E100">
    <cfRule type="expression" dxfId="0" priority="2">
      <formula>IF(ISBLANK($D12), FALSE, IF(RedGreen_Formatting = "Enabled", $D12 &gt; $E12, FALSE))</formula>
    </cfRule>
    <cfRule type="expression" dxfId="1" priority="1">
      <formula>IF(ISBLANK($D12), FALSE, IF(RedGreen_Formatting = "Enabled", $D12 &lt;= $E12, FALSE))</formula>
    </cfRule>
  </conditionalFormatting>
  <dataValidations count="2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</dataValidations>
  <pageMargins left="0.7" right="0.7" top="0.75" bottom="0.75" header="0.3" footer="0.3"/>
  <pageSetup scale="98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15</vt:i4>
      </vt:variant>
    </vt:vector>
  </HeadingPairs>
  <TitlesOfParts>
    <vt:vector size="17" baseType="lpstr">
      <vt:lpstr>Settings</vt:lpstr>
      <vt:lpstr>Main</vt:lpstr>
      <vt:lpstr>Dev_Mode</vt:lpstr>
      <vt:lpstr>Half_After_Holiday</vt:lpstr>
      <vt:lpstr>Logging</vt:lpstr>
      <vt:lpstr>Power_BI_Export_Folder</vt:lpstr>
      <vt:lpstr>Power_BI_Filename</vt:lpstr>
      <vt:lpstr>Main!Print_Area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2020-05-13T15:44:43Z</cp:lastPrinted>
  <dcterms:created xsi:type="dcterms:W3CDTF">2019-04-09T17:53:55Z</dcterms:created>
  <dcterms:modified xsi:type="dcterms:W3CDTF">2020-05-13T15:59:05Z</dcterms:modified>
</cp:coreProperties>
</file>