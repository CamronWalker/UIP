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256DAAFA-C830-4415-AFC1-187882649B28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4" i="3" l="1"/>
  <c r="AD15" i="3"/>
  <c r="AD16" i="3"/>
  <c r="AD17" i="3"/>
  <c r="AD18" i="3"/>
  <c r="AD19" i="3"/>
  <c r="AF19" i="3" s="1"/>
  <c r="AD20" i="3"/>
  <c r="AF20" i="3" s="1"/>
  <c r="AD21" i="3"/>
  <c r="AF21" i="3" s="1"/>
  <c r="AD22" i="3"/>
  <c r="AF22" i="3" s="1"/>
  <c r="AD23" i="3"/>
  <c r="AF23" i="3" s="1"/>
  <c r="AD24" i="3"/>
  <c r="AF24" i="3" s="1"/>
  <c r="AD25" i="3"/>
  <c r="AD26" i="3"/>
  <c r="AD27" i="3"/>
  <c r="AD28" i="3"/>
  <c r="AD29" i="3"/>
  <c r="AD30" i="3"/>
  <c r="AD31" i="3"/>
  <c r="AF31" i="3" s="1"/>
  <c r="AD32" i="3"/>
  <c r="AF32" i="3" s="1"/>
  <c r="AD33" i="3"/>
  <c r="AF33" i="3" s="1"/>
  <c r="AD34" i="3"/>
  <c r="AF34" i="3" s="1"/>
  <c r="AD35" i="3"/>
  <c r="AF35" i="3" s="1"/>
  <c r="AD36" i="3"/>
  <c r="AF36" i="3" s="1"/>
  <c r="AD37" i="3"/>
  <c r="AD38" i="3"/>
  <c r="AD39" i="3"/>
  <c r="AD40" i="3"/>
  <c r="AD41" i="3"/>
  <c r="AD42" i="3"/>
  <c r="AD43" i="3"/>
  <c r="AF43" i="3" s="1"/>
  <c r="AF14" i="3"/>
  <c r="AF15" i="3"/>
  <c r="AF16" i="3"/>
  <c r="AF17" i="3"/>
  <c r="AF18" i="3"/>
  <c r="AF25" i="3"/>
  <c r="AF26" i="3"/>
  <c r="AF27" i="3"/>
  <c r="AF28" i="3"/>
  <c r="AF29" i="3"/>
  <c r="AF30" i="3"/>
  <c r="AF37" i="3"/>
  <c r="AF38" i="3"/>
  <c r="AF39" i="3"/>
  <c r="AF40" i="3"/>
  <c r="AF41" i="3"/>
  <c r="AF42" i="3"/>
  <c r="S4" i="3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K15" i="3"/>
  <c r="AG15" i="3"/>
  <c r="AI15" i="3"/>
  <c r="AB15" i="3" s="1"/>
  <c r="AB14" i="3"/>
  <c r="N12" i="3"/>
  <c r="AC15" i="3" l="1"/>
  <c r="AA16" i="3"/>
  <c r="AE14" i="3"/>
  <c r="B2" i="3"/>
  <c r="C7" i="3"/>
  <c r="C6" i="3"/>
  <c r="C5" i="3"/>
  <c r="C4" i="3"/>
  <c r="AG16" i="3"/>
  <c r="AK16" i="3"/>
  <c r="AI16" i="3"/>
  <c r="N6" i="3"/>
  <c r="AE15" i="3" l="1"/>
  <c r="AC16" i="3"/>
  <c r="AA17" i="3"/>
  <c r="AI17" i="3"/>
  <c r="AB16" i="3"/>
  <c r="AK17" i="3"/>
  <c r="AG17" i="3"/>
  <c r="AC17" i="3" l="1"/>
  <c r="AA18" i="3"/>
  <c r="AE16" i="3"/>
  <c r="B8" i="2"/>
  <c r="B7" i="2"/>
  <c r="B6" i="2"/>
  <c r="AI18" i="3"/>
  <c r="AK18" i="3"/>
  <c r="AG18" i="3"/>
  <c r="AB17" i="3"/>
  <c r="AE17" i="3" l="1"/>
  <c r="AC18" i="3"/>
  <c r="AA19" i="3"/>
  <c r="B2" i="2"/>
  <c r="B4" i="2"/>
  <c r="AG19" i="3"/>
  <c r="AI19" i="3"/>
  <c r="AK19" i="3"/>
  <c r="AB18" i="3"/>
  <c r="AC19" i="3" l="1"/>
  <c r="AA20" i="3"/>
  <c r="AE18" i="3"/>
  <c r="C6" i="1"/>
  <c r="AG20" i="3"/>
  <c r="AI20" i="3"/>
  <c r="AK20" i="3"/>
  <c r="AB19" i="3"/>
  <c r="AE19" i="3" l="1"/>
  <c r="AC20" i="3"/>
  <c r="AA21" i="3"/>
  <c r="AK21" i="3"/>
  <c r="AI21" i="3"/>
  <c r="AB20" i="3"/>
  <c r="AG21" i="3"/>
  <c r="AC21" i="3" l="1"/>
  <c r="AA22" i="3"/>
  <c r="AE20" i="3"/>
  <c r="AG22" i="3"/>
  <c r="AB21" i="3"/>
  <c r="AK22" i="3"/>
  <c r="AI22" i="3"/>
  <c r="AE21" i="3" l="1"/>
  <c r="AC22" i="3"/>
  <c r="AA23" i="3"/>
  <c r="AG23" i="3"/>
  <c r="AB22" i="3"/>
  <c r="AI23" i="3"/>
  <c r="AK23" i="3"/>
  <c r="AC23" i="3" l="1"/>
  <c r="AA24" i="3"/>
  <c r="AE22" i="3"/>
  <c r="O7" i="3"/>
  <c r="AG24" i="3"/>
  <c r="AI24" i="3"/>
  <c r="AB23" i="3"/>
  <c r="AK24" i="3"/>
  <c r="AE23" i="3" l="1"/>
  <c r="AC24" i="3"/>
  <c r="AA25" i="3"/>
  <c r="O9" i="3"/>
  <c r="O10" i="3"/>
  <c r="O8" i="3"/>
  <c r="AB24" i="3"/>
  <c r="AG25" i="3"/>
  <c r="AK25" i="3"/>
  <c r="AI25" i="3"/>
  <c r="AE24" i="3" l="1"/>
  <c r="AC25" i="3"/>
  <c r="AA26" i="3"/>
  <c r="AG26" i="3"/>
  <c r="AB25" i="3"/>
  <c r="AI26" i="3"/>
  <c r="AK26" i="3"/>
  <c r="AE25" i="3" l="1"/>
  <c r="AC26" i="3"/>
  <c r="AA27" i="3"/>
  <c r="AB26" i="3"/>
  <c r="AG27" i="3"/>
  <c r="AI27" i="3"/>
  <c r="AK27" i="3"/>
  <c r="AE26" i="3" l="1"/>
  <c r="AC27" i="3"/>
  <c r="AA28" i="3"/>
  <c r="AG28" i="3"/>
  <c r="AK28" i="3"/>
  <c r="AB27" i="3"/>
  <c r="AI28" i="3"/>
  <c r="AE27" i="3" l="1"/>
  <c r="AC28" i="3"/>
  <c r="AA29" i="3"/>
  <c r="AI29" i="3"/>
  <c r="AG29" i="3"/>
  <c r="AK29" i="3"/>
  <c r="AB28" i="3"/>
  <c r="AE28" i="3" l="1"/>
  <c r="AC29" i="3"/>
  <c r="AA30" i="3"/>
  <c r="N10" i="3"/>
  <c r="AB29" i="3"/>
  <c r="N8" i="3"/>
  <c r="AK30" i="3"/>
  <c r="AG30" i="3"/>
  <c r="AI30" i="3"/>
  <c r="AE29" i="3" l="1"/>
  <c r="AC30" i="3"/>
  <c r="AA31" i="3"/>
  <c r="AI31" i="3"/>
  <c r="AG31" i="3"/>
  <c r="N7" i="3"/>
  <c r="AK31" i="3"/>
  <c r="AB30" i="3"/>
  <c r="AE30" i="3" l="1"/>
  <c r="N5" i="3"/>
  <c r="AC31" i="3"/>
  <c r="AA32" i="3"/>
  <c r="AB31" i="3"/>
  <c r="AK32" i="3"/>
  <c r="AG32" i="3"/>
  <c r="AI32" i="3"/>
  <c r="AE31" i="3" l="1"/>
  <c r="AC32" i="3"/>
  <c r="AA33" i="3"/>
  <c r="AB32" i="3"/>
  <c r="AG33" i="3"/>
  <c r="AK33" i="3"/>
  <c r="AI33" i="3"/>
  <c r="AE32" i="3" l="1"/>
  <c r="AC33" i="3"/>
  <c r="AA34" i="3"/>
  <c r="AB33" i="3"/>
  <c r="AG34" i="3"/>
  <c r="AK34" i="3"/>
  <c r="AI34" i="3"/>
  <c r="AE33" i="3" l="1"/>
  <c r="AC34" i="3"/>
  <c r="AA35" i="3"/>
  <c r="AB34" i="3"/>
  <c r="AK35" i="3"/>
  <c r="AI35" i="3"/>
  <c r="AG35" i="3"/>
  <c r="AE34" i="3" l="1"/>
  <c r="AC35" i="3"/>
  <c r="AA36" i="3"/>
  <c r="AG36" i="3"/>
  <c r="AB35" i="3"/>
  <c r="AK36" i="3"/>
  <c r="AI36" i="3"/>
  <c r="AE35" i="3" l="1"/>
  <c r="AC36" i="3"/>
  <c r="AA37" i="3"/>
  <c r="AG37" i="3"/>
  <c r="AB36" i="3"/>
  <c r="AK37" i="3"/>
  <c r="AI37" i="3"/>
  <c r="AE36" i="3" l="1"/>
  <c r="AC37" i="3"/>
  <c r="AA38" i="3"/>
  <c r="AB37" i="3"/>
  <c r="AK38" i="3"/>
  <c r="AI38" i="3"/>
  <c r="AG38" i="3"/>
  <c r="AE37" i="3" l="1"/>
  <c r="AC38" i="3"/>
  <c r="AA39" i="3"/>
  <c r="AB38" i="3"/>
  <c r="AI39" i="3"/>
  <c r="AK39" i="3"/>
  <c r="AG39" i="3"/>
  <c r="AE38" i="3" l="1"/>
  <c r="AC39" i="3"/>
  <c r="AA40" i="3"/>
  <c r="AI40" i="3"/>
  <c r="AG40" i="3"/>
  <c r="AK40" i="3"/>
  <c r="AB39" i="3"/>
  <c r="AE39" i="3" l="1"/>
  <c r="AC40" i="3"/>
  <c r="AA41" i="3"/>
  <c r="AA42" i="3" s="1"/>
  <c r="AK42" i="3"/>
  <c r="AI42" i="3"/>
  <c r="AG42" i="3"/>
  <c r="AI41" i="3"/>
  <c r="AK41" i="3"/>
  <c r="AB40" i="3"/>
  <c r="AG41" i="3"/>
  <c r="AB42" i="3"/>
  <c r="AC42" i="3" l="1"/>
  <c r="AA43" i="3"/>
  <c r="AE40" i="3"/>
  <c r="AC41" i="3"/>
  <c r="AK43" i="3"/>
  <c r="AI43" i="3"/>
  <c r="AG43" i="3"/>
  <c r="AB41" i="3"/>
  <c r="AB43" i="3"/>
  <c r="AC43" i="3" l="1"/>
  <c r="AE43" i="3" s="1"/>
  <c r="AE42" i="3"/>
  <c r="AE41" i="3"/>
  <c r="O6" i="3"/>
  <c r="N9" i="3"/>
  <c r="O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<sst xmlns="http://schemas.openxmlformats.org/spreadsheetml/2006/main" count="103" uniqueCount="101">
  <si>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</si>
  <si>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</si>
  <si>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</si>
  <si>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</si>
  <si>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</si>
  <si>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</si>
  <si>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</si>
  <si>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</si>
  <si>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</si>
  <si>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</si>
  <si>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</si>
  <si>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</si>
  <si>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</si>
  <si>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</si>
  <si>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</si>
  <si>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</si>
  <si>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</si>
  <si>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</si>
  <si>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</si>
  <si>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</si>
  <si>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</si>
  <si>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</si>
  <si>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</si>
  <si>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</si>
  <si>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</si>
  <si>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</si>
  <si>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</si>
  <si>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</si>
  <si>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</si>
  <si>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</si>
  <si>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</si>
  <si>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</si>
  <si>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</si>
  <si>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</si>
  <si>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</si>
  <si>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</si>
  <si>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</si>
  <si>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</si>
  <si>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</si>
  <si>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</si>
  <si>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</si>
  <si>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</si>
  <si>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</si>
  <si>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</si>
  <si>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</si>
  <si>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</si>
  <si>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</si>
  <si>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</si>
  <si>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</si>
  <si>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</si>
  <si>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</si>
  <si>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</si>
  <si>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</si>
  <si>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</si>
  <si>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</si>
  <si>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</si>
  <si>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</si>
  <si>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</si>
  <si>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</si>
  <si>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</si>
  <si>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</si>
  <si>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</si>
  <si>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</si>
  <si>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</si>
  <si>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</si>
  <si>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</si>
  <si>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</si>
  <si>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</si>
  <si>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</si>
  <si>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</si>
  <si>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</si>
  <si>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</si>
  <si>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</si>
  <si>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</si>
  <si>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</si>
  <si>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</si>
  <si>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</si>
  <si>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</si>
  <si>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</si>
  <si>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</si>
  <si>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</si>
  <si>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</si>
  <si>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</si>
  <si>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</si>
  <si>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</si>
  <si>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</si>
  <si>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</si>
  <si>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</si>
  <si>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</si>
  <si>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</si>
  <si>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</si>
  <si>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</si>
  <si>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</si>
  <si>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</si>
  <si>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</si>
  <si>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</si>
  <si>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</si>
  <si>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</si>
  <si>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</si>
  <si>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Manual</t>
  </si>
  <si>
    <t>DANGER 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</si>
</sst>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31">
    <dxf>
      <numFmt numFmtId="1" formatCode="0"/>
    </dxf>
    <dxf>
      <numFmt numFmtId="1" formatCode="0"/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E5800D4-10C1-4DF6-A15D-2AA06D350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2E884A-3EEC-437B-A3E0-D5CE1AB21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5EE472-6165-453D-B2CC-8AAE5AA57A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4898C4-B5C9-43DC-B2A9-4F58E2C064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BC6900-87ED-4973-951C-AF8D0911F0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3EF23D-A5B3-42EE-A9EA-CDB4641FCF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18C888-0B30-476C-963E-D71BE9D91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98EC3B-D859-48B3-8F74-93D9A592F3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272C65-6E6A-4BB2-9044-568F8736D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93AB41-7964-423C-81D3-A5A3FC147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2F8CCE-52BE-403D-B1AC-9EC589E086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648042-5A6B-4B5B-BEF4-99E6689924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1C2340-4D59-4711-9BCE-A0C81EAE1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E8F557-34DD-4303-BE05-1585597A8C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488E27-7A09-4700-B174-CD4E7BF14E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4C073E-B71D-4621-B23A-63EE80B45C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BF9F78-1F83-4644-8831-B99B18C7A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5E9A82-7130-4EB5-A078-69845BF920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23AE42-5C4D-4E7D-9446-DB541A84FE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CE4C89-2629-4099-8F05-6DB3D07384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E342E1-0FD6-43B1-A43B-4AB93D6D1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773507-BC5D-4868-A32D-24DCD6A9A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07B3DD-1630-473D-B31C-85E4BD936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F4E3AC-E48B-4124-AF4E-A78CBC2221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5792B0-7A2B-492D-91E7-87A6073E3F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46FD08-CE33-42D7-9C63-BF90DC4BF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A74119-8CAF-47A3-BDF8-AF4542CD6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58B9F4-EA2D-4EC4-915C-2D13EC8BF4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F81962-9B2E-4858-90B5-8831484087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F837EE-A246-427B-A110-486AE4182B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0-7B53-4262-A7FE-34DF8919E8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333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325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1533</c:v>
                </c:pt>
                <c:pt idx="5">
                  <c:v>1833</c:v>
                </c:pt>
                <c:pt idx="6">
                  <c:v>2166</c:v>
                </c:pt>
                <c:pt idx="7">
                  <c:v>2499</c:v>
                </c:pt>
                <c:pt idx="8">
                  <c:v>2824</c:v>
                </c:pt>
                <c:pt idx="9">
                  <c:v>3224</c:v>
                </c:pt>
                <c:pt idx="10">
                  <c:v>3224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1172883</xdr:colOff>
          <xdr:row>3</xdr:row>
          <xdr:rowOff>164353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40341</xdr:rowOff>
        </xdr:from>
        <xdr:to>
          <xdr:col>26</xdr:col>
          <xdr:colOff>1003300</xdr:colOff>
          <xdr:row>6</xdr:row>
          <xdr:rowOff>162858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33992</xdr:rowOff>
        </xdr:from>
        <xdr:to>
          <xdr:col>22</xdr:col>
          <xdr:colOff>1172883</xdr:colOff>
          <xdr:row>6</xdr:row>
          <xdr:rowOff>149412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2">
      <calculatedColumnFormula>IF(AA13 = "Date", $S$4, AA13+7)</calculatedColumnFormula>
    </tableColumn>
    <tableColumn id="6" xr3:uid="{5740AC03-CF53-4345-8667-6AC0CA6843D0}" name="Primary Areas" dataDxfId="11">
      <calculatedColumnFormula>PrimaryAreas(3)</calculatedColumnFormula>
    </tableColumn>
    <tableColumn id="2" xr3:uid="{AF232D3D-EC3F-4232-BA5D-1427173C2D6A}" name="Weekly Plan" dataDxfId="10">
      <calculatedColumnFormula xml:space="preserve"> IF(#REF!="", 0,#REF!)+ IF(#REF!="", 0,#REF!)+ IF(#REF!="", 0,#REF!)</calculatedColumnFormula>
    </tableColumn>
    <tableColumn id="3" xr3:uid="{B28103F6-7596-4848-9F0D-3E4A9E5CBEFE}" name="Weekly Actual" dataDxfId="0">
      <calculatedColumnFormula>IF(AND(ISBLANK(Output_Template[[#This Row],[WA_A1]]), ISBLANK(Output_Template[[#This Row],[WA_A2]]), ISBLANK(Output_Template[[#This Row],[WA_A3]])),"",Output_Template[[#This Row],[WA_A1]]+Output_Template[[#This Row],[WA_A2]]+Output_Template[[#This Row],[WA_A3]])</calculatedColumnFormula>
    </tableColumn>
    <tableColumn id="4" xr3:uid="{EF1C6009-71E6-491B-B64F-04049D2D9103}" name="Accumulated Plan" dataDxfId="9">
      <calculatedColumnFormula>SUM($AC$14:AC14)</calculatedColumnFormula>
    </tableColumn>
    <tableColumn id="5" xr3:uid="{442DAB73-1233-4C61-8DE9-3B44CE2C5D69}" name="Accumulated Actual" dataDxfId="1">
      <calculatedColumnFormula>IF(AD14="",NA(),SUM($AD$14:AD14))</calculatedColumnFormula>
    </tableColumn>
    <tableColumn id="19" xr3:uid="{495756A6-E987-4666-BF6F-496E33FA9D61}" name="WP_A1" dataDxfId="8">
      <calculatedColumnFormula>WeeklyPlanned(Output_Template[[#Headers],[WP_A1]], Output_Template[[#This Row],[Date]])</calculatedColumnFormula>
    </tableColumn>
    <tableColumn id="20" xr3:uid="{2C075E83-1C10-4744-A980-166BA7BE4857}" name="WA_A1" dataDxfId="7"/>
    <tableColumn id="21" xr3:uid="{E3575C9E-E210-489C-AFDF-693C0177490E}" name="WP_A2" dataDxfId="6">
      <calculatedColumnFormula>WeeklyPlanned(Output_Template[[#Headers],[WP_A2]], Output_Template[[#This Row],[Date]])</calculatedColumnFormula>
    </tableColumn>
    <tableColumn id="22" xr3:uid="{6FE0AA40-9DE5-470B-9BAA-EC0415A37CB0}" name="WA_A2" dataDxfId="5"/>
    <tableColumn id="23" xr3:uid="{DE2148A7-80CA-4424-9C9E-54264C75EC8F}" name="WP_A3" dataDxfId="4">
      <calculatedColumnFormula>WeeklyPlanned(Output_Template[[#Headers],[WP_A3]], Output_Template[[#This Row],[Date]])</calculatedColumnFormula>
    </tableColumn>
    <tableColumn id="24" xr3:uid="{C4434836-C212-4E9C-8B05-89DB05443A26}" name="WA_A3" dataDxfId="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7">
  <autoFilter ref="H2:H5" xr:uid="{1041DC80-58D6-4308-9DE1-A4EC8AAD3C20}"/>
  <tableColumns count="1">
    <tableColumn id="1" xr3:uid="{0E6D3E77-7CB7-40A1-BCA6-DDC8164AAEB9}" name="Holidays" dataDxfId="16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S1" zoomScale="85" zoomScaleNormal="85" workbookViewId="0">
      <selection activeCell="AD14" sqref="AD1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5" t="s">
        <v>100</v>
      </c>
      <c r="AB1" s="86"/>
    </row>
    <row r="2" spans="2:39" x14ac:dyDescent="0.3">
      <c r="B2" s="61" t="str">
        <f>_xlfn.CONCAT("PROGRESS REPORT ", TEXT(S3,"mm/dd/yyyy"))</f>
        <v>PROGRESS REPORT 05/26/2020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81"/>
      <c r="AB2" s="82"/>
    </row>
    <row r="3" spans="2:39" x14ac:dyDescent="0.3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81"/>
      <c r="AB3" s="82"/>
    </row>
    <row r="4" spans="2:39" ht="15" x14ac:dyDescent="0.3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81"/>
      <c r="AB4" s="82"/>
    </row>
    <row r="5" spans="2:39" ht="15" x14ac:dyDescent="0.3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0.33939393939393941</v>
      </c>
      <c r="O5" s="33">
        <f ca="1">IF(ISERROR(O7/O6), 0, O7/O6)</f>
        <v>0.35822222222222228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81"/>
      <c r="AB5" s="82"/>
    </row>
    <row r="6" spans="2:39" ht="15" x14ac:dyDescent="0.3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  <c r="AA6" s="81"/>
      <c r="AB6" s="82"/>
    </row>
    <row r="7" spans="2:39" ht="15.5" thickBot="1" x14ac:dyDescent="0.3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3054.545454545455</v>
      </c>
      <c r="O7" s="36">
        <f ca="1">_xlfn.IFNA(VLOOKUP($S$3, INDIRECT("Output_"&amp;$S$2), 6, FALSE), 0)</f>
        <v>3224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83"/>
      <c r="AB7" s="84"/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436.36363636363637</v>
      </c>
      <c r="O8" s="36">
        <f ca="1">VLOOKUP($S$3, INDIRECT("Output_"&amp;$S$2), 4, FALSE)</f>
        <v>0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&amp;MATCH($S$3,INDIRECT("Output_"&amp;$S$2&amp;"[Date]"),0)+14))</f>
        <v>293.09090909090907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264.5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>
        <f ca="1">MAX(INDIRECT("Input_"&amp;$S$2&amp;"[Finish Date]"))</f>
        <v>44105</v>
      </c>
      <c r="O12" s="7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7" t="str">
        <f t="shared" ref="AB14:AB44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300</v>
      </c>
      <c r="AE14" s="59">
        <f ca="1">SUM($AC$14:AC14)</f>
        <v>54.545454545454547</v>
      </c>
      <c r="AF14" s="59">
        <f>IF(AD14="",NA(),SUM($AD$14:AD14))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300</v>
      </c>
      <c r="AE15" s="59">
        <f ca="1">SUM($AC$14:AC15)</f>
        <v>327.27272727272731</v>
      </c>
      <c r="AF15" s="59">
        <f>IF(AD15="",NA(),SUM($AD$14:AD15))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300</v>
      </c>
      <c r="AE16" s="59">
        <f ca="1">SUM($AC$14:AC16)</f>
        <v>600</v>
      </c>
      <c r="AF16" s="59">
        <f>IF(AD16="",NA(),SUM($AD$14:AD16))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300</v>
      </c>
      <c r="AE17" s="59">
        <f ca="1">SUM($AC$14:AC17)</f>
        <v>872.72727272727275</v>
      </c>
      <c r="AF17" s="59">
        <f>IF(AD17="",NA(),SUM($AD$14:AD17))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333</v>
      </c>
      <c r="AE18" s="59">
        <f ca="1">SUM($AC$14:AC18)</f>
        <v>1145.4545454545455</v>
      </c>
      <c r="AF18" s="59">
        <f>IF(AD18="",NA(),SUM($AD$14:AD18))</f>
        <v>1533</v>
      </c>
      <c r="AG18" s="59">
        <f ca="1">WeeklyPlanned(Output_Template[[#Headers],[WP_A1]], Output_Template[[#This Row],[Date]])</f>
        <v>272.72727272727275</v>
      </c>
      <c r="AH18" s="59">
        <v>333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300</v>
      </c>
      <c r="AE19" s="59">
        <f ca="1">SUM($AC$14:AC19)</f>
        <v>1418.1818181818182</v>
      </c>
      <c r="AF19" s="59">
        <f>IF(AD19="",NA(),SUM($AD$14:AD19))</f>
        <v>1833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333</v>
      </c>
      <c r="AE20" s="59">
        <f ca="1">SUM($AC$14:AC20)</f>
        <v>1690.909090909091</v>
      </c>
      <c r="AF20" s="59">
        <f>IF(AD20="",NA(),SUM($AD$14:AD20))</f>
        <v>2166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333</v>
      </c>
      <c r="AE21" s="59">
        <f ca="1">SUM($AC$14:AC21)</f>
        <v>1963.6363636363637</v>
      </c>
      <c r="AF21" s="59">
        <f>IF(AD21="",NA(),SUM($AD$14:AD21))</f>
        <v>2499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325</v>
      </c>
      <c r="AE22" s="59">
        <f ca="1">SUM($AC$14:AC22)</f>
        <v>2236.3636363636365</v>
      </c>
      <c r="AF22" s="59">
        <f>IF(AD22="",NA(),SUM($AD$14:AD22))</f>
        <v>2824</v>
      </c>
      <c r="AG22" s="59">
        <f ca="1">WeeklyPlanned(Output_Template[[#Headers],[WP_A1]], Output_Template[[#This Row],[Date]])</f>
        <v>272.72727272727275</v>
      </c>
      <c r="AH22" s="59">
        <v>150</v>
      </c>
      <c r="AI22" s="59" t="str">
        <f ca="1">WeeklyPlanned(Output_Template[[#Headers],[WP_A2]], Output_Template[[#This Row],[Date]])</f>
        <v/>
      </c>
      <c r="AJ22" s="59">
        <v>175</v>
      </c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400</v>
      </c>
      <c r="AE23" s="59">
        <f ca="1">SUM($AC$14:AC23)</f>
        <v>2618.1818181818185</v>
      </c>
      <c r="AF23" s="59">
        <f>IF(AD23="",NA(),SUM($AD$14:AD23))</f>
        <v>3224</v>
      </c>
      <c r="AG23" s="59">
        <f ca="1">WeeklyPlanned(Output_Template[[#Headers],[WP_A1]], Output_Template[[#This Row],[Date]])</f>
        <v>272.72727272727275</v>
      </c>
      <c r="AH23" s="59">
        <v>125</v>
      </c>
      <c r="AI23" s="59">
        <f ca="1">WeeklyPlanned(Output_Template[[#Headers],[WP_A2]], Output_Template[[#This Row],[Date]])</f>
        <v>109.09090909090909</v>
      </c>
      <c r="AJ23" s="59">
        <v>275</v>
      </c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>0</v>
      </c>
      <c r="AE24" s="59">
        <f ca="1">SUM($AC$14:AC24)</f>
        <v>3054.545454545455</v>
      </c>
      <c r="AF24" s="59">
        <f>IF(AD24="",NA(),SUM($AD$14:AD24))</f>
        <v>3224</v>
      </c>
      <c r="AG24" s="59">
        <f ca="1">WeeklyPlanned(Output_Template[[#Headers],[WP_A1]], Output_Template[[#This Row],[Date]])</f>
        <v>218.18181818181819</v>
      </c>
      <c r="AH24" s="59">
        <v>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25" s="59">
        <f ca="1">SUM($AC$14:AC25)</f>
        <v>3600.0000000000005</v>
      </c>
      <c r="AF25" s="59" t="e">
        <f>IF(AD25="",NA(),SUM($AD$14:AD25))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4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26" s="59">
        <f ca="1">SUM($AC$14:AC26)</f>
        <v>3872.727272727273</v>
      </c>
      <c r="AF26" s="59" t="e">
        <f>IF(AD26="",NA(),SUM($AD$14:AD26))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27" s="59">
        <f ca="1">SUM($AC$14:AC27)</f>
        <v>4145.454545454546</v>
      </c>
      <c r="AF27" s="59" t="e">
        <f>IF(AD27="",NA(),SUM($AD$14:AD27))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28" s="59">
        <f ca="1">SUM($AC$14:AC28)</f>
        <v>4418.1818181818189</v>
      </c>
      <c r="AF28" s="59" t="e">
        <f>IF(AD28="",NA(),SUM($AD$14:AD28))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29" s="59">
        <f ca="1">SUM($AC$14:AC29)</f>
        <v>4690.9090909090919</v>
      </c>
      <c r="AF29" s="59" t="e">
        <f>IF(AD29="",NA(),SUM($AD$14:AD29))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0" s="59">
        <f ca="1">SUM($AC$14:AC30)</f>
        <v>4963.6363636363649</v>
      </c>
      <c r="AF30" s="59" t="e">
        <f>IF(AD30="",NA(),SUM($AD$14:AD30))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1" s="59">
        <f ca="1">SUM($AC$14:AC31)</f>
        <v>5236.3636363636379</v>
      </c>
      <c r="AF31" s="59" t="e">
        <f>IF(AD31="",NA(),SUM($AD$14:AD31))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2" s="59">
        <f ca="1">SUM($AC$14:AC32)</f>
        <v>5719.6172248803841</v>
      </c>
      <c r="AF32" s="59" t="e">
        <f>IF(AD32="",NA(),SUM($AD$14:AD32))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3" s="59">
        <f ca="1">SUM($AC$14:AC33)</f>
        <v>6255.5023923444987</v>
      </c>
      <c r="AF33" s="59" t="e">
        <f>IF(AD33="",NA(),SUM($AD$14:AD33))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4" s="59">
        <f ca="1">SUM($AC$14:AC34)</f>
        <v>6736.8421052631593</v>
      </c>
      <c r="AF34" s="59" t="e">
        <f>IF(AD34="",NA(),SUM($AD$14:AD34))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5" s="59">
        <f ca="1">SUM($AC$14:AC35)</f>
        <v>7000.0000000000018</v>
      </c>
      <c r="AF35" s="59" t="e">
        <f>IF(AD35="",NA(),SUM($AD$14:AD35))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6" s="59">
        <f ca="1">SUM($AC$14:AC36)</f>
        <v>7263.1578947368434</v>
      </c>
      <c r="AF36" s="59" t="e">
        <f>IF(AD36="",NA(),SUM($AD$14:AD36))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7" s="59">
        <f ca="1">SUM($AC$14:AC37)</f>
        <v>7526.3157894736851</v>
      </c>
      <c r="AF37" s="59" t="e">
        <f>IF(AD37="",NA(),SUM($AD$14:AD37))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8" s="59">
        <f ca="1">SUM($AC$14:AC38)</f>
        <v>7789.4736842105267</v>
      </c>
      <c r="AF38" s="59" t="e">
        <f>IF(AD38="",NA(),SUM($AD$14:AD38))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39" s="59">
        <f ca="1">SUM($AC$14:AC39)</f>
        <v>8052.6315789473683</v>
      </c>
      <c r="AF39" s="59" t="e">
        <f>IF(AD39="",NA(),SUM($AD$14:AD39))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40" s="59">
        <f ca="1">SUM($AC$14:AC40)</f>
        <v>8315.78947368421</v>
      </c>
      <c r="AF40" s="59" t="e">
        <f>IF(AD40="",NA(),SUM($AD$14:AD40))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41" s="59">
        <f ca="1">SUM($AC$14:AC41)</f>
        <v>8578.9473684210516</v>
      </c>
      <c r="AF41" s="59" t="e">
        <f>IF(AD41="",NA(),SUM($AD$14:AD41))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42" s="59">
        <f ca="1">SUM($AC$14:AC42)</f>
        <v>8842.1052631578932</v>
      </c>
      <c r="AF42" s="59" t="e">
        <f>IF(AD42="",NA(),SUM($AD$14:AD42))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 t="str">
        <f>IF(AND(ISBLANK(Output_Template[[#This Row],[WA_A1]]), ISBLANK(Output_Template[[#This Row],[WA_A2]]), ISBLANK(Output_Template[[#This Row],[WA_A3]])),"",Output_Template[[#This Row],[WA_A1]]+Output_Template[[#This Row],[WA_A2]]+Output_Template[[#This Row],[WA_A3]])</f>
        <v/>
      </c>
      <c r="AE43" s="59">
        <f ca="1">SUM($AC$14:AC43)</f>
        <v>8999.9999999999982</v>
      </c>
      <c r="AF43" s="59" t="e">
        <f>IF(AD43="",NA(),SUM($AD$14:AD43))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9">
    <mergeCell ref="AA1:AB1"/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" priority="10">
      <formula>ISERROR(AF14)</formula>
    </cfRule>
  </conditionalFormatting>
  <conditionalFormatting sqref="W13:X13">
    <cfRule type="expression" dxfId="30" priority="8">
      <formula>IF(OR($S$8 = "Assemble Addin", $S$8 = "Bluebeam QL"), TRUE, FALSE)</formula>
    </cfRule>
  </conditionalFormatting>
  <conditionalFormatting sqref="N6:O6">
    <cfRule type="expression" dxfId="29" priority="7">
      <formula>IF($N$6=$O$6, FALSE, TRUE)</formula>
    </cfRule>
  </conditionalFormatting>
  <conditionalFormatting sqref="W14:X16">
    <cfRule type="expression" dxfId="28" priority="6">
      <formula>IF(OR($S$8 = "Assemble Addin", $S$8 = "Bluebeam QL"), MOD(ROW(), 2)=0, FALSE)</formula>
    </cfRule>
    <cfRule type="expression" dxfId="27" priority="5">
      <formula>IF(OR($S$8 = "Assemble Addin", $S$8 = "Bluebeam QL"), TRUE, FALSE)</formula>
    </cfRule>
  </conditionalFormatting>
  <conditionalFormatting sqref="R13">
    <cfRule type="expression" dxfId="26" priority="2">
      <formula>IF($S$8 = "Assemble Addin", TRUE, FALSE)</formula>
    </cfRule>
  </conditionalFormatting>
  <conditionalFormatting sqref="R14:R16">
    <cfRule type="expression" dxfId="25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31" sqref="C3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97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29" sqref="H29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05/26/2020</v>
      </c>
      <c r="C2" s="80"/>
      <c r="D2" s="80"/>
      <c r="E2" s="80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5" priority="1">
      <formula>IF(ISBLANK($D12), FALSE, IF(RedGreen_Formatting = "Enabled", $D12 &lt;= $E12 + Percent_Error, FALSE))</formula>
    </cfRule>
    <cfRule type="expression" dxfId="14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2020-06-08T20:14:00Z</cp:lastPrinted>
  <dcterms:created xsi:type="dcterms:W3CDTF">2019-04-09T17:53:55Z</dcterms:created>
  <dcterms:modified xsi:type="dcterms:W3CDTF">2020-06-08T21:43:30Z</dcterms:modified>
</cp:coreProperties>
</file>