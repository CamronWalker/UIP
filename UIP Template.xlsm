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27C7840C-914A-492B-9AAA-70306106D768}" xr6:coauthVersionLast="44" xr6:coauthVersionMax="44" xr10:uidLastSave="{00000000-0000-0000-0000-000000000000}"/>
  <bookViews>
    <workbookView xWindow="-28920" yWindow="14190" windowWidth="29040" windowHeight="17640" activeTab="7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C7" i="3" l="1"/>
  <c r="C6" i="3"/>
  <c r="AF42" i="10"/>
  <c r="AF36" i="10"/>
  <c r="AF30" i="10"/>
  <c r="AF24" i="10"/>
  <c r="AF18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Q41" i="10"/>
  <c r="AI25" i="10"/>
  <c r="AO36" i="10"/>
  <c r="AG20" i="10"/>
  <c r="AM31" i="10"/>
  <c r="AS42" i="10"/>
  <c r="AK26" i="10"/>
  <c r="AS17" i="10"/>
  <c r="AI33" i="10"/>
  <c r="AQ24" i="10"/>
  <c r="AG40" i="10"/>
  <c r="AO19" i="10"/>
  <c r="AG27" i="10"/>
  <c r="AS26" i="10"/>
  <c r="AU29" i="10"/>
  <c r="AK45" i="10"/>
  <c r="AS24" i="10"/>
  <c r="AI40" i="10"/>
  <c r="AQ19" i="10"/>
  <c r="AG35" i="10"/>
  <c r="AO38" i="10"/>
  <c r="AG22" i="10"/>
  <c r="AG18" i="10"/>
  <c r="AO16" i="10"/>
  <c r="AQ29" i="10"/>
  <c r="AG45" i="10"/>
  <c r="AO24" i="10"/>
  <c r="AU35" i="10"/>
  <c r="AM19" i="10"/>
  <c r="AS30" i="10"/>
  <c r="AK14" i="10"/>
  <c r="AQ37" i="10"/>
  <c r="AI21" i="10"/>
  <c r="AO44" i="10"/>
  <c r="AG28" i="10"/>
  <c r="AM39" i="10"/>
  <c r="AG15" i="10"/>
  <c r="AS14" i="10"/>
  <c r="AU17" i="10"/>
  <c r="AK33" i="10"/>
  <c r="AQ44" i="10"/>
  <c r="AI28" i="10"/>
  <c r="AO39" i="10"/>
  <c r="AG23" i="10"/>
  <c r="AO26" i="10"/>
  <c r="AK28" i="10"/>
  <c r="AS39" i="10"/>
  <c r="AG37" i="10"/>
  <c r="AQ17" i="10"/>
  <c r="AG33" i="10"/>
  <c r="AM44" i="10"/>
  <c r="AU23" i="10"/>
  <c r="AK39" i="10"/>
  <c r="AS18" i="10"/>
  <c r="AI34" i="10"/>
  <c r="AQ25" i="10"/>
  <c r="AG41" i="10"/>
  <c r="AO32" i="10"/>
  <c r="AG16" i="10"/>
  <c r="AM27" i="10"/>
  <c r="AQ22" i="10"/>
  <c r="AQ34" i="10"/>
  <c r="AS37" i="10"/>
  <c r="AK21" i="10"/>
  <c r="AQ32" i="10"/>
  <c r="AI16" i="10"/>
  <c r="AO27" i="10"/>
  <c r="AO14" i="10"/>
  <c r="AQ39" i="10"/>
  <c r="AG39" i="10"/>
  <c r="AU27" i="10"/>
  <c r="AO37" i="10"/>
  <c r="AG21" i="10"/>
  <c r="AM32" i="10"/>
  <c r="AS43" i="10"/>
  <c r="AK27" i="10"/>
  <c r="AQ38" i="10"/>
  <c r="AI22" i="10"/>
  <c r="AO45" i="10"/>
  <c r="AG29" i="10"/>
  <c r="AO20" i="10"/>
  <c r="AU43" i="10"/>
  <c r="AM15" i="10"/>
  <c r="AO18" i="10"/>
  <c r="AO42" i="10"/>
  <c r="AS25" i="10"/>
  <c r="AI41" i="10"/>
  <c r="AQ20" i="10"/>
  <c r="AG36" i="10"/>
  <c r="AO15" i="10"/>
  <c r="AM34" i="10"/>
  <c r="AU38" i="10"/>
  <c r="AM22" i="10"/>
  <c r="AS44" i="10"/>
  <c r="AM16" i="10"/>
  <c r="AQ21" i="10"/>
  <c r="AK30" i="10"/>
  <c r="AO25" i="10"/>
  <c r="AU36" i="10"/>
  <c r="AM20" i="10"/>
  <c r="AS31" i="10"/>
  <c r="AK15" i="10"/>
  <c r="AQ26" i="10"/>
  <c r="AG42" i="10"/>
  <c r="AO33" i="10"/>
  <c r="AG17" i="10"/>
  <c r="AM40" i="10"/>
  <c r="AU31" i="10"/>
  <c r="AK23" i="10"/>
  <c r="AM26" i="10"/>
  <c r="AO30" i="10"/>
  <c r="AQ45" i="10"/>
  <c r="AI29" i="10"/>
  <c r="AO40" i="10"/>
  <c r="AG24" i="10"/>
  <c r="AM35" i="10"/>
  <c r="AI23" i="10"/>
  <c r="AI18" i="10"/>
  <c r="AU14" i="10"/>
  <c r="AM45" i="10"/>
  <c r="AU24" i="10"/>
  <c r="AK40" i="10"/>
  <c r="AS19" i="10"/>
  <c r="AI35" i="10"/>
  <c r="AQ14" i="10"/>
  <c r="AG30" i="10"/>
  <c r="AO21" i="10"/>
  <c r="AU44" i="10"/>
  <c r="AM28" i="10"/>
  <c r="AU19" i="10"/>
  <c r="AI31" i="10"/>
  <c r="AI42" i="10"/>
  <c r="AM38" i="10"/>
  <c r="AQ33" i="10"/>
  <c r="AI17" i="10"/>
  <c r="AO28" i="10"/>
  <c r="AU39" i="10"/>
  <c r="AM23" i="10"/>
  <c r="AU26" i="10"/>
  <c r="AK42" i="10"/>
  <c r="AM33" i="10"/>
  <c r="AO34" i="10"/>
  <c r="AM41" i="10"/>
  <c r="AU32" i="10"/>
  <c r="AM14" i="10"/>
  <c r="AK43" i="10"/>
  <c r="AU37" i="10"/>
  <c r="AM21" i="10"/>
  <c r="AS32" i="10"/>
  <c r="AK16" i="10"/>
  <c r="AQ27" i="10"/>
  <c r="AG43" i="10"/>
  <c r="AO22" i="10"/>
  <c r="AU45" i="10"/>
  <c r="AM29" i="10"/>
  <c r="AU20" i="10"/>
  <c r="AK36" i="10"/>
  <c r="AS27" i="10"/>
  <c r="AK34" i="10"/>
  <c r="AG26" i="10"/>
  <c r="AK22" i="10"/>
  <c r="AO41" i="10"/>
  <c r="AG25" i="10"/>
  <c r="AM36" i="10"/>
  <c r="AU15" i="10"/>
  <c r="AK31" i="10"/>
  <c r="AS34" i="10"/>
  <c r="AK18" i="10"/>
  <c r="AG32" i="10"/>
  <c r="AI20" i="10"/>
  <c r="AU41" i="10"/>
  <c r="AQ31" i="10"/>
  <c r="AU25" i="10"/>
  <c r="AK41" i="10"/>
  <c r="AS20" i="10"/>
  <c r="AI36" i="10"/>
  <c r="AQ15" i="10"/>
  <c r="AG31" i="10"/>
  <c r="AM42" i="10"/>
  <c r="AU33" i="10"/>
  <c r="AM17" i="10"/>
  <c r="AS40" i="10"/>
  <c r="AK24" i="10"/>
  <c r="AS15" i="10"/>
  <c r="AQ35" i="10"/>
  <c r="AU42" i="10"/>
  <c r="AI30" i="10"/>
  <c r="AO29" i="10"/>
  <c r="AU40" i="10"/>
  <c r="AM24" i="10"/>
  <c r="AS35" i="10"/>
  <c r="AK19" i="10"/>
  <c r="AS22" i="10"/>
  <c r="AI38" i="10"/>
  <c r="AK44" i="10"/>
  <c r="AI39" i="10"/>
  <c r="AI26" i="10"/>
  <c r="AK38" i="10"/>
  <c r="AI45" i="10"/>
  <c r="AS38" i="10"/>
  <c r="AK20" i="10"/>
  <c r="AG34" i="10"/>
  <c r="AS45" i="10"/>
  <c r="AK29" i="10"/>
  <c r="AQ40" i="10"/>
  <c r="AI24" i="10"/>
  <c r="AB24" i="10" s="1"/>
  <c r="AO35" i="10"/>
  <c r="AG19" i="10"/>
  <c r="AM30" i="10"/>
  <c r="AU21" i="10"/>
  <c r="AK37" i="10"/>
  <c r="AS28" i="10"/>
  <c r="AI44" i="10"/>
  <c r="AQ23" i="10"/>
  <c r="AK35" i="10"/>
  <c r="AB35" i="10" s="1"/>
  <c r="AU30" i="10"/>
  <c r="AG38" i="10"/>
  <c r="AO17" i="10"/>
  <c r="AU28" i="10"/>
  <c r="AS23" i="10"/>
  <c r="AQ42" i="10"/>
  <c r="AM43" i="10"/>
  <c r="AO31" i="10"/>
  <c r="AM25" i="10"/>
  <c r="AI15" i="10"/>
  <c r="AS33" i="10"/>
  <c r="AK17" i="10"/>
  <c r="AQ28" i="10"/>
  <c r="AG44" i="10"/>
  <c r="AO23" i="10"/>
  <c r="AB23" i="10" s="1"/>
  <c r="AU34" i="10"/>
  <c r="AB34" i="10" s="1"/>
  <c r="AM18" i="10"/>
  <c r="AS41" i="10"/>
  <c r="AK25" i="10"/>
  <c r="AB25" i="10" s="1"/>
  <c r="AS16" i="10"/>
  <c r="AI32" i="10"/>
  <c r="AO43" i="10"/>
  <c r="AI43" i="10"/>
  <c r="AU18" i="10"/>
  <c r="AG14" i="10"/>
  <c r="AM37" i="10"/>
  <c r="AU16" i="10"/>
  <c r="AK32" i="10"/>
  <c r="AQ43" i="10"/>
  <c r="AI27" i="10"/>
  <c r="AQ30" i="10"/>
  <c r="AI14" i="10"/>
  <c r="AQ16" i="10"/>
  <c r="AU22" i="10"/>
  <c r="AB22" i="10" s="1"/>
  <c r="AS29" i="10"/>
  <c r="AQ36" i="10"/>
  <c r="AI19" i="10"/>
  <c r="AS36" i="10"/>
  <c r="AB36" i="10" s="1"/>
  <c r="AQ18" i="10"/>
  <c r="AS21" i="10"/>
  <c r="AI37" i="10"/>
  <c r="AB37" i="10" s="1"/>
  <c r="O10" i="10"/>
  <c r="AF15" i="10" l="1"/>
  <c r="AC22" i="10"/>
  <c r="AC34" i="10"/>
  <c r="AC23" i="10"/>
  <c r="AC35" i="10"/>
  <c r="AC24" i="10"/>
  <c r="AC36" i="10"/>
  <c r="AC25" i="10"/>
  <c r="AC37" i="10"/>
  <c r="AC14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14" i="10"/>
  <c r="AB43" i="10"/>
  <c r="AB27" i="10"/>
  <c r="AB42" i="10"/>
  <c r="N10" i="10"/>
  <c r="AB32" i="10"/>
  <c r="AB17" i="10"/>
  <c r="N8" i="10"/>
  <c r="AB15" i="10"/>
  <c r="AB29" i="10"/>
  <c r="N6" i="10"/>
  <c r="O7" i="10"/>
  <c r="AB20" i="10"/>
  <c r="AB30" i="10"/>
  <c r="O8" i="10"/>
  <c r="N12" i="10"/>
  <c r="AB26" i="10"/>
  <c r="AB41" i="10"/>
  <c r="N9" i="10"/>
  <c r="O9" i="10"/>
  <c r="AB19" i="10"/>
  <c r="N11" i="10"/>
  <c r="AB39" i="10"/>
  <c r="AB16" i="10"/>
  <c r="AB44" i="10"/>
  <c r="AB21" i="10"/>
  <c r="AB33" i="10"/>
  <c r="AB38" i="10"/>
  <c r="AB28" i="10"/>
  <c r="AB18" i="10"/>
  <c r="AB40" i="10"/>
  <c r="O6" i="10"/>
  <c r="AB31" i="10"/>
  <c r="AB45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K14" i="4"/>
  <c r="AU14" i="4"/>
  <c r="AS14" i="4"/>
  <c r="AO14" i="4"/>
  <c r="AQ14" i="4"/>
  <c r="AM14" i="4"/>
  <c r="AI14" i="4"/>
  <c r="AG14" i="4"/>
  <c r="AC14" i="4" l="1"/>
  <c r="AE14" i="4" s="1"/>
  <c r="AA15" i="4"/>
  <c r="S4" i="3"/>
  <c r="AB14" i="4"/>
  <c r="N12" i="4"/>
  <c r="AU15" i="4"/>
  <c r="AI15" i="4"/>
  <c r="AK15" i="4"/>
  <c r="N6" i="4"/>
  <c r="AG15" i="4"/>
  <c r="AQ15" i="4"/>
  <c r="AO15" i="4"/>
  <c r="AS15" i="4"/>
  <c r="AM15" i="4"/>
  <c r="AC15" i="4" l="1"/>
  <c r="AA16" i="4"/>
  <c r="S5" i="3"/>
  <c r="AM16" i="4"/>
  <c r="AI16" i="4"/>
  <c r="AB15" i="4"/>
  <c r="AO16" i="4"/>
  <c r="AU16" i="4"/>
  <c r="AQ16" i="4"/>
  <c r="AG16" i="4"/>
  <c r="AK16" i="4"/>
  <c r="AS16" i="4"/>
  <c r="AC16" i="4" l="1"/>
  <c r="AE16" i="4" s="1"/>
  <c r="AE15" i="4"/>
  <c r="AA17" i="4"/>
  <c r="AA14" i="3"/>
  <c r="J11" i="3"/>
  <c r="J10" i="3"/>
  <c r="J9" i="3"/>
  <c r="J8" i="3"/>
  <c r="J7" i="3"/>
  <c r="J6" i="3"/>
  <c r="AG17" i="4"/>
  <c r="AO17" i="4"/>
  <c r="AU17" i="4"/>
  <c r="AM17" i="4"/>
  <c r="AQ17" i="4"/>
  <c r="AG14" i="3"/>
  <c r="AI14" i="3"/>
  <c r="AI17" i="4"/>
  <c r="AK17" i="4"/>
  <c r="AK14" i="3"/>
  <c r="AB16" i="4"/>
  <c r="AS17" i="4"/>
  <c r="AC17" i="4" l="1"/>
  <c r="AC14" i="3"/>
  <c r="AA18" i="4"/>
  <c r="AA15" i="3"/>
  <c r="S7" i="3"/>
  <c r="L14" i="3" s="1"/>
  <c r="S3" i="3"/>
  <c r="S2" i="3"/>
  <c r="AI18" i="4"/>
  <c r="AG15" i="3"/>
  <c r="AO18" i="4"/>
  <c r="AB17" i="4"/>
  <c r="AK18" i="4"/>
  <c r="AU18" i="4"/>
  <c r="AI15" i="3"/>
  <c r="AQ18" i="4"/>
  <c r="AG18" i="4"/>
  <c r="AS18" i="4"/>
  <c r="AM18" i="4"/>
  <c r="AK15" i="3"/>
  <c r="AB14" i="3"/>
  <c r="N12" i="3"/>
  <c r="AC18" i="4" l="1"/>
  <c r="AE17" i="4"/>
  <c r="AC15" i="3"/>
  <c r="AE15" i="3" s="1"/>
  <c r="AE14" i="3"/>
  <c r="AA16" i="3"/>
  <c r="AA19" i="4"/>
  <c r="B2" i="3"/>
  <c r="C5" i="3"/>
  <c r="C4" i="3"/>
  <c r="AI16" i="3"/>
  <c r="N6" i="3"/>
  <c r="AQ19" i="4"/>
  <c r="AM19" i="4"/>
  <c r="AK16" i="3"/>
  <c r="AG19" i="4"/>
  <c r="AK19" i="4"/>
  <c r="AO19" i="4"/>
  <c r="AS19" i="4"/>
  <c r="AU19" i="4"/>
  <c r="AB18" i="4"/>
  <c r="AB15" i="3"/>
  <c r="AI19" i="4"/>
  <c r="AG16" i="3"/>
  <c r="AC19" i="4" l="1"/>
  <c r="AE19" i="4" s="1"/>
  <c r="AE18" i="4"/>
  <c r="AC16" i="3"/>
  <c r="AA17" i="3"/>
  <c r="AA20" i="4"/>
  <c r="AB19" i="4"/>
  <c r="AG17" i="3"/>
  <c r="AS20" i="4"/>
  <c r="AI20" i="4"/>
  <c r="AQ20" i="4"/>
  <c r="AM20" i="4"/>
  <c r="AI17" i="3"/>
  <c r="AO20" i="4"/>
  <c r="AK20" i="4"/>
  <c r="AB16" i="3"/>
  <c r="AU20" i="4"/>
  <c r="AG20" i="4"/>
  <c r="AK17" i="3"/>
  <c r="AC20" i="4" l="1"/>
  <c r="AC17" i="3"/>
  <c r="AE16" i="3"/>
  <c r="AA18" i="3"/>
  <c r="AA21" i="4"/>
  <c r="B8" i="2"/>
  <c r="B7" i="2"/>
  <c r="B6" i="2"/>
  <c r="AG18" i="3"/>
  <c r="AI18" i="3"/>
  <c r="AK21" i="4"/>
  <c r="AK18" i="3"/>
  <c r="AB20" i="4"/>
  <c r="AO21" i="4"/>
  <c r="AU21" i="4"/>
  <c r="AM21" i="4"/>
  <c r="AG21" i="4"/>
  <c r="AS21" i="4"/>
  <c r="AQ21" i="4"/>
  <c r="AB17" i="3"/>
  <c r="AI21" i="4"/>
  <c r="AC21" i="4" l="1"/>
  <c r="AE21" i="4" s="1"/>
  <c r="AE20" i="4"/>
  <c r="AA22" i="4"/>
  <c r="AC18" i="3"/>
  <c r="AA19" i="3"/>
  <c r="AE17" i="3"/>
  <c r="B2" i="2"/>
  <c r="B4" i="2"/>
  <c r="AI19" i="3"/>
  <c r="AG19" i="3"/>
  <c r="AB18" i="3"/>
  <c r="AM22" i="4"/>
  <c r="AI22" i="4"/>
  <c r="AO22" i="4"/>
  <c r="AG22" i="4"/>
  <c r="AB21" i="4"/>
  <c r="AS22" i="4"/>
  <c r="AK22" i="4"/>
  <c r="AK19" i="3"/>
  <c r="AU22" i="4"/>
  <c r="AQ22" i="4"/>
  <c r="AC22" i="4" l="1"/>
  <c r="AE22" i="4" s="1"/>
  <c r="AA23" i="4"/>
  <c r="AC19" i="3"/>
  <c r="AE18" i="3"/>
  <c r="AA20" i="3"/>
  <c r="C6" i="1"/>
  <c r="AM23" i="4"/>
  <c r="AQ23" i="4"/>
  <c r="AO23" i="4"/>
  <c r="AU23" i="4"/>
  <c r="AI20" i="3"/>
  <c r="AG23" i="4"/>
  <c r="AK20" i="3"/>
  <c r="AB19" i="3"/>
  <c r="AK23" i="4"/>
  <c r="AS23" i="4"/>
  <c r="AB22" i="4"/>
  <c r="AG20" i="3"/>
  <c r="AI23" i="4"/>
  <c r="AC23" i="4" l="1"/>
  <c r="AE23" i="4" s="1"/>
  <c r="AA24" i="4"/>
  <c r="AC20" i="3"/>
  <c r="AE20" i="3" s="1"/>
  <c r="AA21" i="3"/>
  <c r="AE19" i="3"/>
  <c r="AI24" i="4"/>
  <c r="AB23" i="4"/>
  <c r="AG24" i="4"/>
  <c r="AB20" i="3"/>
  <c r="AO24" i="4"/>
  <c r="AI21" i="3"/>
  <c r="AS24" i="4"/>
  <c r="AM24" i="4"/>
  <c r="AQ24" i="4"/>
  <c r="AG21" i="3"/>
  <c r="AK24" i="4"/>
  <c r="AU24" i="4"/>
  <c r="AK21" i="3"/>
  <c r="AC24" i="4" l="1"/>
  <c r="AA25" i="4"/>
  <c r="AC21" i="3"/>
  <c r="AA22" i="3"/>
  <c r="AK22" i="3"/>
  <c r="AG25" i="4"/>
  <c r="AI22" i="3"/>
  <c r="AK25" i="4"/>
  <c r="AB21" i="3"/>
  <c r="AM25" i="4"/>
  <c r="AQ25" i="4"/>
  <c r="AS25" i="4"/>
  <c r="AI25" i="4"/>
  <c r="AO25" i="4"/>
  <c r="AB24" i="4"/>
  <c r="AU25" i="4"/>
  <c r="AG22" i="3"/>
  <c r="AC25" i="4" l="1"/>
  <c r="AE24" i="4"/>
  <c r="AA26" i="4"/>
  <c r="AC22" i="3"/>
  <c r="AE22" i="3" s="1"/>
  <c r="AA23" i="3"/>
  <c r="AE21" i="3"/>
  <c r="AK26" i="4"/>
  <c r="AS26" i="4"/>
  <c r="AO26" i="4"/>
  <c r="AU26" i="4"/>
  <c r="AQ26" i="4"/>
  <c r="AK23" i="3"/>
  <c r="AI26" i="4"/>
  <c r="AB22" i="3"/>
  <c r="AG23" i="3"/>
  <c r="AG26" i="4"/>
  <c r="AI23" i="3"/>
  <c r="AM26" i="4"/>
  <c r="AB25" i="4"/>
  <c r="AC26" i="4" l="1"/>
  <c r="AE25" i="4"/>
  <c r="AA27" i="4"/>
  <c r="AC23" i="3"/>
  <c r="AA24" i="3"/>
  <c r="AB23" i="3"/>
  <c r="AG24" i="3"/>
  <c r="AM27" i="4"/>
  <c r="AU27" i="4"/>
  <c r="AQ27" i="4"/>
  <c r="AO27" i="4"/>
  <c r="AK27" i="4"/>
  <c r="AK24" i="3"/>
  <c r="AB26" i="4"/>
  <c r="AS27" i="4"/>
  <c r="AI27" i="4"/>
  <c r="AG27" i="4"/>
  <c r="AI24" i="3"/>
  <c r="AC27" i="4" l="1"/>
  <c r="AE26" i="4"/>
  <c r="AA28" i="4"/>
  <c r="AC24" i="3"/>
  <c r="AE23" i="3"/>
  <c r="AA25" i="3"/>
  <c r="AB24" i="3"/>
  <c r="AM28" i="4"/>
  <c r="AG25" i="3"/>
  <c r="AI28" i="4"/>
  <c r="AO28" i="4"/>
  <c r="AS28" i="4"/>
  <c r="AU28" i="4"/>
  <c r="AG28" i="4"/>
  <c r="AI25" i="3"/>
  <c r="AK28" i="4"/>
  <c r="AQ28" i="4"/>
  <c r="AB27" i="4"/>
  <c r="AK25" i="3"/>
  <c r="AC28" i="4" l="1"/>
  <c r="AA29" i="4"/>
  <c r="AE27" i="4"/>
  <c r="AC25" i="3"/>
  <c r="AA26" i="3"/>
  <c r="AE24" i="3"/>
  <c r="AB28" i="4"/>
  <c r="AM29" i="4"/>
  <c r="AI29" i="4"/>
  <c r="AS29" i="4"/>
  <c r="AB25" i="3"/>
  <c r="AU29" i="4"/>
  <c r="AK26" i="3"/>
  <c r="AG29" i="4"/>
  <c r="AG26" i="3"/>
  <c r="AO29" i="4"/>
  <c r="AK29" i="4"/>
  <c r="AQ29" i="4"/>
  <c r="AI26" i="3"/>
  <c r="AC29" i="4" l="1"/>
  <c r="AE28" i="4"/>
  <c r="AA30" i="4"/>
  <c r="AC26" i="3"/>
  <c r="AA27" i="3"/>
  <c r="AE25" i="3"/>
  <c r="AQ30" i="4"/>
  <c r="AG30" i="4"/>
  <c r="AG27" i="3"/>
  <c r="AU30" i="4"/>
  <c r="AS30" i="4"/>
  <c r="AM30" i="4"/>
  <c r="AI27" i="3"/>
  <c r="AB26" i="3"/>
  <c r="AK27" i="3"/>
  <c r="AI30" i="4"/>
  <c r="AO30" i="4"/>
  <c r="AK30" i="4"/>
  <c r="AB29" i="4"/>
  <c r="AC30" i="4" l="1"/>
  <c r="AA31" i="4"/>
  <c r="AE29" i="4"/>
  <c r="AC27" i="3"/>
  <c r="AA28" i="3"/>
  <c r="AE26" i="3"/>
  <c r="AB27" i="3"/>
  <c r="AK31" i="4"/>
  <c r="AB30" i="4"/>
  <c r="AQ31" i="4"/>
  <c r="AS31" i="4"/>
  <c r="AK28" i="3"/>
  <c r="AU31" i="4"/>
  <c r="AI31" i="4"/>
  <c r="AG31" i="4"/>
  <c r="AG28" i="3"/>
  <c r="AO31" i="4"/>
  <c r="AM31" i="4"/>
  <c r="AI28" i="3"/>
  <c r="AC31" i="4" l="1"/>
  <c r="AA32" i="4"/>
  <c r="AE30" i="4"/>
  <c r="AC28" i="3"/>
  <c r="AA29" i="3"/>
  <c r="AE27" i="3"/>
  <c r="AK32" i="4"/>
  <c r="AK29" i="3"/>
  <c r="AG32" i="4"/>
  <c r="AU32" i="4"/>
  <c r="AB31" i="4"/>
  <c r="AG29" i="3"/>
  <c r="AQ32" i="4"/>
  <c r="AI29" i="3"/>
  <c r="AM32" i="4"/>
  <c r="AI32" i="4"/>
  <c r="AS32" i="4"/>
  <c r="AO32" i="4"/>
  <c r="AB28" i="3"/>
  <c r="AC32" i="4" l="1"/>
  <c r="AE31" i="4"/>
  <c r="AA33" i="4"/>
  <c r="AC29" i="3"/>
  <c r="AA30" i="3"/>
  <c r="AE28" i="3"/>
  <c r="AO33" i="4"/>
  <c r="AI33" i="4"/>
  <c r="AQ33" i="4"/>
  <c r="AB32" i="4"/>
  <c r="AG33" i="4"/>
  <c r="AB29" i="3"/>
  <c r="AK33" i="4"/>
  <c r="AM33" i="4"/>
  <c r="AK30" i="3"/>
  <c r="AG30" i="3"/>
  <c r="AU33" i="4"/>
  <c r="AS33" i="4"/>
  <c r="AI30" i="3"/>
  <c r="AC33" i="4" l="1"/>
  <c r="AE32" i="4"/>
  <c r="AA34" i="4"/>
  <c r="AC30" i="3"/>
  <c r="AA31" i="3"/>
  <c r="AE29" i="3"/>
  <c r="AB33" i="4"/>
  <c r="AS34" i="4"/>
  <c r="AG34" i="4"/>
  <c r="AU34" i="4"/>
  <c r="AK34" i="4"/>
  <c r="AI31" i="3"/>
  <c r="AO34" i="4"/>
  <c r="AK31" i="3"/>
  <c r="AQ34" i="4"/>
  <c r="AI34" i="4"/>
  <c r="AG31" i="3"/>
  <c r="AM34" i="4"/>
  <c r="AB30" i="3"/>
  <c r="AC34" i="4" l="1"/>
  <c r="AE33" i="4"/>
  <c r="AA35" i="4"/>
  <c r="AC31" i="3"/>
  <c r="AA32" i="3"/>
  <c r="AE30" i="3"/>
  <c r="AM35" i="4"/>
  <c r="AU35" i="4"/>
  <c r="AS35" i="4"/>
  <c r="AI35" i="4"/>
  <c r="AB31" i="3"/>
  <c r="AI32" i="3"/>
  <c r="AK32" i="3"/>
  <c r="AK35" i="4"/>
  <c r="AO35" i="4"/>
  <c r="AG32" i="3"/>
  <c r="AG35" i="4"/>
  <c r="AQ35" i="4"/>
  <c r="AB34" i="4"/>
  <c r="AC35" i="4" l="1"/>
  <c r="AA36" i="4"/>
  <c r="AE34" i="4"/>
  <c r="AC32" i="3"/>
  <c r="AA33" i="3"/>
  <c r="AE31" i="3"/>
  <c r="AB32" i="3"/>
  <c r="N10" i="4"/>
  <c r="AK36" i="4"/>
  <c r="AI36" i="4"/>
  <c r="AQ36" i="4"/>
  <c r="O10" i="4"/>
  <c r="AB35" i="4"/>
  <c r="O7" i="4"/>
  <c r="AU36" i="4"/>
  <c r="AG36" i="4"/>
  <c r="O9" i="4"/>
  <c r="AS36" i="4"/>
  <c r="AO36" i="4"/>
  <c r="N8" i="4"/>
  <c r="AG33" i="3"/>
  <c r="AM36" i="4"/>
  <c r="AI33" i="3"/>
  <c r="O8" i="4"/>
  <c r="AK33" i="3"/>
  <c r="N7" i="4"/>
  <c r="AC36" i="4" l="1"/>
  <c r="N5" i="4"/>
  <c r="AE35" i="4"/>
  <c r="AC33" i="3"/>
  <c r="AA34" i="3"/>
  <c r="AE32" i="3"/>
  <c r="AG34" i="3"/>
  <c r="N9" i="4"/>
  <c r="AI34" i="3"/>
  <c r="O6" i="4"/>
  <c r="AK34" i="3"/>
  <c r="AB36" i="4"/>
  <c r="AB33" i="3"/>
  <c r="O5" i="4" l="1"/>
  <c r="AE36" i="4"/>
  <c r="AC34" i="3"/>
  <c r="AA35" i="3"/>
  <c r="AE33" i="3"/>
  <c r="AB34" i="3"/>
  <c r="AG35" i="3"/>
  <c r="AK35" i="3"/>
  <c r="AI35" i="3"/>
  <c r="AC35" i="3" l="1"/>
  <c r="AA36" i="3"/>
  <c r="AE34" i="3"/>
  <c r="AG36" i="3"/>
  <c r="AB35" i="3"/>
  <c r="AK36" i="3"/>
  <c r="AI36" i="3"/>
  <c r="AC36" i="3" l="1"/>
  <c r="AA37" i="3"/>
  <c r="AE35" i="3"/>
  <c r="AI37" i="3"/>
  <c r="AB36" i="3"/>
  <c r="AG37" i="3"/>
  <c r="AK37" i="3"/>
  <c r="AC37" i="3" l="1"/>
  <c r="AA38" i="3"/>
  <c r="AE36" i="3"/>
  <c r="AB37" i="3"/>
  <c r="AK38" i="3"/>
  <c r="AI38" i="3"/>
  <c r="AG38" i="3"/>
  <c r="AC38" i="3" l="1"/>
  <c r="AA39" i="3"/>
  <c r="AE37" i="3"/>
  <c r="AI39" i="3"/>
  <c r="AB38" i="3"/>
  <c r="AG39" i="3"/>
  <c r="AK39" i="3"/>
  <c r="AC39" i="3" l="1"/>
  <c r="AA40" i="3"/>
  <c r="AE38" i="3"/>
  <c r="AB39" i="3"/>
  <c r="AG40" i="3"/>
  <c r="AK40" i="3"/>
  <c r="AI40" i="3"/>
  <c r="AC40" i="3" l="1"/>
  <c r="AA41" i="3"/>
  <c r="AE39" i="3"/>
  <c r="AG41" i="3"/>
  <c r="AI41" i="3"/>
  <c r="AB40" i="3"/>
  <c r="AK41" i="3"/>
  <c r="AC41" i="3" l="1"/>
  <c r="AA42" i="3"/>
  <c r="AE40" i="3"/>
  <c r="AK42" i="3"/>
  <c r="AI42" i="3"/>
  <c r="AB41" i="3"/>
  <c r="AG42" i="3"/>
  <c r="AC42" i="3" l="1"/>
  <c r="AA43" i="3"/>
  <c r="AE41" i="3"/>
  <c r="O7" i="3"/>
  <c r="O10" i="3"/>
  <c r="O8" i="3"/>
  <c r="N8" i="3"/>
  <c r="N10" i="3"/>
  <c r="AG43" i="3"/>
  <c r="AK43" i="3"/>
  <c r="N7" i="3"/>
  <c r="O9" i="3"/>
  <c r="AB42" i="3"/>
  <c r="AI43" i="3"/>
  <c r="N5" i="3" l="1"/>
  <c r="V2" i="3" s="1"/>
  <c r="AC43" i="3"/>
  <c r="AE42" i="3"/>
  <c r="AB43" i="3"/>
  <c r="O6" i="3"/>
  <c r="N11" i="3"/>
  <c r="N9" i="3"/>
  <c r="O5" i="3" l="1"/>
  <c r="V3" i="3" s="1"/>
  <c r="AE43" i="3"/>
  <c r="N1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<sst xmlns="http://schemas.openxmlformats.org/spreadsheetml/2006/main" count="532" uniqueCount="158">
  <si>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</si>
  <si>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</si>
  <si>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</si>
  <si>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</si>
  <si>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</si>
  <si>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</si>
  <si>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</si>
  <si>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</si>
  <si>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</si>
  <si>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</si>
  <si>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</si>
  <si>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</si>
  <si>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</si>
  <si>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</si>
  <si>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</si>
  <si>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</si>
  <si>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</si>
  <si>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</si>
  <si>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</si>
  <si>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</si>
  <si>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</si>
  <si>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</si>
  <si>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</si>
  <si>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</si>
  <si>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</si>
  <si>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</si>
  <si>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</si>
  <si>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</si>
  <si>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</si>
  <si>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</si>
  <si>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</si>
  <si>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</si>
  <si>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</si>
  <si>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</si>
  <si>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</si>
  <si>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</si>
  <si>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</si>
  <si>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</si>
  <si>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</si>
  <si>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</si>
  <si>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</si>
  <si>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</si>
  <si>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</si>
  <si>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</si>
  <si>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</si>
  <si>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</si>
  <si>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</si>
  <si>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</si>
  <si>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</si>
  <si>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</si>
  <si>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</si>
  <si>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</si>
  <si>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</si>
  <si>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</si>
  <si>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</si>
  <si>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</si>
  <si>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</si>
  <si>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</si>
  <si>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</si>
  <si>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</si>
  <si>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</si>
  <si>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</si>
  <si>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</si>
  <si>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</si>
  <si>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</si>
  <si>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</si>
  <si>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</si>
  <si>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</si>
  <si>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</si>
  <si>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</si>
  <si>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</si>
  <si>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</si>
  <si>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</si>
  <si>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</si>
  <si>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</si>
  <si>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</si>
  <si>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</si>
  <si>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</si>
  <si>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</si>
  <si>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</si>
  <si>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</si>
  <si>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</si>
  <si>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</si>
  <si>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</si>
  <si>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</si>
  <si>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</si>
  <si>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</si>
  <si>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</si>
  <si>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</si>
  <si>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</si>
  <si>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</si>
  <si>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</si>
  <si>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</si>
  <si>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</si>
  <si>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</si>
  <si>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</si>
  <si>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</si>
  <si>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</si>
  <si>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</si>
  <si>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</si>
  <si>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</si>
  <si>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</si>
  <si>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</si>
  <si>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</si>
  <si>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</si>
  <si>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</si>
  <si>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</si>
  <si>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</si>
  <si>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</si>
  <si>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</si>
  <si>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</si>
  <si>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</si>
  <si>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</si>
  <si>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</si>
  <si>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</si>
  <si>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</si>
  <si>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</si>
  <si>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</si>
  <si>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</si>
  <si>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</si>
  <si>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</si>
  <si>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</si>
  <si>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</si>
  <si>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</si>
  <si>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</si>
  <si>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</si>
  <si>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</si>
  <si>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</si>
  <si>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</si>
  <si>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</si>
  <si>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</si>
  <si>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</si>
  <si>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</si>
  <si>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</si>
  <si>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</si>
  <si>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</si>
  <si>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</si>
  <si>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</si>
  <si>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</si>
  <si>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</si>
  <si>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</si>
  <si>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</si>
  <si>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</si>
  <si>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</si>
  <si>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</si>
  <si>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</si>
  <si>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</si>
  <si>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</si>
  <si>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</si>
  <si>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</si>
  <si>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</si>
  <si>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</si>
  <si>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Each</t>
  </si>
  <si>
    <t>01  Structural Steel</t>
  </si>
  <si>
    <t>S590</t>
  </si>
  <si>
    <t>Wednesday</t>
  </si>
  <si>
    <t>01  Sample</t>
  </si>
  <si>
    <t>St. George Temple Major Renovation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</si>
</sst>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  <xf numFmtId="0" fontId="24" fillId="0" borderId="0" applyNumberFormat="0" applyFill="0" applyBorder="0" applyAlignment="0" applyProtection="0"/>
  </cellStyleXfs>
  <cellXfs count="107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4" fillId="6" borderId="1" xfId="2" applyNumberFormat="1" applyFont="1"/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2" fillId="2" borderId="1" xfId="1" applyFont="1" applyAlignment="1">
      <alignment horizontal="left" vertical="center"/>
    </xf>
    <xf numFmtId="0" fontId="23" fillId="6" borderId="1" xfId="2" applyFont="1" applyAlignment="1">
      <alignment horizontal="left" wrapText="1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4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CFE41E-918B-4E4A-908B-19E9F58087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4853AA-196F-4074-80C3-B7823BE936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B09BCA-C8C4-4CE5-8DAC-0202FDF0D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47B7BD-A0D3-46AB-8E33-A9DB1A8D29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917C75-F3D8-476F-8BD2-CF511699F0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55B287-355A-4227-A232-5C9D8681CD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0047FD-B100-45DD-AF9B-CCDBE8041E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AC47DB-DF65-4A65-8B62-FA3066A9AA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AFFBD6-E7E7-46B5-B9CA-891CDF825E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952D186-BD2F-4864-830B-25BA4F522C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DF3FF4-4F5C-45A4-B6AC-8328E2AE09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9A0D8C8-9D11-4BE6-AFEE-329175DC6D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65CE82-C343-4CE8-B651-16362F6ED9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9986B5-D453-435C-8F37-B8B22833F7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52D3EF-C30E-406E-9DE9-36B742BDA8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3B6775-8D71-4AC2-88A1-7D17715F2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250A36-0F24-455B-8914-C7AAE04E0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4E56A2C-DDC5-497D-90E9-86088A7BE4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CB792C-2393-4D02-8CF2-00ED268369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353966-2EE2-4BA9-B5B9-200D7E8FC2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371D64-A821-4769-8B39-8835676392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766F4DF-05C1-45F0-9FD3-72BFD93120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73F79E-F79C-4C74-B7FF-8283547F13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82766F-2655-4B49-91E1-16D569270C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7A45AB4-750B-4215-B6C3-6122316C01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E0287B-7994-40B3-AB96-42ED7C3884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1385D93-2029-46CF-B34E-E4A02C4CB8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B985BD-54E6-41D7-B60E-1B3681293C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8F61C0-CF62-40B2-811D-68279EC3B3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92A4B9-CF70-40C5-8041-F4B81ECA2C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0.43636363636363623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0.56363636363636371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1F04DD0-17BB-445D-A9C3-CD58D206A0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78B9ED-C00F-426A-A840-9C8A03810D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E50EA1-2BCA-40D1-8787-DA154CDB1C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F2900A-5DE1-4E04-A69E-8FD8F27DB2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FD6E95-36CF-45C4-A63B-742C9D11D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3F04E6-52D7-4AD7-98FD-CAA313AFB5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FAD92D-BD1E-4319-85E6-0F1688D487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FFCE9DE-984E-46A2-90BE-08483B6A16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B2EC33-3F9D-4BD5-9053-AE339D11A0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8EC934-FD78-46FD-9B0F-4DF8A5594D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8F838B1-EF07-42F0-BEB8-8FD511B82C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43534A-3883-4978-A475-303C74E4D8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4A36BC-24E6-4480-BFA1-A65591F9CF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CAD67F-13EA-4FFC-8191-7D1F09586D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183194-F5A5-46DD-BEF1-52A82253F8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D0DF48-F187-4C23-8713-771FF2D1D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CC6E9C3-D879-4210-8841-74FA46B22E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02CC6D-48AA-4B18-B734-6D27B7F223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2740BF-B113-4253-A2EE-2CF12172B6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0E0AFC1-46F8-4DF8-9F67-EE9BA06A7A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9252838-119F-4878-BBD1-63AAAB3EC9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66BC46-4CD3-4C1B-B6DE-BF092B857F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74D3EB-923D-4169-B49A-C7157DAA15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050364-F8A5-41AF-A20C-8674225D9C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E03A92-B710-4B86-85F7-B8F9AE28EB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F89246-A981-401B-984E-1438489AA3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F0FA17-1BCA-485F-B839-0707BBD5E2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B9568A-9E2B-461F-B5B3-13853AEF4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C33AC2-C56F-446B-9D4E-B34A26481F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91CAEA-57F2-4D19-B717-ACAA3BFCB9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BD99C3-C276-4ABD-9646-E7E0913098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336E67-1BC8-4EFB-AD7A-876ED176BD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67E377-C5D6-42A9-9F18-10F91511D7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817B8A8-6552-4FF4-AD1F-EFB0FB94E7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6906EB-C07E-4C20-9546-51A8CF1481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9894F7-194A-4CDE-8DE3-BFCA6C240D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8F6A4C-ECDE-4FFF-9643-BA4FA63B1B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D47D44-BDE3-4146-A1AE-D3B7B8653C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1711E3-0B6F-4D8C-9755-FC297D5DA8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7C3285-DEB2-4771-860D-F7F66BB10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3B68E6-98F5-4300-9039-76C5D4F7DF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0CDC16A-3693-4FC7-AC04-84BB47B3E3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738BE10-D338-4368-BF39-29115E6A58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A7E179-8EAA-4628-86BB-70D0F5CC8D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2303C7-D144-4AC2-AA05-17A17E4F06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D92C449-6D48-4070-A07E-3C66642B74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FFBC73-0878-4D8E-8FF9-6BFD8594D5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C23992-07E3-4F3C-B74F-58D5DD392E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E77E1B-A75E-4805-BBEE-597F2022B5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1FC6A4-15DD-486E-8950-4F8895671A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CBBD624-4442-4B6A-BE16-E1B9C80AD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F9E67D-DDF6-48D1-AA16-834379AF31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31FAAD-51C6-42CC-A19E-B445377C79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3A6BF90-FA2E-4806-B1F3-1560861324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0B08D5D-1A4B-4EE1-B876-B45A6ADAE6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105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236.75714285714287</c:v>
                </c:pt>
                <c:pt idx="23">
                  <c:v>218.85714285714286</c:v>
                </c:pt>
                <c:pt idx="24">
                  <c:v>59.457142857142856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126</c:v>
                </c:pt>
                <c:pt idx="10">
                  <c:v>210</c:v>
                </c:pt>
                <c:pt idx="11">
                  <c:v>210</c:v>
                </c:pt>
                <c:pt idx="12">
                  <c:v>210</c:v>
                </c:pt>
                <c:pt idx="13">
                  <c:v>210</c:v>
                </c:pt>
                <c:pt idx="14">
                  <c:v>210</c:v>
                </c:pt>
                <c:pt idx="15">
                  <c:v>212.41666666666666</c:v>
                </c:pt>
                <c:pt idx="16">
                  <c:v>224.5</c:v>
                </c:pt>
                <c:pt idx="17">
                  <c:v>236.58333333333334</c:v>
                </c:pt>
                <c:pt idx="18">
                  <c:v>353.93333333333334</c:v>
                </c:pt>
                <c:pt idx="19">
                  <c:v>474.38095238095241</c:v>
                </c:pt>
                <c:pt idx="20">
                  <c:v>585.57142857142867</c:v>
                </c:pt>
                <c:pt idx="21">
                  <c:v>679.92857142857156</c:v>
                </c:pt>
                <c:pt idx="22">
                  <c:v>916.68571428571443</c:v>
                </c:pt>
                <c:pt idx="23">
                  <c:v>1135.5428571428572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1.413690476190476E-2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0.98586309523809523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9" dataDxfId="118">
  <autoFilter ref="R13:X16" xr:uid="{FF2C9E8B-1A62-479C-AF68-79B236C0B7BB}"/>
  <tableColumns count="7">
    <tableColumn id="1" xr3:uid="{727C6146-39EA-4E15-8783-53CAA87FAF36}" name="Zone ID" dataDxfId="117"/>
    <tableColumn id="2" xr3:uid="{2CA65110-6DD7-46D8-BFC2-5EB0C0E57567}" name="Description" dataDxfId="116"/>
    <tableColumn id="3" xr3:uid="{12D64F80-6A69-494F-BF8F-E326D34A185A}" name="Short Description" dataDxfId="115"/>
    <tableColumn id="4" xr3:uid="{71F3F5B2-8F6B-4985-B1FC-5A9D60095474}" name="Start Date" dataDxfId="114"/>
    <tableColumn id="5" xr3:uid="{57258378-8FED-4727-89AC-D938CB414B7B}" name="Finish Date" dataDxfId="11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1">
      <calculatedColumnFormula>IF(AA13 = "Date", $S$4, AA13+7)</calculatedColumnFormula>
    </tableColumn>
    <tableColumn id="6" xr3:uid="{5740AC03-CF53-4345-8667-6AC0CA6843D0}" name="Primary Areas" dataDxfId="110">
      <calculatedColumnFormula>PrimaryAreas(3)</calculatedColumnFormula>
    </tableColumn>
    <tableColumn id="2" xr3:uid="{AF232D3D-EC3F-4232-BA5D-1427173C2D6A}" name="Weekly Plan" dataDxfId="109">
      <calculatedColumnFormula xml:space="preserve"> IF(#REF!="", 0,#REF!)+ IF(#REF!="", 0,#REF!)+ IF(#REF!="", 0,#REF!)</calculatedColumnFormula>
    </tableColumn>
    <tableColumn id="3" xr3:uid="{B28103F6-7596-4848-9F0D-3E4A9E5CBEFE}" name="Weekly Actual" dataDxfId="108">
      <calculatedColumnFormula>IF(AND(ISBLANK(#REF!),ISBLANK(#REF!),ISBLANK(#REF!)),"",#REF! +#REF!+#REF!)</calculatedColumnFormula>
    </tableColumn>
    <tableColumn id="4" xr3:uid="{EF1C6009-71E6-491B-B64F-04049D2D9103}" name="Accumulated Plan" dataDxfId="107">
      <calculatedColumnFormula>SUM($AC$14:AC14)</calculatedColumnFormula>
    </tableColumn>
    <tableColumn id="5" xr3:uid="{442DAB73-1233-4C61-8DE9-3B44CE2C5D69}" name="Accumulated Actual" dataDxfId="106">
      <calculatedColumnFormula>IF(AD14="",NA(),SUM($AD$14:AD14))</calculatedColumnFormula>
    </tableColumn>
    <tableColumn id="43" xr3:uid="{CE31DBAF-57B0-4D4D-852A-B07516A73A41}" name="WP_A1" dataDxfId="105">
      <calculatedColumnFormula>WeeklyPlanned(Output_Template[[#Headers],[WP_A1]], Output_Template[[#This Row],[Date]])</calculatedColumnFormula>
    </tableColumn>
    <tableColumn id="44" xr3:uid="{A0857F89-2BC6-42D6-B02F-90D9272451CA}" name="WA_A1" dataDxfId="104"/>
    <tableColumn id="45" xr3:uid="{2A74D439-B21B-40DD-BB55-7D2C2B18629E}" name="WP_A2" dataDxfId="103">
      <calculatedColumnFormula>WeeklyPlanned(Output_Template[[#Headers],[WP_A2]], Output_Template[[#This Row],[Date]])</calculatedColumnFormula>
    </tableColumn>
    <tableColumn id="46" xr3:uid="{670DB326-434A-466C-9E3C-6A8FE180F21F}" name="WA_A2" dataDxfId="102"/>
    <tableColumn id="47" xr3:uid="{B6798EC6-DE2D-49BB-961E-220FED1F6F10}" name="WP_A3" dataDxfId="101">
      <calculatedColumnFormula>WeeklyPlanned(Output_Template[[#Headers],[WP_A3]], Output_Template[[#This Row],[Date]])</calculatedColumnFormula>
    </tableColumn>
    <tableColumn id="48" xr3:uid="{B2CB6DA2-6E53-4BAC-881B-229E451DFCE0}" name="WA_A3" dataDxfId="10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9">
  <autoFilter ref="H2:H5" xr:uid="{1041DC80-58D6-4308-9DE1-A4EC8AAD3C20}"/>
  <tableColumns count="1">
    <tableColumn id="1" xr3:uid="{0E6D3E77-7CB7-40A1-BCA6-DDC8164AAEB9}" name="Holidays" dataDxfId="9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70" dataDxfId="69">
  <autoFilter ref="R13:X21" xr:uid="{FF2C9E8B-1A62-479C-AF68-79B236C0B7BB}"/>
  <tableColumns count="7">
    <tableColumn id="1" xr3:uid="{5AA37268-DD16-498C-9169-AE2EA9DA526A}" name="Zone ID" dataDxfId="68"/>
    <tableColumn id="2" xr3:uid="{0E3A0621-3CBD-40FC-B7C1-86ED2397BCEE}" name="Description" dataDxfId="67"/>
    <tableColumn id="3" xr3:uid="{5A73CD5C-5126-40F4-B5B3-C7A438ED4F4F}" name="Short Description" dataDxfId="66"/>
    <tableColumn id="4" xr3:uid="{CDB025F5-BA1E-4D3D-9F16-1E7E8B24997A}" name="Start Date" dataDxfId="65"/>
    <tableColumn id="5" xr3:uid="{A32C4534-D094-4392-BDFF-D9E6184B332E}" name="Finish Date" dataDxfId="64"/>
    <tableColumn id="6" xr3:uid="{4EBF5FA0-D78E-4850-9053-2FD3D4DF8DDF}" name="Total" dataDxfId="63" dataCellStyle="Linked Cell"/>
    <tableColumn id="7" xr3:uid="{2024E4D3-6ED3-428B-AA0E-731077A47B05}" name="Completed Total" dataDxfId="62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61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60">
      <calculatedColumnFormula>IF(AA13 = "Date", $S$4, AA13+7)</calculatedColumnFormula>
    </tableColumn>
    <tableColumn id="6" xr3:uid="{001A0E6C-64CB-4894-8C22-5853E33F6BB2}" name="Primary Areas" dataDxfId="59">
      <calculatedColumnFormula>PrimaryAreas(8)</calculatedColumnFormula>
    </tableColumn>
    <tableColumn id="2" xr3:uid="{1360E334-97F5-432E-BB23-793619A14458}" name="Weekly Plan" dataDxfId="58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57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56">
      <calculatedColumnFormula>SUM($AC$14:AC14)</calculatedColumnFormula>
    </tableColumn>
    <tableColumn id="5" xr3:uid="{1924FD4A-42CB-49CF-B4A5-079079B5D0F3}" name="Accumulated Actual" dataDxfId="55">
      <calculatedColumnFormula>IF(AD14="",NA(),SUM($AD$14:AD14))</calculatedColumnFormula>
    </tableColumn>
    <tableColumn id="23" xr3:uid="{9D909FAC-40FF-4109-8EAE-74DFABFF8319}" name="WP_ABC" dataDxfId="54">
      <calculatedColumnFormula>WeeklyPlanned(Output_0000[[#Headers],[WP_ABC]], Output_0000[[#This Row],[Date]])</calculatedColumnFormula>
    </tableColumn>
    <tableColumn id="24" xr3:uid="{92ADE5B7-CAEC-41A0-B928-8F7F4344FE26}" name="WA_ABC" dataDxfId="53"/>
    <tableColumn id="25" xr3:uid="{F7FD9E19-6CFF-44A1-AF87-237747B65D1E}" name="WP_ACS" dataDxfId="52">
      <calculatedColumnFormula>WeeklyPlanned(Output_0000[[#Headers],[WP_ACS]], Output_0000[[#This Row],[Date]])</calculatedColumnFormula>
    </tableColumn>
    <tableColumn id="26" xr3:uid="{1FD6096E-155A-48FA-BF57-ABEB209A76A8}" name="WA_ACS" dataDxfId="51"/>
    <tableColumn id="27" xr3:uid="{C32CB5E4-987A-4E05-BFD2-AD1BA55323A7}" name="WP_AL1" dataDxfId="50">
      <calculatedColumnFormula>WeeklyPlanned(Output_0000[[#Headers],[WP_AL1]], Output_0000[[#This Row],[Date]])</calculatedColumnFormula>
    </tableColumn>
    <tableColumn id="28" xr3:uid="{741EC55D-ACF8-45FE-B760-246C2984AB76}" name="WA_AL1" dataDxfId="49"/>
    <tableColumn id="29" xr3:uid="{02D5C536-D7AB-4845-AF46-BA557A0711BE}" name="WP_HBase" dataDxfId="48">
      <calculatedColumnFormula>WeeklyPlanned(Output_0000[[#Headers],[WP_HBase]], Output_0000[[#This Row],[Date]])</calculatedColumnFormula>
    </tableColumn>
    <tableColumn id="30" xr3:uid="{6CFFBF9B-4C23-4C48-B9B4-2C3A9A72CE8C}" name="WA_HBase" dataDxfId="47"/>
    <tableColumn id="31" xr3:uid="{27A2EB7B-E3EA-47B1-A3F2-FFBF58F06F0D}" name="WP_HWST" dataDxfId="46">
      <calculatedColumnFormula>WeeklyPlanned(Output_0000[[#Headers],[WP_HWST]], Output_0000[[#This Row],[Date]])</calculatedColumnFormula>
    </tableColumn>
    <tableColumn id="32" xr3:uid="{1F1D10B3-084B-4075-8E04-CBCE81737E69}" name="WA_HWST" dataDxfId="45"/>
    <tableColumn id="33" xr3:uid="{127722D0-80A4-4F75-9175-6D2C54EBC191}" name="WP_HWSR" dataDxfId="44">
      <calculatedColumnFormula>WeeklyPlanned(Output_0000[[#Headers],[WP_HWSR]], Output_0000[[#This Row],[Date]])</calculatedColumnFormula>
    </tableColumn>
    <tableColumn id="34" xr3:uid="{ED1A96FC-35C0-4018-81E1-B3B51101AB44}" name="WA_HWSR" dataDxfId="43"/>
    <tableColumn id="35" xr3:uid="{584725E1-3456-4D62-8919-994293AB89D3}" name="WP_HL2" dataDxfId="42">
      <calculatedColumnFormula>WeeklyPlanned(Output_0000[[#Headers],[WP_HL2]], Output_0000[[#This Row],[Date]])</calculatedColumnFormula>
    </tableColumn>
    <tableColumn id="36" xr3:uid="{0D58AE03-CEC6-4352-9275-206C438024A6}" name="WA_HL2" dataDxfId="41"/>
    <tableColumn id="37" xr3:uid="{76718DA7-C2F0-424A-9855-A1F7A4401A40}" name="WP_HBCeil" dataDxfId="40">
      <calculatedColumnFormula>WeeklyPlanned(Output_0000[[#Headers],[WP_HBCeil]], Output_0000[[#This Row],[Date]])</calculatedColumnFormula>
    </tableColumn>
    <tableColumn id="38" xr3:uid="{DF9E8E0F-9F93-4E51-85D2-94DDAA517F51}" name="WA_HBCeil" dataDxfId="3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31" dataDxfId="30">
  <autoFilter ref="R13:X21" xr:uid="{FF2C9E8B-1A62-479C-AF68-79B236C0B7BB}"/>
  <tableColumns count="7">
    <tableColumn id="1" xr3:uid="{9FED2BA1-A1A7-4513-A20F-F09DB113155D}" name="Zone ID" dataDxfId="29"/>
    <tableColumn id="2" xr3:uid="{8B67A205-5329-400B-84DC-CB06A032CF16}" name="Description" dataDxfId="28"/>
    <tableColumn id="3" xr3:uid="{2253D560-C30C-43DE-ABAB-BFAFD145DF40}" name="Short Description" dataDxfId="27"/>
    <tableColumn id="4" xr3:uid="{09E57ADB-1BEB-4CFB-B160-A9C7ADA56DE0}" name="Start Date" dataDxfId="26"/>
    <tableColumn id="5" xr3:uid="{B704EAFC-B4AE-45F3-A5AC-5189060C6D42}" name="Finish Date" dataDxfId="25"/>
    <tableColumn id="6" xr3:uid="{FAFABCDE-D7F7-45A9-83E7-80ADC6F01B0B}" name="Total" dataDxfId="24" dataCellStyle="Normal"/>
    <tableColumn id="7" xr3:uid="{F8D69A8D-7550-4939-9D63-599172BCFFFD}" name="Completed Total" dataDxfId="23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22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21">
      <calculatedColumnFormula>IF(AA13 = "Date", $S$4, AA13+7)</calculatedColumnFormula>
    </tableColumn>
    <tableColumn id="6" xr3:uid="{DE271CBB-C0FC-482D-929A-C21AEFAC32E4}" name="Primary Areas" dataDxfId="20">
      <calculatedColumnFormula>PrimaryAreas(8)</calculatedColumnFormula>
    </tableColumn>
    <tableColumn id="2" xr3:uid="{71EE47CC-75E0-49E1-B527-E1364059B0A6}" name="Weekly Plan" dataDxfId="19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18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17">
      <calculatedColumnFormula>SUM($AC$14:AC14)</calculatedColumnFormula>
    </tableColumn>
    <tableColumn id="5" xr3:uid="{CB7FAB5B-BEAB-4D4A-BD18-57DE0B5DE266}" name="Accumulated Actual" dataDxfId="16">
      <calculatedColumnFormula>IF(AD14="",NA(),SUM($AD$14:AD14))</calculatedColumnFormula>
    </tableColumn>
    <tableColumn id="7" xr3:uid="{2A1CBA5C-29D6-4EB1-8BAA-AF2C064B4A02}" name="WP_ABC" dataDxfId="15">
      <calculatedColumnFormula>WeeklyPlanned(Output_0501[[#Headers],[WP_ABC]], Output_0501[[#This Row],[Date]])</calculatedColumnFormula>
    </tableColumn>
    <tableColumn id="8" xr3:uid="{04DC9374-2B37-4BF5-AA39-F11FC0149281}" name="WA_ABC" dataDxfId="14"/>
    <tableColumn id="9" xr3:uid="{4F88CC2C-A480-4C5B-BA01-24B210AB447A}" name="WP_ACS" dataDxfId="13">
      <calculatedColumnFormula>WeeklyPlanned(Output_0501[[#Headers],[WP_ACS]], Output_0501[[#This Row],[Date]])</calculatedColumnFormula>
    </tableColumn>
    <tableColumn id="10" xr3:uid="{48C24C77-4D2B-435F-BBC2-FAD4AD540AB6}" name="WA_ACS" dataDxfId="12"/>
    <tableColumn id="11" xr3:uid="{75D5C587-305D-4077-9FAA-C79F65923E57}" name="WP_AL1" dataDxfId="11">
      <calculatedColumnFormula>WeeklyPlanned(Output_0501[[#Headers],[WP_AL1]], Output_0501[[#This Row],[Date]])</calculatedColumnFormula>
    </tableColumn>
    <tableColumn id="12" xr3:uid="{8077796C-E6FC-4EE3-89F7-798709387F7F}" name="WA_AL1" dataDxfId="10"/>
    <tableColumn id="13" xr3:uid="{792F3323-B0E8-4776-9689-FD45E57B619D}" name="WP_HBase" dataDxfId="9">
      <calculatedColumnFormula>WeeklyPlanned(Output_0501[[#Headers],[WP_HBase]], Output_0501[[#This Row],[Date]])</calculatedColumnFormula>
    </tableColumn>
    <tableColumn id="14" xr3:uid="{9E7E74B1-B432-4576-8F57-2DCED559C004}" name="WA_HBase" dataDxfId="8"/>
    <tableColumn id="15" xr3:uid="{6C8A9406-B3E7-4378-8961-19DE99A823B8}" name="WP_HWST" dataDxfId="7">
      <calculatedColumnFormula>WeeklyPlanned(Output_0501[[#Headers],[WP_HWST]], Output_0501[[#This Row],[Date]])</calculatedColumnFormula>
    </tableColumn>
    <tableColumn id="16" xr3:uid="{85632008-1A06-41BF-96BF-DF4F2942C8E3}" name="WA_HWST" dataDxfId="6"/>
    <tableColumn id="17" xr3:uid="{4ED0746A-56E1-4B9A-8D82-621AD6A805EE}" name="WP_HWSR" dataDxfId="5">
      <calculatedColumnFormula>WeeklyPlanned(Output_0501[[#Headers],[WP_HWSR]], Output_0501[[#This Row],[Date]])</calculatedColumnFormula>
    </tableColumn>
    <tableColumn id="18" xr3:uid="{616A2447-10D3-4C5E-BE98-C8594A351722}" name="WA_HWSR" dataDxfId="4"/>
    <tableColumn id="19" xr3:uid="{13711C20-54F0-41FE-93CC-92DB5745C53C}" name="WP_HL2" dataDxfId="3">
      <calculatedColumnFormula>WeeklyPlanned(Output_0501[[#Headers],[WP_HL2]], Output_0501[[#This Row],[Date]])</calculatedColumnFormula>
    </tableColumn>
    <tableColumn id="20" xr3:uid="{AE155A80-4969-4902-8DAF-8DC808584420}" name="WA_HL2" dataDxfId="2"/>
    <tableColumn id="21" xr3:uid="{186F9C43-2DF5-47B7-A779-6A42D4C3454E}" name="WP_HBCeil" dataDxfId="1">
      <calculatedColumnFormula>WeeklyPlanned(Output_0501[[#Headers],[WP_HBCeil]], Output_0501[[#This Row],[Date]])</calculatedColumnFormula>
    </tableColumn>
    <tableColumn id="22" xr3:uid="{7F8ADB3E-C083-4C51-8B5A-9EACC6ABF4A0}" name="WA_HBCeil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118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92</v>
      </c>
      <c r="I1" t="s">
        <v>93</v>
      </c>
      <c r="J1" t="s">
        <v>101</v>
      </c>
      <c r="K1" t="s">
        <v>102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112</v>
      </c>
      <c r="V1" t="s">
        <v>113</v>
      </c>
      <c r="W1" t="s">
        <v>114</v>
      </c>
    </row>
    <row r="3" spans="1:23" x14ac:dyDescent="0.35">
      <c r="A3" t="s">
        <v>120</v>
      </c>
      <c r="B3">
        <v>44047</v>
      </c>
      <c r="C3" t="s">
        <v>91</v>
      </c>
      <c r="D3">
        <v>74</v>
      </c>
      <c r="E3" t="s">
        <v>121</v>
      </c>
      <c r="F3">
        <v>74</v>
      </c>
      <c r="H3">
        <v>74</v>
      </c>
      <c r="J3" t="s">
        <v>121</v>
      </c>
      <c r="L3" t="s">
        <v>121</v>
      </c>
      <c r="N3" t="s">
        <v>121</v>
      </c>
      <c r="P3" t="s">
        <v>121</v>
      </c>
      <c r="R3" t="s">
        <v>121</v>
      </c>
      <c r="T3" t="s">
        <v>121</v>
      </c>
      <c r="V3" t="s">
        <v>121</v>
      </c>
    </row>
    <row r="4" spans="1:23" x14ac:dyDescent="0.35">
      <c r="A4" t="s">
        <v>120</v>
      </c>
      <c r="B4">
        <v>44054</v>
      </c>
      <c r="C4" t="s">
        <v>91</v>
      </c>
      <c r="D4">
        <v>74</v>
      </c>
      <c r="E4" t="s">
        <v>121</v>
      </c>
      <c r="F4">
        <v>148</v>
      </c>
      <c r="H4">
        <v>74</v>
      </c>
      <c r="J4" t="s">
        <v>121</v>
      </c>
      <c r="L4" t="s">
        <v>121</v>
      </c>
      <c r="N4" t="s">
        <v>121</v>
      </c>
      <c r="P4" t="s">
        <v>121</v>
      </c>
      <c r="R4" t="s">
        <v>121</v>
      </c>
      <c r="T4" t="s">
        <v>121</v>
      </c>
      <c r="V4" t="s">
        <v>121</v>
      </c>
    </row>
    <row r="5" spans="1:23" x14ac:dyDescent="0.35">
      <c r="A5" t="s">
        <v>120</v>
      </c>
      <c r="B5">
        <v>44061</v>
      </c>
      <c r="C5">
        <v>0</v>
      </c>
      <c r="D5">
        <v>0</v>
      </c>
      <c r="E5" t="s">
        <v>121</v>
      </c>
      <c r="F5">
        <v>148</v>
      </c>
      <c r="H5" t="s">
        <v>121</v>
      </c>
      <c r="J5" t="s">
        <v>121</v>
      </c>
      <c r="L5" t="s">
        <v>121</v>
      </c>
      <c r="N5" t="s">
        <v>121</v>
      </c>
      <c r="P5" t="s">
        <v>121</v>
      </c>
      <c r="R5" t="s">
        <v>121</v>
      </c>
      <c r="T5" t="s">
        <v>121</v>
      </c>
      <c r="V5" t="s">
        <v>121</v>
      </c>
    </row>
    <row r="6" spans="1:23" x14ac:dyDescent="0.35">
      <c r="A6" t="s">
        <v>120</v>
      </c>
      <c r="B6">
        <v>44068</v>
      </c>
      <c r="C6">
        <v>0</v>
      </c>
      <c r="D6">
        <v>0</v>
      </c>
      <c r="E6" t="s">
        <v>121</v>
      </c>
      <c r="F6">
        <v>148</v>
      </c>
      <c r="H6" t="s">
        <v>121</v>
      </c>
      <c r="J6" t="s">
        <v>121</v>
      </c>
      <c r="L6" t="s">
        <v>121</v>
      </c>
      <c r="N6" t="s">
        <v>121</v>
      </c>
      <c r="P6" t="s">
        <v>121</v>
      </c>
      <c r="R6" t="s">
        <v>121</v>
      </c>
      <c r="T6" t="s">
        <v>121</v>
      </c>
      <c r="V6" t="s">
        <v>121</v>
      </c>
    </row>
    <row r="7" spans="1:23" x14ac:dyDescent="0.35">
      <c r="A7" t="s">
        <v>120</v>
      </c>
      <c r="B7">
        <v>44075</v>
      </c>
      <c r="C7">
        <v>0</v>
      </c>
      <c r="D7">
        <v>0</v>
      </c>
      <c r="E7" t="s">
        <v>121</v>
      </c>
      <c r="F7">
        <v>148</v>
      </c>
      <c r="H7" t="s">
        <v>121</v>
      </c>
      <c r="J7" t="s">
        <v>121</v>
      </c>
      <c r="L7" t="s">
        <v>121</v>
      </c>
      <c r="N7" t="s">
        <v>121</v>
      </c>
      <c r="P7" t="s">
        <v>121</v>
      </c>
      <c r="R7" t="s">
        <v>121</v>
      </c>
      <c r="T7" t="s">
        <v>121</v>
      </c>
      <c r="V7" t="s">
        <v>121</v>
      </c>
    </row>
    <row r="8" spans="1:23" x14ac:dyDescent="0.35">
      <c r="A8" t="s">
        <v>120</v>
      </c>
      <c r="B8">
        <v>44082</v>
      </c>
      <c r="C8">
        <v>0</v>
      </c>
      <c r="D8">
        <v>0</v>
      </c>
      <c r="E8" t="s">
        <v>121</v>
      </c>
      <c r="F8">
        <v>148</v>
      </c>
      <c r="H8" t="s">
        <v>121</v>
      </c>
      <c r="J8" t="s">
        <v>121</v>
      </c>
      <c r="L8" t="s">
        <v>121</v>
      </c>
      <c r="N8" t="s">
        <v>121</v>
      </c>
      <c r="P8" t="s">
        <v>121</v>
      </c>
      <c r="R8" t="s">
        <v>121</v>
      </c>
      <c r="T8" t="s">
        <v>121</v>
      </c>
      <c r="V8" t="s">
        <v>121</v>
      </c>
    </row>
    <row r="9" spans="1:23" x14ac:dyDescent="0.35">
      <c r="A9" t="s">
        <v>120</v>
      </c>
      <c r="B9">
        <v>44089</v>
      </c>
      <c r="C9">
        <v>0</v>
      </c>
      <c r="D9">
        <v>0</v>
      </c>
      <c r="E9" t="s">
        <v>121</v>
      </c>
      <c r="F9">
        <v>148</v>
      </c>
      <c r="H9" t="s">
        <v>121</v>
      </c>
      <c r="J9" t="s">
        <v>121</v>
      </c>
      <c r="L9" t="s">
        <v>121</v>
      </c>
      <c r="N9" t="s">
        <v>121</v>
      </c>
      <c r="P9" t="s">
        <v>121</v>
      </c>
      <c r="R9" t="s">
        <v>121</v>
      </c>
      <c r="T9" t="s">
        <v>121</v>
      </c>
      <c r="V9" t="s">
        <v>121</v>
      </c>
    </row>
    <row r="10" spans="1:23" x14ac:dyDescent="0.35">
      <c r="A10" t="s">
        <v>120</v>
      </c>
      <c r="B10">
        <v>44096</v>
      </c>
      <c r="C10" t="s">
        <v>100</v>
      </c>
      <c r="D10">
        <v>12.083333333333332</v>
      </c>
      <c r="E10" t="s">
        <v>121</v>
      </c>
      <c r="F10">
        <v>160.08333333333334</v>
      </c>
      <c r="H10" t="s">
        <v>121</v>
      </c>
      <c r="J10" t="s">
        <v>121</v>
      </c>
      <c r="L10" t="s">
        <v>121</v>
      </c>
      <c r="N10" t="s">
        <v>121</v>
      </c>
      <c r="P10" t="s">
        <v>121</v>
      </c>
      <c r="R10" t="s">
        <v>121</v>
      </c>
      <c r="T10" t="s">
        <v>121</v>
      </c>
      <c r="V10">
        <v>12.083333333333332</v>
      </c>
    </row>
    <row r="11" spans="1:23" x14ac:dyDescent="0.35">
      <c r="A11" t="s">
        <v>120</v>
      </c>
      <c r="B11">
        <v>44103</v>
      </c>
      <c r="C11" t="s">
        <v>100</v>
      </c>
      <c r="D11">
        <v>12.083333333333332</v>
      </c>
      <c r="E11" t="s">
        <v>121</v>
      </c>
      <c r="F11">
        <v>172.16666666666669</v>
      </c>
      <c r="H11" t="s">
        <v>121</v>
      </c>
      <c r="J11" t="s">
        <v>121</v>
      </c>
      <c r="L11" t="s">
        <v>121</v>
      </c>
      <c r="N11" t="s">
        <v>121</v>
      </c>
      <c r="P11" t="s">
        <v>121</v>
      </c>
      <c r="R11" t="s">
        <v>121</v>
      </c>
      <c r="T11" t="s">
        <v>121</v>
      </c>
      <c r="V11">
        <v>12.083333333333332</v>
      </c>
    </row>
    <row r="12" spans="1:23" x14ac:dyDescent="0.35">
      <c r="A12" t="s">
        <v>120</v>
      </c>
      <c r="B12">
        <v>44110</v>
      </c>
      <c r="C12" t="s">
        <v>122</v>
      </c>
      <c r="D12">
        <v>82.36666666666666</v>
      </c>
      <c r="E12" t="s">
        <v>121</v>
      </c>
      <c r="F12">
        <v>254.53333333333336</v>
      </c>
      <c r="H12" t="s">
        <v>121</v>
      </c>
      <c r="J12">
        <v>61.199999999999996</v>
      </c>
      <c r="L12" t="s">
        <v>121</v>
      </c>
      <c r="N12" t="s">
        <v>121</v>
      </c>
      <c r="P12" t="s">
        <v>121</v>
      </c>
      <c r="R12" t="s">
        <v>121</v>
      </c>
      <c r="T12">
        <v>16.333333333333332</v>
      </c>
      <c r="V12">
        <v>4.833333333333333</v>
      </c>
    </row>
    <row r="13" spans="1:23" x14ac:dyDescent="0.35">
      <c r="A13" t="s">
        <v>120</v>
      </c>
      <c r="B13">
        <v>44117</v>
      </c>
      <c r="C13" t="s">
        <v>123</v>
      </c>
      <c r="D13">
        <v>126.67074829931971</v>
      </c>
      <c r="E13" t="s">
        <v>121</v>
      </c>
      <c r="F13">
        <v>381.20408163265307</v>
      </c>
      <c r="H13" t="s">
        <v>121</v>
      </c>
      <c r="J13">
        <v>40.799999999999997</v>
      </c>
      <c r="L13" t="s">
        <v>121</v>
      </c>
      <c r="N13" t="s">
        <v>121</v>
      </c>
      <c r="P13">
        <v>4.204081632653061</v>
      </c>
      <c r="R13" t="s">
        <v>121</v>
      </c>
      <c r="T13">
        <v>81.666666666666657</v>
      </c>
      <c r="V13" t="s">
        <v>121</v>
      </c>
    </row>
    <row r="14" spans="1:23" x14ac:dyDescent="0.35">
      <c r="A14" t="s">
        <v>120</v>
      </c>
      <c r="B14">
        <v>44124</v>
      </c>
      <c r="C14" t="s">
        <v>124</v>
      </c>
      <c r="D14">
        <v>92.176870748299308</v>
      </c>
      <c r="E14" t="s">
        <v>121</v>
      </c>
      <c r="F14">
        <v>473.38095238095241</v>
      </c>
      <c r="H14" t="s">
        <v>121</v>
      </c>
      <c r="J14" t="s">
        <v>121</v>
      </c>
      <c r="L14" t="s">
        <v>121</v>
      </c>
      <c r="N14" t="s">
        <v>121</v>
      </c>
      <c r="P14">
        <v>10.510204081632653</v>
      </c>
      <c r="R14" t="s">
        <v>121</v>
      </c>
      <c r="T14">
        <v>81.666666666666657</v>
      </c>
      <c r="V14" t="s">
        <v>121</v>
      </c>
    </row>
    <row r="15" spans="1:23" x14ac:dyDescent="0.35">
      <c r="A15" t="s">
        <v>120</v>
      </c>
      <c r="B15">
        <v>44131</v>
      </c>
      <c r="C15" t="s">
        <v>124</v>
      </c>
      <c r="D15">
        <v>75.843537414965979</v>
      </c>
      <c r="E15" t="s">
        <v>121</v>
      </c>
      <c r="F15">
        <v>549.22448979591843</v>
      </c>
      <c r="H15" t="s">
        <v>121</v>
      </c>
      <c r="J15" t="s">
        <v>121</v>
      </c>
      <c r="L15" t="s">
        <v>121</v>
      </c>
      <c r="N15" t="s">
        <v>121</v>
      </c>
      <c r="P15">
        <v>10.510204081632653</v>
      </c>
      <c r="R15" t="s">
        <v>121</v>
      </c>
      <c r="T15">
        <v>65.333333333333329</v>
      </c>
      <c r="V15" t="s">
        <v>121</v>
      </c>
    </row>
    <row r="16" spans="1:23" x14ac:dyDescent="0.35">
      <c r="A16" t="s">
        <v>120</v>
      </c>
      <c r="B16">
        <v>44138</v>
      </c>
      <c r="C16" t="s">
        <v>125</v>
      </c>
      <c r="D16">
        <v>176.71020408163264</v>
      </c>
      <c r="E16" t="s">
        <v>121</v>
      </c>
      <c r="F16">
        <v>725.93469387755113</v>
      </c>
      <c r="H16" t="s">
        <v>121</v>
      </c>
      <c r="J16" t="s">
        <v>121</v>
      </c>
      <c r="L16">
        <v>83.699999999999989</v>
      </c>
      <c r="N16">
        <v>82.5</v>
      </c>
      <c r="P16">
        <v>10.510204081632653</v>
      </c>
      <c r="R16" t="s">
        <v>121</v>
      </c>
      <c r="T16" t="s">
        <v>121</v>
      </c>
      <c r="V16" t="s">
        <v>121</v>
      </c>
    </row>
    <row r="17" spans="1:22" x14ac:dyDescent="0.35">
      <c r="A17" t="s">
        <v>120</v>
      </c>
      <c r="B17">
        <v>44145</v>
      </c>
      <c r="C17" t="s">
        <v>125</v>
      </c>
      <c r="D17">
        <v>199.51020408163265</v>
      </c>
      <c r="E17" t="s">
        <v>121</v>
      </c>
      <c r="F17">
        <v>925.44489795918378</v>
      </c>
      <c r="H17" t="s">
        <v>121</v>
      </c>
      <c r="J17" t="s">
        <v>121</v>
      </c>
      <c r="L17">
        <v>139.5</v>
      </c>
      <c r="N17">
        <v>49.5</v>
      </c>
      <c r="P17">
        <v>10.510204081632653</v>
      </c>
      <c r="R17" t="s">
        <v>121</v>
      </c>
      <c r="T17" t="s">
        <v>121</v>
      </c>
      <c r="V17" t="s">
        <v>121</v>
      </c>
    </row>
    <row r="18" spans="1:22" x14ac:dyDescent="0.35">
      <c r="A18" t="s">
        <v>120</v>
      </c>
      <c r="B18">
        <v>44152</v>
      </c>
      <c r="C18" t="s">
        <v>126</v>
      </c>
      <c r="D18">
        <v>66.310204081632648</v>
      </c>
      <c r="E18" t="s">
        <v>121</v>
      </c>
      <c r="F18">
        <v>991.75510204081638</v>
      </c>
      <c r="H18" t="s">
        <v>121</v>
      </c>
      <c r="J18" t="s">
        <v>121</v>
      </c>
      <c r="L18">
        <v>55.8</v>
      </c>
      <c r="N18" t="s">
        <v>121</v>
      </c>
      <c r="P18">
        <v>10.510204081632653</v>
      </c>
      <c r="R18" t="s">
        <v>121</v>
      </c>
      <c r="T18" t="s">
        <v>121</v>
      </c>
      <c r="V18" t="s">
        <v>121</v>
      </c>
    </row>
    <row r="19" spans="1:22" x14ac:dyDescent="0.35">
      <c r="A19" t="s">
        <v>120</v>
      </c>
      <c r="B19">
        <v>44159</v>
      </c>
      <c r="C19" t="s">
        <v>97</v>
      </c>
      <c r="D19">
        <v>10.510204081632653</v>
      </c>
      <c r="E19" t="s">
        <v>121</v>
      </c>
      <c r="F19">
        <v>1002.265306122449</v>
      </c>
      <c r="H19" t="s">
        <v>121</v>
      </c>
      <c r="J19" t="s">
        <v>121</v>
      </c>
      <c r="L19" t="s">
        <v>121</v>
      </c>
      <c r="N19" t="s">
        <v>121</v>
      </c>
      <c r="P19">
        <v>10.510204081632653</v>
      </c>
      <c r="R19" t="s">
        <v>121</v>
      </c>
      <c r="T19" t="s">
        <v>121</v>
      </c>
      <c r="V19" t="s">
        <v>121</v>
      </c>
    </row>
    <row r="20" spans="1:22" x14ac:dyDescent="0.35">
      <c r="A20" t="s">
        <v>120</v>
      </c>
      <c r="B20">
        <v>44166</v>
      </c>
      <c r="C20" t="s">
        <v>97</v>
      </c>
      <c r="D20">
        <v>10.510204081632653</v>
      </c>
      <c r="E20" t="s">
        <v>121</v>
      </c>
      <c r="F20">
        <v>1012.7755102040817</v>
      </c>
      <c r="H20" t="s">
        <v>121</v>
      </c>
      <c r="J20" t="s">
        <v>121</v>
      </c>
      <c r="L20" t="s">
        <v>121</v>
      </c>
      <c r="N20" t="s">
        <v>121</v>
      </c>
      <c r="P20">
        <v>10.510204081632653</v>
      </c>
      <c r="R20" t="s">
        <v>121</v>
      </c>
      <c r="T20" t="s">
        <v>121</v>
      </c>
      <c r="V20" t="s">
        <v>121</v>
      </c>
    </row>
    <row r="21" spans="1:22" x14ac:dyDescent="0.35">
      <c r="A21" t="s">
        <v>120</v>
      </c>
      <c r="B21">
        <v>44173</v>
      </c>
      <c r="C21" t="s">
        <v>97</v>
      </c>
      <c r="D21">
        <v>10.510204081632653</v>
      </c>
      <c r="E21" t="s">
        <v>121</v>
      </c>
      <c r="F21">
        <v>1023.2857142857143</v>
      </c>
      <c r="H21" t="s">
        <v>121</v>
      </c>
      <c r="J21" t="s">
        <v>121</v>
      </c>
      <c r="L21" t="s">
        <v>121</v>
      </c>
      <c r="N21" t="s">
        <v>121</v>
      </c>
      <c r="P21">
        <v>10.510204081632653</v>
      </c>
      <c r="R21" t="s">
        <v>121</v>
      </c>
      <c r="T21" t="s">
        <v>121</v>
      </c>
      <c r="V21" t="s">
        <v>121</v>
      </c>
    </row>
    <row r="22" spans="1:22" x14ac:dyDescent="0.35">
      <c r="A22" t="s">
        <v>120</v>
      </c>
      <c r="B22">
        <v>44180</v>
      </c>
      <c r="C22" t="s">
        <v>97</v>
      </c>
      <c r="D22">
        <v>10.510204081632653</v>
      </c>
      <c r="E22" t="s">
        <v>121</v>
      </c>
      <c r="F22">
        <v>1033.795918367347</v>
      </c>
      <c r="H22" t="s">
        <v>121</v>
      </c>
      <c r="J22" t="s">
        <v>121</v>
      </c>
      <c r="L22" t="s">
        <v>121</v>
      </c>
      <c r="N22" t="s">
        <v>121</v>
      </c>
      <c r="P22">
        <v>10.510204081632653</v>
      </c>
      <c r="R22" t="s">
        <v>121</v>
      </c>
      <c r="T22" t="s">
        <v>121</v>
      </c>
      <c r="V22" t="s">
        <v>121</v>
      </c>
    </row>
    <row r="23" spans="1:22" x14ac:dyDescent="0.35">
      <c r="A23" t="s">
        <v>120</v>
      </c>
      <c r="B23">
        <v>44187</v>
      </c>
      <c r="C23" t="s">
        <v>127</v>
      </c>
      <c r="D23">
        <v>14.204081632653061</v>
      </c>
      <c r="E23" t="s">
        <v>121</v>
      </c>
      <c r="F23">
        <v>1048</v>
      </c>
      <c r="H23" t="s">
        <v>121</v>
      </c>
      <c r="J23" t="s">
        <v>121</v>
      </c>
      <c r="L23" t="s">
        <v>121</v>
      </c>
      <c r="N23" t="s">
        <v>121</v>
      </c>
      <c r="P23">
        <v>4.204081632653061</v>
      </c>
      <c r="R23">
        <v>10</v>
      </c>
      <c r="T23" t="s">
        <v>121</v>
      </c>
      <c r="V23" t="s">
        <v>121</v>
      </c>
    </row>
    <row r="24" spans="1:22" x14ac:dyDescent="0.35">
      <c r="A24" t="s">
        <v>120</v>
      </c>
      <c r="B24">
        <v>44194</v>
      </c>
      <c r="C24" t="s">
        <v>98</v>
      </c>
      <c r="D24">
        <v>13.333333333333334</v>
      </c>
      <c r="E24" t="s">
        <v>121</v>
      </c>
      <c r="F24">
        <v>1061.3333333333333</v>
      </c>
      <c r="H24" t="s">
        <v>121</v>
      </c>
      <c r="J24" t="s">
        <v>121</v>
      </c>
      <c r="L24" t="s">
        <v>121</v>
      </c>
      <c r="N24" t="s">
        <v>121</v>
      </c>
      <c r="P24" t="s">
        <v>121</v>
      </c>
      <c r="R24">
        <v>13.333333333333334</v>
      </c>
      <c r="T24" t="s">
        <v>121</v>
      </c>
      <c r="V24" t="s">
        <v>121</v>
      </c>
    </row>
    <row r="25" spans="1:22" x14ac:dyDescent="0.35">
      <c r="A25" t="s">
        <v>120</v>
      </c>
      <c r="B25">
        <v>44201</v>
      </c>
      <c r="C25" t="s">
        <v>98</v>
      </c>
      <c r="D25">
        <v>6.666666666666667</v>
      </c>
      <c r="E25" t="s">
        <v>121</v>
      </c>
      <c r="F25">
        <v>1068</v>
      </c>
      <c r="H25" t="s">
        <v>121</v>
      </c>
      <c r="J25" t="s">
        <v>121</v>
      </c>
      <c r="L25" t="s">
        <v>121</v>
      </c>
      <c r="N25" t="s">
        <v>121</v>
      </c>
      <c r="P25" t="s">
        <v>121</v>
      </c>
      <c r="R25">
        <v>6.666666666666667</v>
      </c>
      <c r="T25" t="s">
        <v>121</v>
      </c>
      <c r="V25" t="s">
        <v>121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7" sqref="C7:I7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9" t="s">
        <v>81</v>
      </c>
      <c r="AB1" s="80"/>
    </row>
    <row r="2" spans="2:39" x14ac:dyDescent="0.3">
      <c r="B2" s="92" t="str">
        <f>_xlfn.CONCAT("PROGRESS REPORT ", TEXT(S3,"mm/dd/yyyy"))</f>
        <v>PROGRESS REPORT 06/10/2020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0.56363636363636371</v>
      </c>
      <c r="AA2" s="60"/>
      <c r="AB2" s="61"/>
    </row>
    <row r="3" spans="2:3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24" t="s">
        <v>16</v>
      </c>
      <c r="S3" s="27">
        <f>Report_Date</f>
        <v>43992</v>
      </c>
      <c r="T3" s="24" t="s">
        <v>60</v>
      </c>
      <c r="U3" s="34" t="b">
        <v>1</v>
      </c>
      <c r="V3" s="78">
        <f ca="1">1-O5</f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32">
        <f ca="1">IF(ISERROR(N7/N6), 0, N7/N6)</f>
        <v>0.43636363636363623</v>
      </c>
      <c r="O5" s="33">
        <f ca="1">IF(ISERROR(O7/O6), 0, O7/O6)</f>
        <v>0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98" t="str">
        <f>Main!C33</f>
        <v>Sample Sub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(SF)</v>
      </c>
      <c r="K6" s="91"/>
      <c r="L6" s="91"/>
      <c r="M6" s="91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98" t="str">
        <f>RIGHT(Main!B33, LEN(Main!B33) - 4)</f>
        <v>Sample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(SF)</v>
      </c>
      <c r="K7" s="91"/>
      <c r="L7" s="91"/>
      <c r="M7" s="91"/>
      <c r="N7" s="35">
        <f ca="1">VLOOKUP($S$3, INDIRECT("Output_"&amp;$S$2), 5, FALSE)</f>
        <v>3927.2727272727261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91" t="str">
        <f>_xlfn.CONCAT("This Week's Production (", IF(ISBLANK($S$6),"",$S$6), ")")</f>
        <v>This Week's Production (SF)</v>
      </c>
      <c r="K8" s="91"/>
      <c r="L8" s="91"/>
      <c r="M8" s="91"/>
      <c r="N8" s="35">
        <f ca="1">VLOOKUP($S$3, INDIRECT("Output_"&amp;$S$2), 3, FALSE)</f>
        <v>272.72727272727275</v>
      </c>
      <c r="O8" s="36" t="str">
        <f ca="1">VLOOKUP($S$3, INDIRECT("Output_"&amp;$S$2), 4, FALSE)</f>
        <v/>
      </c>
      <c r="R8" s="24" t="s">
        <v>50</v>
      </c>
      <c r="S8" s="26" t="s">
        <v>80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91" t="str">
        <f>_xlfn.CONCAT("Weekly Average (", IF(ISBLANK($S$6),"",$S$6), ")")</f>
        <v>Weekly Average (SF)</v>
      </c>
      <c r="K9" s="91"/>
      <c r="L9" s="91"/>
      <c r="M9" s="91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115</v>
      </c>
      <c r="U9" s="85" t="s">
        <v>117</v>
      </c>
      <c r="V9" s="85"/>
      <c r="W9" s="85"/>
      <c r="X9" s="85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91" t="str">
        <f>_xlfn.CONCAT("Average Past 4 Weeks (", IF(ISBLANK($S$6),"",$S$6), ")")</f>
        <v>Average Past 4 Weeks (SF)</v>
      </c>
      <c r="K10" s="91"/>
      <c r="L10" s="91"/>
      <c r="M10" s="91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231.81818181818184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237.5</v>
      </c>
      <c r="T10" s="24" t="s">
        <v>116</v>
      </c>
      <c r="U10" s="86"/>
      <c r="V10" s="86"/>
      <c r="W10" s="86"/>
      <c r="X10" s="86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91" t="str">
        <f>_xlfn.CONCAT("On Schedule Average (", IF(ISBLANK($S$6),"",$S$6), ")")</f>
        <v>On Schedule Average (SF)</v>
      </c>
      <c r="K11" s="91"/>
      <c r="L11" s="91"/>
      <c r="M11" s="91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296.96969696969688</v>
      </c>
      <c r="O11" s="40" t="e">
        <f ca="1">IF($O$5&gt;0.998, "-", (SUM(Input_Template[Total])-INDIRECT("AF"&amp;MATCH($S$3, Output_Template[Date],0)+13))/(ROW(Output_Template[Weekly Plan])-1+ROWS(Output_Template[Weekly Plan])-(MATCH($S$3, Output_Template[Date],0)+13)))</f>
        <v>#N/A</v>
      </c>
      <c r="U11" s="86"/>
      <c r="V11" s="86"/>
      <c r="W11" s="86"/>
      <c r="X11" s="86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1" t="s">
        <v>46</v>
      </c>
      <c r="K13" s="81"/>
      <c r="L13" s="81"/>
      <c r="M13" s="81"/>
      <c r="N13" s="82" t="e">
        <f ca="1">IF($O$5&gt;0.999, "Completed", WORKDAY($S$3, ROUNDUP((SUM(Input_Template[Total])-(INDIRECT("AF"&amp;MATCH($S$3, Output_Template[Date],0)+13)))/($O$10/COUNTIF($U$2:$U$8, TRUE)),0), Holidays_Table[Holidays]))</f>
        <v>#N/A</v>
      </c>
      <c r="O13" s="84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82</v>
      </c>
      <c r="AH13" s="64" t="s">
        <v>84</v>
      </c>
      <c r="AI13" s="64" t="s">
        <v>83</v>
      </c>
      <c r="AJ13" s="64" t="s">
        <v>85</v>
      </c>
      <c r="AK13" s="64" t="s">
        <v>86</v>
      </c>
      <c r="AL13" s="64" t="s">
        <v>87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9"/>
      <c r="M15" s="89"/>
      <c r="N15" s="89"/>
      <c r="O15" s="90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4745.454545454545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26" priority="10">
      <formula>ISERROR(AF14)</formula>
    </cfRule>
  </conditionalFormatting>
  <conditionalFormatting sqref="W13:X13">
    <cfRule type="expression" dxfId="125" priority="8">
      <formula>IF(OR($S$8 = "Assemble Addin", $S$8 = "Bluebeam QL"), TRUE, FALSE)</formula>
    </cfRule>
  </conditionalFormatting>
  <conditionalFormatting sqref="N6:O6">
    <cfRule type="expression" dxfId="124" priority="7">
      <formula>IF($N$6=$O$6, FALSE, TRUE)</formula>
    </cfRule>
  </conditionalFormatting>
  <conditionalFormatting sqref="W14:X16">
    <cfRule type="expression" dxfId="123" priority="5">
      <formula>IF(OR($S$8 = "Assemble Addin", $S$8 = "Bluebeam QL"), TRUE, FALSE)</formula>
    </cfRule>
    <cfRule type="expression" dxfId="122" priority="6">
      <formula>IF(OR($S$8 = "Assemble Addin", $S$8 = "Bluebeam QL"), MOD(ROW(), 2)=0, FALSE)</formula>
    </cfRule>
  </conditionalFormatting>
  <conditionalFormatting sqref="R13">
    <cfRule type="expression" dxfId="121" priority="2">
      <formula>IF($S$8 = "Assemble Addin", TRUE, FALSE)</formula>
    </cfRule>
  </conditionalFormatting>
  <conditionalFormatting sqref="R14:R16">
    <cfRule type="expression" dxfId="12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100" t="str">
        <f>UPPER("Structural Steel 06/03/2020")</f>
        <v>STRUCTURAL STEEL 06/03/2020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</row>
    <row r="2" spans="1:14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34" spans="1:14" x14ac:dyDescent="0.35">
      <c r="A34" s="101" t="s">
        <v>117</v>
      </c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3" t="s">
        <v>5</v>
      </c>
      <c r="F1" s="103"/>
      <c r="H1" s="2" t="s">
        <v>9</v>
      </c>
      <c r="J1" t="s">
        <v>146</v>
      </c>
      <c r="L1" s="5" t="s">
        <v>12</v>
      </c>
      <c r="M1" s="5" t="s">
        <v>15</v>
      </c>
      <c r="AB1" t="s">
        <v>118</v>
      </c>
      <c r="AC1" t="s">
        <v>119</v>
      </c>
    </row>
    <row r="2" spans="2:29" ht="15.5" x14ac:dyDescent="0.35">
      <c r="B2" s="104" t="s">
        <v>6</v>
      </c>
      <c r="C2" s="104"/>
      <c r="E2" t="s">
        <v>0</v>
      </c>
      <c r="F2" t="s">
        <v>7</v>
      </c>
      <c r="H2" t="s">
        <v>3</v>
      </c>
      <c r="J2" t="s">
        <v>136</v>
      </c>
    </row>
    <row r="3" spans="2:29" x14ac:dyDescent="0.35">
      <c r="B3" s="3" t="s">
        <v>10</v>
      </c>
      <c r="C3" s="4" t="s">
        <v>157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154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155</v>
      </c>
      <c r="H7" s="1"/>
      <c r="J7" t="s">
        <v>30</v>
      </c>
    </row>
    <row r="8" spans="2:29" x14ac:dyDescent="0.35">
      <c r="B8" t="s">
        <v>19</v>
      </c>
      <c r="C8" s="4" t="s">
        <v>147</v>
      </c>
      <c r="H8" s="1"/>
      <c r="J8" t="s">
        <v>128</v>
      </c>
    </row>
    <row r="9" spans="2:29" x14ac:dyDescent="0.35">
      <c r="B9" t="s">
        <v>20</v>
      </c>
      <c r="C9" s="4" t="s">
        <v>149</v>
      </c>
      <c r="H9" s="1"/>
      <c r="J9" t="s">
        <v>129</v>
      </c>
    </row>
    <row r="10" spans="2:29" x14ac:dyDescent="0.35">
      <c r="B10" t="s">
        <v>21</v>
      </c>
      <c r="C10" s="4" t="s">
        <v>148</v>
      </c>
      <c r="H10" s="1"/>
      <c r="J10" t="s">
        <v>130</v>
      </c>
    </row>
    <row r="11" spans="2:29" x14ac:dyDescent="0.35">
      <c r="B11" t="s">
        <v>88</v>
      </c>
      <c r="C11" s="4" t="s">
        <v>90</v>
      </c>
      <c r="H11" s="1"/>
      <c r="J11" t="s">
        <v>131</v>
      </c>
    </row>
    <row r="12" spans="2:29" x14ac:dyDescent="0.35">
      <c r="H12" s="1"/>
      <c r="J12" t="s">
        <v>132</v>
      </c>
    </row>
    <row r="13" spans="2:29" x14ac:dyDescent="0.35">
      <c r="H13" s="1"/>
      <c r="J13" t="s">
        <v>133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691"/>
  <sheetViews>
    <sheetView zoomScale="115" zoomScaleNormal="115" workbookViewId="0">
      <selection activeCell="E17" sqref="E17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106" t="str">
        <f>"PROGRESS REPORT "&amp; TEXT(Report_Date, "mm/dd/yyy")</f>
        <v>PROGRESS REPORT 06/10/2020</v>
      </c>
      <c r="C2" s="106"/>
      <c r="D2" s="106"/>
      <c r="E2" s="106"/>
    </row>
    <row r="3" spans="2:11" ht="8.25" customHeight="1" x14ac:dyDescent="0.35"/>
    <row r="4" spans="2:11" ht="17.5" x14ac:dyDescent="0.35">
      <c r="B4" s="7" t="str">
        <f>Project_Number &amp; " - " &amp; Project_Name</f>
        <v>S590 - St. George Temple Major Renovation 2019</v>
      </c>
    </row>
    <row r="5" spans="2:11" ht="6" customHeight="1" x14ac:dyDescent="0.35"/>
    <row r="6" spans="2:11" x14ac:dyDescent="0.35">
      <c r="B6" s="8" t="str">
        <f>"Project Manager(s): " &amp; Project_Manager</f>
        <v>Project Manager(s): Ryan Thomas</v>
      </c>
      <c r="G6" s="20" t="s">
        <v>16</v>
      </c>
      <c r="H6" s="14">
        <v>43992</v>
      </c>
    </row>
    <row r="7" spans="2:11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1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1" ht="10" customHeight="1" x14ac:dyDescent="0.35"/>
    <row r="10" spans="2:11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35</v>
      </c>
      <c r="J10" s="12" t="s">
        <v>34</v>
      </c>
    </row>
    <row r="11" spans="2:11" ht="15" hidden="1" x14ac:dyDescent="0.35">
      <c r="B11" s="105" t="s">
        <v>26</v>
      </c>
      <c r="C11" s="105"/>
      <c r="D11" s="105"/>
      <c r="E11" s="105"/>
      <c r="F11" s="23"/>
      <c r="G11" s="23"/>
      <c r="H11" s="23"/>
      <c r="I11" s="23"/>
      <c r="J11" s="23"/>
      <c r="K11" t="s">
        <v>137</v>
      </c>
    </row>
    <row r="12" spans="2:11" hidden="1" x14ac:dyDescent="0.35">
      <c r="B12" s="13"/>
      <c r="G12" s="1"/>
      <c r="H12" s="17"/>
    </row>
    <row r="13" spans="2:11" ht="15" hidden="1" x14ac:dyDescent="0.35">
      <c r="B13" s="105" t="s">
        <v>27</v>
      </c>
      <c r="C13" s="105"/>
      <c r="D13" s="105"/>
      <c r="E13" s="105"/>
      <c r="F13" s="23"/>
      <c r="G13" s="23"/>
      <c r="H13" s="23"/>
      <c r="I13" s="23"/>
      <c r="J13" s="23"/>
      <c r="K13" t="s">
        <v>137</v>
      </c>
    </row>
    <row r="14" spans="2:11" hidden="1" x14ac:dyDescent="0.35">
      <c r="B14" s="9"/>
      <c r="C14" s="75"/>
      <c r="G14" s="22"/>
      <c r="H14" s="17"/>
    </row>
    <row r="15" spans="2:11" ht="15" x14ac:dyDescent="0.35">
      <c r="B15" s="105" t="s">
        <v>28</v>
      </c>
      <c r="C15" s="105"/>
      <c r="D15" s="105"/>
      <c r="E15" s="105"/>
      <c r="F15" s="23"/>
      <c r="G15" s="23"/>
      <c r="H15" s="23"/>
      <c r="I15" s="23"/>
      <c r="J15" s="23"/>
      <c r="K15" t="s">
        <v>137</v>
      </c>
    </row>
    <row r="16" spans="2:11" x14ac:dyDescent="0.35">
      <c r="B16" s="9" t="s">
        <v>153</v>
      </c>
      <c r="C16" s="77" t="s">
        <v>150</v>
      </c>
      <c r="D16" s="10">
        <f ca="1">'0501'!N5</f>
        <v>0</v>
      </c>
      <c r="E16" s="10">
        <f ca="1">'0501'!O5</f>
        <v>1.413690476190476E-2</v>
      </c>
      <c r="G16" s="22"/>
      <c r="H16" s="17" t="s">
        <v>151</v>
      </c>
    </row>
    <row r="17" spans="2:11" x14ac:dyDescent="0.35">
      <c r="B17" s="9"/>
      <c r="C17" s="75"/>
      <c r="G17" s="22"/>
      <c r="H17" s="17"/>
    </row>
    <row r="18" spans="2:11" ht="15" hidden="1" x14ac:dyDescent="0.35">
      <c r="B18" s="105" t="s">
        <v>29</v>
      </c>
      <c r="C18" s="105"/>
      <c r="D18" s="105"/>
      <c r="E18" s="105"/>
      <c r="F18" s="23"/>
      <c r="G18" s="23"/>
      <c r="H18" s="23"/>
      <c r="I18" s="23"/>
      <c r="J18" s="23"/>
      <c r="K18" t="s">
        <v>137</v>
      </c>
    </row>
    <row r="19" spans="2:11" hidden="1" x14ac:dyDescent="0.35">
      <c r="B19" s="9"/>
      <c r="C19" s="75"/>
      <c r="G19" s="22"/>
      <c r="H19" s="17"/>
    </row>
    <row r="20" spans="2:11" ht="15" hidden="1" x14ac:dyDescent="0.35">
      <c r="B20" s="105" t="s">
        <v>30</v>
      </c>
      <c r="C20" s="105"/>
      <c r="D20" s="105"/>
      <c r="E20" s="105"/>
      <c r="F20" s="23"/>
      <c r="G20" s="23"/>
      <c r="H20" s="23"/>
      <c r="I20" s="23"/>
      <c r="J20" s="23"/>
      <c r="K20" t="s">
        <v>137</v>
      </c>
    </row>
    <row r="21" spans="2:11" hidden="1" x14ac:dyDescent="0.35">
      <c r="B21" s="9"/>
      <c r="C21" s="75"/>
      <c r="G21" s="22"/>
      <c r="H21" s="17"/>
    </row>
    <row r="22" spans="2:11" ht="15" hidden="1" x14ac:dyDescent="0.35">
      <c r="B22" s="105" t="s">
        <v>128</v>
      </c>
      <c r="C22" s="105"/>
      <c r="D22" s="105"/>
      <c r="E22" s="105"/>
      <c r="F22" s="23"/>
      <c r="G22" s="23"/>
      <c r="H22" s="23"/>
      <c r="I22" s="23"/>
      <c r="J22" s="23"/>
      <c r="K22" t="s">
        <v>137</v>
      </c>
    </row>
    <row r="23" spans="2:11" hidden="1" x14ac:dyDescent="0.35">
      <c r="B23" s="9"/>
      <c r="C23" s="75"/>
      <c r="G23" s="22"/>
      <c r="H23" s="17"/>
    </row>
    <row r="24" spans="2:11" ht="15" hidden="1" x14ac:dyDescent="0.35">
      <c r="B24" s="105" t="s">
        <v>129</v>
      </c>
      <c r="C24" s="105"/>
      <c r="D24" s="105"/>
      <c r="E24" s="105"/>
      <c r="F24" s="23"/>
      <c r="G24" s="23"/>
      <c r="H24" s="23"/>
      <c r="I24" s="23"/>
      <c r="J24" s="23"/>
      <c r="K24" t="s">
        <v>137</v>
      </c>
    </row>
    <row r="25" spans="2:11" hidden="1" x14ac:dyDescent="0.35">
      <c r="B25" s="9"/>
      <c r="C25" s="75"/>
      <c r="G25" s="22"/>
      <c r="H25" s="17"/>
    </row>
    <row r="26" spans="2:11" ht="15" hidden="1" x14ac:dyDescent="0.35">
      <c r="B26" s="105" t="s">
        <v>130</v>
      </c>
      <c r="C26" s="105"/>
      <c r="D26" s="105"/>
      <c r="E26" s="105"/>
      <c r="F26" s="23"/>
      <c r="G26" s="23"/>
      <c r="H26" s="23"/>
      <c r="I26" s="23"/>
      <c r="J26" s="23"/>
      <c r="K26" t="s">
        <v>137</v>
      </c>
    </row>
    <row r="27" spans="2:11" hidden="1" x14ac:dyDescent="0.35">
      <c r="B27" s="9"/>
      <c r="C27" s="75"/>
      <c r="G27" s="22"/>
      <c r="H27" s="17"/>
    </row>
    <row r="28" spans="2:11" ht="15" hidden="1" x14ac:dyDescent="0.35">
      <c r="B28" s="105" t="s">
        <v>131</v>
      </c>
      <c r="C28" s="105"/>
      <c r="D28" s="105"/>
      <c r="E28" s="105"/>
      <c r="F28" s="23"/>
      <c r="G28" s="23"/>
      <c r="H28" s="23"/>
      <c r="I28" s="23"/>
      <c r="J28" s="23"/>
      <c r="K28" t="s">
        <v>137</v>
      </c>
    </row>
    <row r="29" spans="2:11" hidden="1" x14ac:dyDescent="0.35">
      <c r="B29" s="9"/>
      <c r="C29" s="75"/>
      <c r="G29" s="22"/>
      <c r="H29" s="17"/>
    </row>
    <row r="30" spans="2:11" ht="15" hidden="1" x14ac:dyDescent="0.35">
      <c r="B30" s="105" t="s">
        <v>132</v>
      </c>
      <c r="C30" s="105"/>
      <c r="D30" s="105"/>
      <c r="E30" s="105"/>
      <c r="F30" s="23"/>
      <c r="G30" s="23"/>
      <c r="H30" s="23"/>
      <c r="I30" s="23"/>
      <c r="J30" s="23"/>
      <c r="K30" t="s">
        <v>137</v>
      </c>
    </row>
    <row r="31" spans="2:11" hidden="1" x14ac:dyDescent="0.35">
      <c r="B31" s="9"/>
      <c r="C31" s="75"/>
      <c r="G31" s="22"/>
      <c r="H31" s="17"/>
    </row>
    <row r="32" spans="2:11" ht="15" x14ac:dyDescent="0.35">
      <c r="B32" s="105" t="s">
        <v>133</v>
      </c>
      <c r="C32" s="105"/>
      <c r="D32" s="105"/>
      <c r="E32" s="105"/>
      <c r="F32" s="23"/>
      <c r="G32" s="23"/>
      <c r="H32" s="23"/>
      <c r="I32" s="23"/>
      <c r="J32" s="23"/>
      <c r="K32" t="s">
        <v>137</v>
      </c>
    </row>
    <row r="33" spans="2:8" x14ac:dyDescent="0.35">
      <c r="B33" s="9" t="s">
        <v>156</v>
      </c>
      <c r="C33" s="75" t="s">
        <v>134</v>
      </c>
      <c r="G33" s="22"/>
      <c r="H33" s="17" t="s">
        <v>135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97" priority="53">
      <formula>IF(ISBLANK($D12), FALSE, IF(RedGreen_Formatting = "Enabled", $D12 &lt;= $E12 + Percent_Error, FALSE))</formula>
    </cfRule>
    <cfRule type="expression" dxfId="96" priority="54">
      <formula>IF(ISBLANK($D12), FALSE, IF(RedGreen_Formatting = "Enabled", $D12 &gt; $E12 + Percent_Error, FALSE))</formula>
    </cfRule>
  </conditionalFormatting>
  <conditionalFormatting sqref="E22">
    <cfRule type="expression" dxfId="95" priority="51">
      <formula>IF(ISBLANK($D22), FALSE, IF(RedGreen_Formatting = "Enabled", $D22 &lt;= $E22 + Percent_Error, FALSE))</formula>
    </cfRule>
    <cfRule type="expression" dxfId="94" priority="52">
      <formula>IF(ISBLANK($D22), FALSE, IF(RedGreen_Formatting = "Enabled", $D22 &gt; $E22 + Percent_Error, FALSE))</formula>
    </cfRule>
  </conditionalFormatting>
  <conditionalFormatting sqref="E24">
    <cfRule type="expression" dxfId="93" priority="49">
      <formula>IF(ISBLANK($D24), FALSE, IF(RedGreen_Formatting = "Enabled", $D24 &lt;= $E24 + Percent_Error, FALSE))</formula>
    </cfRule>
    <cfRule type="expression" dxfId="92" priority="50">
      <formula>IF(ISBLANK($D24), FALSE, IF(RedGreen_Formatting = "Enabled", $D24 &gt; $E24 + Percent_Error, FALSE))</formula>
    </cfRule>
  </conditionalFormatting>
  <conditionalFormatting sqref="E26">
    <cfRule type="expression" dxfId="91" priority="47">
      <formula>IF(ISBLANK($D26), FALSE, IF(RedGreen_Formatting = "Enabled", $D26 &lt;= $E26 + Percent_Error, FALSE))</formula>
    </cfRule>
    <cfRule type="expression" dxfId="90" priority="48">
      <formula>IF(ISBLANK($D26), FALSE, IF(RedGreen_Formatting = "Enabled", $D26 &gt; $E26 + Percent_Error, FALSE))</formula>
    </cfRule>
  </conditionalFormatting>
  <conditionalFormatting sqref="E28">
    <cfRule type="expression" dxfId="89" priority="45">
      <formula>IF(ISBLANK($D28), FALSE, IF(RedGreen_Formatting = "Enabled", $D28 &lt;= $E28 + Percent_Error, FALSE))</formula>
    </cfRule>
    <cfRule type="expression" dxfId="88" priority="46">
      <formula>IF(ISBLANK($D28), FALSE, IF(RedGreen_Formatting = "Enabled", $D28 &gt; $E28 + Percent_Error, FALSE))</formula>
    </cfRule>
  </conditionalFormatting>
  <conditionalFormatting sqref="E30">
    <cfRule type="expression" dxfId="87" priority="43">
      <formula>IF(ISBLANK($D30), FALSE, IF(RedGreen_Formatting = "Enabled", $D30 &lt;= $E30 + Percent_Error, FALSE))</formula>
    </cfRule>
    <cfRule type="expression" dxfId="86" priority="44">
      <formula>IF(ISBLANK($D30), FALSE, IF(RedGreen_Formatting = "Enabled", $D30 &gt; $E30 + Percent_Error, FALSE))</formula>
    </cfRule>
  </conditionalFormatting>
  <conditionalFormatting sqref="E32">
    <cfRule type="expression" dxfId="85" priority="41">
      <formula>IF(ISBLANK($D32), FALSE, IF(RedGreen_Formatting = "Enabled", $D32 &lt;= $E32 + Percent_Error, FALSE))</formula>
    </cfRule>
    <cfRule type="expression" dxfId="84" priority="42">
      <formula>IF(ISBLANK($D32), FALSE, IF(RedGreen_Formatting = "Enabled", $D32 &gt; $E32 + Percent_Error, FALSE))</formula>
    </cfRule>
  </conditionalFormatting>
  <conditionalFormatting sqref="E34">
    <cfRule type="expression" dxfId="83" priority="23">
      <formula>IF(ISBLANK($D34), FALSE, IF(RedGreen_Formatting = "Enabled", $D34 &lt;= $E34 + Percent_Error, FALSE))</formula>
    </cfRule>
    <cfRule type="expression" dxfId="82" priority="24">
      <formula>IF(ISBLANK($D34), FALSE, IF(RedGreen_Formatting = "Enabled", $D34 &gt; $E34 + Percent_Error, FALSE))</formula>
    </cfRule>
  </conditionalFormatting>
  <conditionalFormatting sqref="E33">
    <cfRule type="expression" dxfId="81" priority="3">
      <formula>IF(ISBLANK($D33), FALSE, IF(RedGreen_Formatting = "Enabled", $D33 &lt;= $E33 + Percent_Error, FALSE))</formula>
    </cfRule>
    <cfRule type="expression" dxfId="80" priority="4">
      <formula>IF(ISBLANK($D33), FALSE, IF(RedGreen_Formatting = "Enabled", $D33 &gt; $E33 + Percent_Error, FALSE))</formula>
    </cfRule>
  </conditionalFormatting>
  <conditionalFormatting sqref="E16">
    <cfRule type="expression" dxfId="79" priority="1">
      <formula>IF(ISBLANK($D16), FALSE, IF(RedGreen_Formatting = "Enabled", $D16 &lt;= $E16 + Percent_Error, FALSE))</formula>
    </cfRule>
    <cfRule type="expression" dxfId="78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topLeftCell="F1" zoomScale="85" zoomScaleNormal="85" workbookViewId="0">
      <selection activeCell="W54" sqref="W5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9" t="s">
        <v>81</v>
      </c>
      <c r="AB1" s="80"/>
    </row>
    <row r="2" spans="2:49" x14ac:dyDescent="0.3">
      <c r="B2" s="92" t="str">
        <f>_xlfn.CONCAT("PROGRESS REPORT ", TEXT(S3,"mm/dd/yyyy"))</f>
        <v>PROGRESS REPORT 06/10/2020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24" t="s">
        <v>16</v>
      </c>
      <c r="S3" s="27">
        <f>Report_Date</f>
        <v>43992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98" t="e">
        <f>Main!#REF!</f>
        <v>#REF!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(Count)</v>
      </c>
      <c r="K6" s="91"/>
      <c r="L6" s="91"/>
      <c r="M6" s="91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89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98" t="e">
        <f>RIGHT(Main!#REF!, LEN(Main!#REF!) - 4)</f>
        <v>#REF!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(Count)</v>
      </c>
      <c r="K7" s="91"/>
      <c r="L7" s="91"/>
      <c r="M7" s="91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91" t="str">
        <f>_xlfn.CONCAT("This Week's Production (", IF(ISBLANK($S$6),"",$S$6), ")")</f>
        <v>This Week's Production (Count)</v>
      </c>
      <c r="K8" s="91"/>
      <c r="L8" s="91"/>
      <c r="M8" s="91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91" t="str">
        <f>_xlfn.CONCAT("Weekly Average (", IF(ISBLANK($S$6),"",$S$6), ")")</f>
        <v>Weekly Average (Count)</v>
      </c>
      <c r="K9" s="91"/>
      <c r="L9" s="91"/>
      <c r="M9" s="91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115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91" t="str">
        <f>_xlfn.CONCAT("Average Past 4 Weeks (", IF(ISBLANK($S$6),"",$S$6), ")")</f>
        <v>Average Past 4 Weeks (Count)</v>
      </c>
      <c r="K10" s="91"/>
      <c r="L10" s="91"/>
      <c r="M10" s="91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116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91" t="str">
        <f>_xlfn.CONCAT("On Schedule Average (", IF(ISBLANK($S$6),"",$S$6), ")")</f>
        <v>On Schedule Average (Count)</v>
      </c>
      <c r="K11" s="91"/>
      <c r="L11" s="91"/>
      <c r="M11" s="91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1" t="s">
        <v>46</v>
      </c>
      <c r="K13" s="81"/>
      <c r="L13" s="81"/>
      <c r="M13" s="81"/>
      <c r="N13" s="82"/>
      <c r="O13" s="84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7"/>
      <c r="N14" s="87"/>
      <c r="O14" s="88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9"/>
      <c r="M15" s="89"/>
      <c r="N15" s="89"/>
      <c r="O15" s="90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141</v>
      </c>
      <c r="T17" s="66" t="s">
        <v>96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145</v>
      </c>
      <c r="T18" s="66" t="s">
        <v>97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144</v>
      </c>
      <c r="T19" s="66" t="s">
        <v>98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143</v>
      </c>
      <c r="T20" s="66" t="s">
        <v>99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142</v>
      </c>
      <c r="T21" s="66" t="s">
        <v>100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77" priority="7">
      <formula>ISERROR(AF14)</formula>
    </cfRule>
  </conditionalFormatting>
  <conditionalFormatting sqref="W13:X13">
    <cfRule type="expression" dxfId="76" priority="6">
      <formula>IF(OR($S$8 = "Assemble Addin", $S$8 = "Bluebeam QL"), TRUE, FALSE)</formula>
    </cfRule>
  </conditionalFormatting>
  <conditionalFormatting sqref="N6:O6">
    <cfRule type="expression" dxfId="75" priority="5">
      <formula>IF($N$6=$O$6, FALSE, TRUE)</formula>
    </cfRule>
  </conditionalFormatting>
  <conditionalFormatting sqref="W14:X21">
    <cfRule type="expression" dxfId="74" priority="3">
      <formula>IF(OR($S$8 = "Assemble Addin", $S$8 = "Bluebeam QL"), TRUE, FALSE)</formula>
    </cfRule>
    <cfRule type="expression" dxfId="73" priority="4">
      <formula>IF(OR($S$8 = "Assemble Addin", $S$8 = "Bluebeam QL"), MOD(ROW(), 2)=0, FALSE)</formula>
    </cfRule>
  </conditionalFormatting>
  <conditionalFormatting sqref="R13">
    <cfRule type="expression" dxfId="72" priority="2">
      <formula>IF($S$8 = "Assemble Addin", TRUE, FALSE)</formula>
    </cfRule>
  </conditionalFormatting>
  <conditionalFormatting sqref="R14:R21">
    <cfRule type="expression" dxfId="71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tabSelected="1" topLeftCell="W1" zoomScale="85" zoomScaleNormal="85" workbookViewId="0">
      <selection activeCell="AJ8" sqref="AJ8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79" t="s">
        <v>81</v>
      </c>
      <c r="AB1" s="80"/>
    </row>
    <row r="2" spans="2:49" x14ac:dyDescent="0.3">
      <c r="B2" s="92" t="str">
        <f>_xlfn.CONCAT("PROGRESS REPORT ", TEXT(S3,"mm/dd/yyyy"))</f>
        <v>PROGRESS REPORT 06/10/2020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4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95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7"/>
      <c r="R3" s="24" t="s">
        <v>16</v>
      </c>
      <c r="S3" s="27">
        <f>Report_Date</f>
        <v>43992</v>
      </c>
      <c r="T3" s="24" t="s">
        <v>60</v>
      </c>
      <c r="U3" s="34" t="b">
        <v>1</v>
      </c>
      <c r="V3" s="10">
        <f ca="1">1-O5</f>
        <v>0.98586309523809523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98" t="str">
        <f>Project_Name</f>
        <v>St. George Temple Major Renovation 2019</v>
      </c>
      <c r="D4" s="98"/>
      <c r="E4" s="98"/>
      <c r="F4" s="98"/>
      <c r="G4" s="98"/>
      <c r="H4" s="98"/>
      <c r="I4" s="98"/>
      <c r="J4" s="99" t="s">
        <v>38</v>
      </c>
      <c r="K4" s="99"/>
      <c r="L4" s="99"/>
      <c r="M4" s="99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98" t="str">
        <f>Project_Number</f>
        <v>S590</v>
      </c>
      <c r="D5" s="98"/>
      <c r="E5" s="98"/>
      <c r="F5" s="98"/>
      <c r="G5" s="98"/>
      <c r="H5" s="98"/>
      <c r="I5" s="98"/>
      <c r="J5" s="91" t="s">
        <v>42</v>
      </c>
      <c r="K5" s="91"/>
      <c r="L5" s="91"/>
      <c r="M5" s="91"/>
      <c r="N5" s="32">
        <f ca="1">IF(ISERROR(N7/N6), 0, N7/N6)</f>
        <v>0</v>
      </c>
      <c r="O5" s="33">
        <f ca="1">IF(ISERROR(O7/O6), 0, O7/O6)</f>
        <v>1.413690476190476E-2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98" t="str">
        <f>Main!C16</f>
        <v>Glassey Steel Works</v>
      </c>
      <c r="D6" s="98"/>
      <c r="E6" s="98"/>
      <c r="F6" s="98"/>
      <c r="G6" s="98"/>
      <c r="H6" s="98"/>
      <c r="I6" s="98"/>
      <c r="J6" s="91" t="str">
        <f>_xlfn.CONCAT("Overall Totals (", IF(ISBLANK($S$6),"",$S$6), ")")</f>
        <v>Overall Totals (Each)</v>
      </c>
      <c r="K6" s="91"/>
      <c r="L6" s="91"/>
      <c r="M6" s="91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152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98" t="str">
        <f>RIGHT(Main!B16, LEN(Main!B16) - 4)</f>
        <v>Structural Steel</v>
      </c>
      <c r="D7" s="98"/>
      <c r="E7" s="98"/>
      <c r="F7" s="98"/>
      <c r="G7" s="98"/>
      <c r="H7" s="98"/>
      <c r="I7" s="98"/>
      <c r="J7" s="91" t="str">
        <f>_xlfn.CONCAT("Overall Completed Totals (", IF(ISBLANK($S$6),"",$S$6), ")")</f>
        <v>Overall Completed Totals (Each)</v>
      </c>
      <c r="K7" s="91"/>
      <c r="L7" s="91"/>
      <c r="M7" s="91"/>
      <c r="N7" s="35">
        <f ca="1">VLOOKUP($S$3, INDIRECT("Output_"&amp;$S$2), 5, FALSE)</f>
        <v>0</v>
      </c>
      <c r="O7" s="36">
        <f ca="1">_xlfn.IFNA(VLOOKUP($S$3, INDIRECT("Output_"&amp;$S$2), 6, FALSE), 0)</f>
        <v>19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91" t="str">
        <f>_xlfn.CONCAT("This Week's Production (", IF(ISBLANK($S$6),"",$S$6), ")")</f>
        <v>This Week's Production (Each)</v>
      </c>
      <c r="K8" s="91"/>
      <c r="L8" s="91"/>
      <c r="M8" s="91"/>
      <c r="N8" s="35">
        <f ca="1">VLOOKUP($S$3, INDIRECT("Output_"&amp;$S$2), 3, FALSE)</f>
        <v>0</v>
      </c>
      <c r="O8" s="36">
        <f ca="1">VLOOKUP($S$3, INDIRECT("Output_"&amp;$S$2), 4, FALSE)</f>
        <v>0</v>
      </c>
      <c r="R8" s="24" t="s">
        <v>50</v>
      </c>
      <c r="S8" s="26" t="s">
        <v>88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91" t="str">
        <f>_xlfn.CONCAT("Weekly Average (", IF(ISBLANK($S$6),"",$S$6), ")")</f>
        <v>Weekly Average (Each)</v>
      </c>
      <c r="K9" s="91"/>
      <c r="L9" s="91"/>
      <c r="M9" s="91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9.5</v>
      </c>
      <c r="T9" s="24" t="s">
        <v>115</v>
      </c>
      <c r="U9" s="85" t="s">
        <v>117</v>
      </c>
      <c r="V9" s="85"/>
      <c r="W9" s="85"/>
      <c r="X9" s="85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91" t="str">
        <f>_xlfn.CONCAT("Average Past 4 Weeks (", IF(ISBLANK($S$6),"",$S$6), ")")</f>
        <v>Average Past 4 Weeks (Each)</v>
      </c>
      <c r="K10" s="91"/>
      <c r="L10" s="91"/>
      <c r="M10" s="91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9.5</v>
      </c>
      <c r="T10" s="24" t="s">
        <v>116</v>
      </c>
      <c r="U10" s="86"/>
      <c r="V10" s="86"/>
      <c r="W10" s="86"/>
      <c r="X10" s="86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91" t="str">
        <f>_xlfn.CONCAT("On Schedule Average (", IF(ISBLANK($S$6),"",$S$6), ")")</f>
        <v>On Schedule Average (Each)</v>
      </c>
      <c r="K11" s="91"/>
      <c r="L11" s="91"/>
      <c r="M11" s="91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43.354838709677423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44.166666666666664</v>
      </c>
      <c r="U11" s="86"/>
      <c r="V11" s="86"/>
      <c r="W11" s="86"/>
      <c r="X11" s="86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1" t="s">
        <v>46</v>
      </c>
      <c r="K13" s="81"/>
      <c r="L13" s="81"/>
      <c r="M13" s="81"/>
      <c r="N13" s="82">
        <f ca="1">IF($O$5&gt;0.999, "Completed", WORKDAY($S$3, ROUNDUP((SUM(Input_0501[Total])-(INDIRECT("AF"&amp;MATCH($S$3, Output_0501[Date],0)+13)))/($O$10/COUNTIF($U$2:$U$8, TRUE)),0), Holidays_Table[Holidays]))</f>
        <v>44972</v>
      </c>
      <c r="O13" s="84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92</v>
      </c>
      <c r="AH13" s="64" t="s">
        <v>93</v>
      </c>
      <c r="AI13" s="64" t="s">
        <v>101</v>
      </c>
      <c r="AJ13" s="64" t="s">
        <v>102</v>
      </c>
      <c r="AK13" s="64" t="s">
        <v>103</v>
      </c>
      <c r="AL13" s="64" t="s">
        <v>104</v>
      </c>
      <c r="AM13" s="64" t="s">
        <v>105</v>
      </c>
      <c r="AN13" s="64" t="s">
        <v>106</v>
      </c>
      <c r="AO13" s="64" t="s">
        <v>107</v>
      </c>
      <c r="AP13" s="64" t="s">
        <v>108</v>
      </c>
      <c r="AQ13" s="64" t="s">
        <v>109</v>
      </c>
      <c r="AR13" s="64" t="s">
        <v>110</v>
      </c>
      <c r="AS13" s="64" t="s">
        <v>111</v>
      </c>
      <c r="AT13" s="64" t="s">
        <v>112</v>
      </c>
      <c r="AU13" s="64" t="s">
        <v>113</v>
      </c>
      <c r="AV13" s="64" t="s">
        <v>114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87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7"/>
      <c r="N14" s="87"/>
      <c r="O14" s="88"/>
      <c r="R14" s="43"/>
      <c r="S14" s="44" t="s">
        <v>138</v>
      </c>
      <c r="T14" s="44" t="s">
        <v>91</v>
      </c>
      <c r="U14" s="45">
        <v>44040</v>
      </c>
      <c r="V14" s="45">
        <v>44053</v>
      </c>
      <c r="W14" s="77">
        <v>210</v>
      </c>
      <c r="X14" s="77">
        <v>19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9"/>
      <c r="M15" s="89"/>
      <c r="N15" s="89"/>
      <c r="O15" s="90"/>
      <c r="R15" s="43"/>
      <c r="S15" s="44" t="s">
        <v>139</v>
      </c>
      <c r="T15" s="44" t="s">
        <v>94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140</v>
      </c>
      <c r="T16" s="44" t="s">
        <v>95</v>
      </c>
      <c r="U16" s="45">
        <v>44133</v>
      </c>
      <c r="V16" s="45">
        <v>44146</v>
      </c>
      <c r="W16" s="77">
        <v>316</v>
      </c>
      <c r="X16" s="77">
        <v>0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6" s="58">
        <f ca="1">SUM($AC$14:AC16)</f>
        <v>0</v>
      </c>
      <c r="AF16" s="58" t="e">
        <f>IF(AD16="",NA(),SUM($AD$14:AD16))</f>
        <v>#N/A</v>
      </c>
      <c r="AG16" s="58" t="str">
        <f ca="1">WeeklyPlanned(Output_0501[[#Headers],[WP_ABC]], Output_0501[[#This Row],[Date]])</f>
        <v/>
      </c>
      <c r="AH16" s="58"/>
      <c r="AI16" s="58" t="str">
        <f ca="1">WeeklyPlanned(Output_0501[[#Headers],[WP_ACS]], Output_0501[[#This Row],[Date]])</f>
        <v/>
      </c>
      <c r="AJ16" s="58"/>
      <c r="AK16" s="58" t="str">
        <f ca="1">WeeklyPlanned(Output_0501[[#Headers],[WP_AL1]], Output_0501[[#This Row],[Date]])</f>
        <v/>
      </c>
      <c r="AL16" s="58"/>
      <c r="AM16" s="58" t="str">
        <f ca="1">WeeklyPlanned(Output_0501[[#Headers],[WP_HBase]], Output_0501[[#This Row],[Date]])</f>
        <v/>
      </c>
      <c r="AN16" s="58"/>
      <c r="AO16" s="58" t="str">
        <f ca="1">WeeklyPlanned(Output_0501[[#Headers],[WP_HWST]], Output_0501[[#This Row],[Date]])</f>
        <v/>
      </c>
      <c r="AP16" s="58"/>
      <c r="AQ16" s="58" t="str">
        <f ca="1">WeeklyPlanned(Output_0501[[#Headers],[WP_HWSR]], Output_0501[[#This Row],[Date]])</f>
        <v/>
      </c>
      <c r="AR16" s="58"/>
      <c r="AS16" s="58" t="str">
        <f ca="1">WeeklyPlanned(Output_0501[[#Headers],[WP_HL2]], Output_0501[[#This Row],[Date]])</f>
        <v/>
      </c>
      <c r="AT16" s="58"/>
      <c r="AU16" s="58" t="str">
        <f ca="1">WeeklyPlanned(Output_0501[[#Headers],[WP_HBCeil]], Output_0501[[#This Row],[Date]])</f>
        <v/>
      </c>
      <c r="AV16" s="58"/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141</v>
      </c>
      <c r="T17" s="66" t="s">
        <v>96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7" s="58">
        <f ca="1">SUM($AC$14:AC17)</f>
        <v>0</v>
      </c>
      <c r="AF17" s="58" t="e">
        <f>IF(AD17="",NA(),SUM($AD$14:AD17))</f>
        <v>#N/A</v>
      </c>
      <c r="AG17" s="58" t="str">
        <f ca="1">WeeklyPlanned(Output_0501[[#Headers],[WP_ABC]], Output_0501[[#This Row],[Date]])</f>
        <v/>
      </c>
      <c r="AH17" s="58"/>
      <c r="AI17" s="58" t="str">
        <f ca="1">WeeklyPlanned(Output_0501[[#Headers],[WP_ACS]], Output_0501[[#This Row],[Date]])</f>
        <v/>
      </c>
      <c r="AJ17" s="58"/>
      <c r="AK17" s="58" t="str">
        <f ca="1">WeeklyPlanned(Output_0501[[#Headers],[WP_AL1]], Output_0501[[#This Row],[Date]])</f>
        <v/>
      </c>
      <c r="AL17" s="58"/>
      <c r="AM17" s="58" t="str">
        <f ca="1">WeeklyPlanned(Output_0501[[#Headers],[WP_HBase]], Output_0501[[#This Row],[Date]])</f>
        <v/>
      </c>
      <c r="AN17" s="58"/>
      <c r="AO17" s="58" t="str">
        <f ca="1">WeeklyPlanned(Output_0501[[#Headers],[WP_HWST]], Output_0501[[#This Row],[Date]])</f>
        <v/>
      </c>
      <c r="AP17" s="58"/>
      <c r="AQ17" s="58" t="str">
        <f ca="1">WeeklyPlanned(Output_0501[[#Headers],[WP_HWSR]], Output_0501[[#This Row],[Date]])</f>
        <v/>
      </c>
      <c r="AR17" s="58"/>
      <c r="AS17" s="58" t="str">
        <f ca="1">WeeklyPlanned(Output_0501[[#Headers],[WP_HL2]], Output_0501[[#This Row],[Date]])</f>
        <v/>
      </c>
      <c r="AT17" s="58"/>
      <c r="AU17" s="58" t="str">
        <f ca="1">WeeklyPlanned(Output_0501[[#Headers],[WP_HBCeil]], Output_0501[[#This Row],[Date]])</f>
        <v/>
      </c>
      <c r="AV17" s="58"/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145</v>
      </c>
      <c r="T18" s="66" t="s">
        <v>97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8" s="58">
        <f ca="1">SUM($AC$14:AC18)</f>
        <v>0</v>
      </c>
      <c r="AF18" s="58" t="e">
        <f>IF(AD18="",NA(),SUM($AD$14:AD18))</f>
        <v>#N/A</v>
      </c>
      <c r="AG18" s="58" t="str">
        <f ca="1">WeeklyPlanned(Output_0501[[#Headers],[WP_ABC]], Output_0501[[#This Row],[Date]])</f>
        <v/>
      </c>
      <c r="AH18" s="58"/>
      <c r="AI18" s="58" t="str">
        <f ca="1">WeeklyPlanned(Output_0501[[#Headers],[WP_ACS]], Output_0501[[#This Row],[Date]])</f>
        <v/>
      </c>
      <c r="AJ18" s="58"/>
      <c r="AK18" s="58" t="str">
        <f ca="1">WeeklyPlanned(Output_0501[[#Headers],[WP_AL1]], Output_0501[[#This Row],[Date]])</f>
        <v/>
      </c>
      <c r="AL18" s="58"/>
      <c r="AM18" s="58" t="str">
        <f ca="1">WeeklyPlanned(Output_0501[[#Headers],[WP_HBase]], Output_0501[[#This Row],[Date]])</f>
        <v/>
      </c>
      <c r="AN18" s="58"/>
      <c r="AO18" s="58" t="str">
        <f ca="1">WeeklyPlanned(Output_0501[[#Headers],[WP_HWST]], Output_0501[[#This Row],[Date]])</f>
        <v/>
      </c>
      <c r="AP18" s="58"/>
      <c r="AQ18" s="58" t="str">
        <f ca="1">WeeklyPlanned(Output_0501[[#Headers],[WP_HWSR]], Output_0501[[#This Row],[Date]])</f>
        <v/>
      </c>
      <c r="AR18" s="58"/>
      <c r="AS18" s="58" t="str">
        <f ca="1">WeeklyPlanned(Output_0501[[#Headers],[WP_HL2]], Output_0501[[#This Row],[Date]])</f>
        <v/>
      </c>
      <c r="AT18" s="58"/>
      <c r="AU18" s="58" t="str">
        <f ca="1">WeeklyPlanned(Output_0501[[#Headers],[WP_HBCeil]], Output_0501[[#This Row],[Date]])</f>
        <v/>
      </c>
      <c r="AV18" s="58"/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144</v>
      </c>
      <c r="T19" s="66" t="s">
        <v>98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143</v>
      </c>
      <c r="T20" s="66" t="s">
        <v>99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142</v>
      </c>
      <c r="T21" s="66" t="s">
        <v>100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21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21</v>
      </c>
      <c r="AF22" s="58" t="e">
        <f>IF(AD22="",NA(),SUM($AD$14:AD22))</f>
        <v>#N/A</v>
      </c>
      <c r="AG22" s="58">
        <f ca="1">WeeklyPlanned(Output_0501[[#Headers],[WP_ABC]], Output_0501[[#This Row],[Date]])</f>
        <v>21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105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126</v>
      </c>
      <c r="AF23" s="58" t="e">
        <f>IF(AD23="",NA(),SUM($AD$14:AD23))</f>
        <v>#N/A</v>
      </c>
      <c r="AG23" s="58">
        <f ca="1">WeeklyPlanned(Output_0501[[#Headers],[WP_ABC]], Output_0501[[#This Row],[Date]])</f>
        <v>105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84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210</v>
      </c>
      <c r="AF24" s="58" t="e">
        <f>IF(AD24="",NA(),SUM($AD$14:AD24))</f>
        <v>#N/A</v>
      </c>
      <c r="AG24" s="58">
        <f ca="1">WeeklyPlanned(Output_0501[[#Headers],[WP_ABC]], Output_0501[[#This Row],[Date]])</f>
        <v>84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210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210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210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210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212.41666666666666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224.5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236.58333333333334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353.93333333333334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474.38095238095241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585.57142857142867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679.92857142857156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236.75714285714287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916.68571428571443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126.4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218.85714285714286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1135.5428571428572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158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59.457142857142856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31.6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38" priority="7">
      <formula>ISERROR(AF14)</formula>
    </cfRule>
  </conditionalFormatting>
  <conditionalFormatting sqref="W13:X13">
    <cfRule type="expression" dxfId="37" priority="6">
      <formula>IF(OR($S$8 = "Assemble Addin", $S$8 = "Bluebeam QL"), TRUE, FALSE)</formula>
    </cfRule>
  </conditionalFormatting>
  <conditionalFormatting sqref="N6:O6">
    <cfRule type="expression" dxfId="36" priority="5">
      <formula>IF($N$6=$O$6, FALSE, TRUE)</formula>
    </cfRule>
  </conditionalFormatting>
  <conditionalFormatting sqref="W14:X21">
    <cfRule type="expression" dxfId="35" priority="3">
      <formula>IF(OR($S$8 = "Assemble Addin", $S$8 = "Bluebeam QL"), TRUE, FALSE)</formula>
    </cfRule>
    <cfRule type="expression" dxfId="34" priority="4">
      <formula>IF(OR($S$8 = "Assemble Addin", $S$8 = "Bluebeam QL"), MOD(ROW(), 2)=0, FALSE)</formula>
    </cfRule>
  </conditionalFormatting>
  <conditionalFormatting sqref="R13">
    <cfRule type="expression" dxfId="33" priority="2">
      <formula>IF($S$8 = "Assemble Addin", TRUE, FALSE)</formula>
    </cfRule>
  </conditionalFormatting>
  <conditionalFormatting sqref="R14:R21">
    <cfRule type="expression" dxfId="32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2020-07-13T17:37:03Z</cp:lastPrinted>
  <dcterms:created xsi:type="dcterms:W3CDTF">2019-04-09T17:53:55Z</dcterms:created>
  <dcterms:modified xsi:type="dcterms:W3CDTF">2020-07-13T18:41:38Z</dcterms:modified>
</cp:coreProperties>
</file>