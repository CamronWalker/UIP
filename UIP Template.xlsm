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F19AAF7-7B2C-4E2C-9807-337DB2627B02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F24" i="3" s="1"/>
  <c r="AD23" i="3"/>
  <c r="AF23" i="3" s="1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F15" i="3" s="1"/>
  <c r="AD14" i="3"/>
  <c r="AF14" i="3" s="1"/>
  <c r="AC7" i="3"/>
  <c r="AF36" i="4" l="1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U36" i="4"/>
  <c r="AU35" i="4"/>
  <c r="AU34" i="4"/>
  <c r="AU33" i="4"/>
  <c r="AU32" i="4"/>
  <c r="AU31" i="4"/>
  <c r="AU30" i="4"/>
  <c r="AU29" i="4"/>
  <c r="AU28" i="4"/>
  <c r="AU27" i="4"/>
  <c r="AU26" i="4"/>
  <c r="AU25" i="4"/>
  <c r="AU24" i="4"/>
  <c r="AU23" i="4"/>
  <c r="AU22" i="4"/>
  <c r="AU21" i="4"/>
  <c r="AU20" i="4"/>
  <c r="AU19" i="4"/>
  <c r="AU18" i="4"/>
  <c r="AU17" i="4"/>
  <c r="AU16" i="4"/>
  <c r="AU15" i="4"/>
  <c r="AU14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Q36" i="4"/>
  <c r="AQ35" i="4"/>
  <c r="AQ34" i="4"/>
  <c r="AQ33" i="4"/>
  <c r="AQ32" i="4"/>
  <c r="AQ31" i="4"/>
  <c r="AQ30" i="4"/>
  <c r="AQ29" i="4"/>
  <c r="AQ28" i="4"/>
  <c r="AQ27" i="4"/>
  <c r="AQ26" i="4"/>
  <c r="AQ25" i="4"/>
  <c r="AQ24" i="4"/>
  <c r="AQ23" i="4"/>
  <c r="AQ22" i="4"/>
  <c r="AQ21" i="4"/>
  <c r="AQ20" i="4"/>
  <c r="AQ19" i="4"/>
  <c r="AQ18" i="4"/>
  <c r="AQ17" i="4"/>
  <c r="AQ16" i="4"/>
  <c r="AQ15" i="4"/>
  <c r="AQ14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C30" i="4" l="1"/>
  <c r="AC18" i="4"/>
  <c r="AC29" i="4"/>
  <c r="AC17" i="4"/>
  <c r="AC28" i="4"/>
  <c r="AC16" i="4"/>
  <c r="AC27" i="4"/>
  <c r="AC15" i="4"/>
  <c r="AC26" i="4"/>
  <c r="AC14" i="4"/>
  <c r="AC25" i="4"/>
  <c r="AC36" i="4"/>
  <c r="AC24" i="4"/>
  <c r="AC35" i="4"/>
  <c r="AC23" i="4"/>
  <c r="AC34" i="4"/>
  <c r="AC22" i="4"/>
  <c r="AC33" i="4"/>
  <c r="AC21" i="4"/>
  <c r="AC32" i="4"/>
  <c r="AC20" i="4"/>
  <c r="AC31" i="4"/>
  <c r="AC19" i="4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E35" i="4" l="1"/>
  <c r="AE36" i="4"/>
  <c r="AE34" i="4"/>
  <c r="AE33" i="4"/>
  <c r="AE32" i="4"/>
  <c r="AE31" i="4"/>
  <c r="AE30" i="4"/>
  <c r="AE29" i="4"/>
  <c r="AE28" i="4"/>
  <c r="AE26" i="4"/>
  <c r="AE27" i="4"/>
  <c r="AE25" i="4"/>
  <c r="AE24" i="4"/>
  <c r="AE23" i="4"/>
  <c r="AE22" i="4"/>
  <c r="AE21" i="4"/>
  <c r="AE20" i="4"/>
  <c r="AE19" i="4"/>
  <c r="AE18" i="4"/>
  <c r="AE16" i="4"/>
  <c r="AE17" i="4"/>
  <c r="AE14" i="4"/>
  <c r="AE15" i="4"/>
  <c r="AA15" i="4"/>
  <c r="S4" i="3"/>
  <c r="N6" i="4"/>
  <c r="N12" i="4"/>
  <c r="AA16" i="4" l="1"/>
  <c r="S5" i="3"/>
  <c r="AA17" i="4" l="1"/>
  <c r="AA14" i="3"/>
  <c r="J11" i="3"/>
  <c r="J10" i="3"/>
  <c r="J9" i="3"/>
  <c r="J8" i="3"/>
  <c r="J7" i="3"/>
  <c r="J6" i="3"/>
  <c r="AI14" i="3"/>
  <c r="AG14" i="3"/>
  <c r="AK14" i="3"/>
  <c r="AC14" i="3" l="1"/>
  <c r="AA18" i="4"/>
  <c r="AA15" i="3"/>
  <c r="S7" i="3"/>
  <c r="L14" i="3" s="1"/>
  <c r="S3" i="3"/>
  <c r="S2" i="3"/>
  <c r="AB14" i="3"/>
  <c r="AI15" i="3"/>
  <c r="AK15" i="3"/>
  <c r="AG15" i="3"/>
  <c r="N12" i="3"/>
  <c r="AB15" i="3"/>
  <c r="AC15" i="3" l="1"/>
  <c r="AE14" i="3"/>
  <c r="AA16" i="3"/>
  <c r="AA19" i="4"/>
  <c r="B2" i="3"/>
  <c r="C7" i="3"/>
  <c r="C6" i="3"/>
  <c r="C5" i="3"/>
  <c r="C4" i="3"/>
  <c r="AK16" i="3"/>
  <c r="AI16" i="3"/>
  <c r="AG16" i="3"/>
  <c r="N6" i="3"/>
  <c r="AB16" i="3"/>
  <c r="AC16" i="3" l="1"/>
  <c r="AE15" i="3"/>
  <c r="AA17" i="3"/>
  <c r="AA20" i="4"/>
  <c r="AG17" i="3"/>
  <c r="AK17" i="3"/>
  <c r="AI17" i="3"/>
  <c r="AB17" i="3" s="1"/>
  <c r="AC17" i="3" l="1"/>
  <c r="AE16" i="3"/>
  <c r="AA18" i="3"/>
  <c r="AA21" i="4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B8" i="2"/>
  <c r="B7" i="2"/>
  <c r="B6" i="2"/>
  <c r="AG18" i="3"/>
  <c r="AK18" i="3"/>
  <c r="AI18" i="3"/>
  <c r="AB18" i="3" s="1"/>
  <c r="AC18" i="3" l="1"/>
  <c r="AE17" i="3"/>
  <c r="AA19" i="3"/>
  <c r="B2" i="2"/>
  <c r="B4" i="2"/>
  <c r="AG19" i="3"/>
  <c r="AK19" i="3"/>
  <c r="AI19" i="3"/>
  <c r="AB19" i="3" s="1"/>
  <c r="AC19" i="3" l="1"/>
  <c r="AE18" i="3"/>
  <c r="AA20" i="3"/>
  <c r="C6" i="1"/>
  <c r="AG20" i="3"/>
  <c r="AK20" i="3"/>
  <c r="AI20" i="3"/>
  <c r="AB20" i="3" s="1"/>
  <c r="O9" i="4"/>
  <c r="O7" i="4"/>
  <c r="O8" i="4"/>
  <c r="N7" i="4"/>
  <c r="N10" i="4"/>
  <c r="N8" i="4"/>
  <c r="O10" i="4"/>
  <c r="AC20" i="3" l="1"/>
  <c r="AA21" i="3"/>
  <c r="AE19" i="3"/>
  <c r="N5" i="4"/>
  <c r="AI21" i="3"/>
  <c r="AG21" i="3"/>
  <c r="AK21" i="3"/>
  <c r="AB21" i="3" s="1"/>
  <c r="N9" i="4"/>
  <c r="O6" i="4"/>
  <c r="AC21" i="3" l="1"/>
  <c r="AE20" i="3"/>
  <c r="AA22" i="3"/>
  <c r="O5" i="4"/>
  <c r="AK22" i="3"/>
  <c r="AG22" i="3"/>
  <c r="AI22" i="3"/>
  <c r="AB22" i="3" s="1"/>
  <c r="AC22" i="3" l="1"/>
  <c r="AE22" i="3" s="1"/>
  <c r="AE21" i="3"/>
  <c r="AA23" i="3"/>
  <c r="AI23" i="3"/>
  <c r="AG23" i="3"/>
  <c r="AK23" i="3"/>
  <c r="AB23" i="3" s="1"/>
  <c r="AC23" i="3" l="1"/>
  <c r="AA24" i="3"/>
  <c r="O10" i="3"/>
  <c r="O7" i="3"/>
  <c r="O9" i="3"/>
  <c r="O8" i="3"/>
  <c r="AI24" i="3"/>
  <c r="AG24" i="3"/>
  <c r="AK24" i="3"/>
  <c r="AB24" i="3" s="1"/>
  <c r="AC24" i="3" l="1"/>
  <c r="AE23" i="3"/>
  <c r="AA25" i="3"/>
  <c r="N10" i="3"/>
  <c r="N8" i="3"/>
  <c r="AI25" i="3"/>
  <c r="AG25" i="3"/>
  <c r="AK25" i="3"/>
  <c r="AB25" i="3" s="1"/>
  <c r="AC25" i="3" l="1"/>
  <c r="AA26" i="3"/>
  <c r="AE24" i="3"/>
  <c r="N7" i="3"/>
  <c r="AI26" i="3"/>
  <c r="AG26" i="3"/>
  <c r="AK26" i="3"/>
  <c r="AB26" i="3" s="1"/>
  <c r="AC26" i="3" l="1"/>
  <c r="N5" i="3"/>
  <c r="AA27" i="3"/>
  <c r="AE25" i="3"/>
  <c r="AK27" i="3"/>
  <c r="AI27" i="3"/>
  <c r="AG27" i="3"/>
  <c r="AB27" i="3"/>
  <c r="AC27" i="3" l="1"/>
  <c r="AA28" i="3"/>
  <c r="AE26" i="3"/>
  <c r="AI28" i="3"/>
  <c r="AK28" i="3"/>
  <c r="AG28" i="3"/>
  <c r="AB28" i="3"/>
  <c r="AC28" i="3" l="1"/>
  <c r="AA29" i="3"/>
  <c r="AE27" i="3"/>
  <c r="AG29" i="3"/>
  <c r="AK29" i="3"/>
  <c r="AI29" i="3"/>
  <c r="AB29" i="3" s="1"/>
  <c r="AC29" i="3" l="1"/>
  <c r="AA30" i="3"/>
  <c r="AE28" i="3"/>
  <c r="AG30" i="3"/>
  <c r="AK30" i="3"/>
  <c r="AI30" i="3"/>
  <c r="AB30" i="3" s="1"/>
  <c r="AC30" i="3" l="1"/>
  <c r="AA31" i="3"/>
  <c r="AE29" i="3"/>
  <c r="AG31" i="3"/>
  <c r="AK31" i="3"/>
  <c r="AI31" i="3"/>
  <c r="AB31" i="3" s="1"/>
  <c r="AC31" i="3" l="1"/>
  <c r="AA32" i="3"/>
  <c r="AE30" i="3"/>
  <c r="AG32" i="3"/>
  <c r="AK32" i="3"/>
  <c r="AI32" i="3"/>
  <c r="AB32" i="3" s="1"/>
  <c r="AC32" i="3" l="1"/>
  <c r="AA33" i="3"/>
  <c r="AE31" i="3"/>
  <c r="AK33" i="3"/>
  <c r="AG33" i="3"/>
  <c r="AI33" i="3"/>
  <c r="AB33" i="3" s="1"/>
  <c r="AC33" i="3" l="1"/>
  <c r="AA34" i="3"/>
  <c r="AE32" i="3"/>
  <c r="AG34" i="3"/>
  <c r="AK34" i="3"/>
  <c r="AI34" i="3"/>
  <c r="AB34" i="3" s="1"/>
  <c r="AC34" i="3" l="1"/>
  <c r="AA35" i="3"/>
  <c r="AE33" i="3"/>
  <c r="AG35" i="3"/>
  <c r="AK35" i="3"/>
  <c r="AI35" i="3"/>
  <c r="AB35" i="3" s="1"/>
  <c r="AC35" i="3" l="1"/>
  <c r="AA36" i="3"/>
  <c r="AE34" i="3"/>
  <c r="AI36" i="3"/>
  <c r="AG36" i="3"/>
  <c r="AK36" i="3"/>
  <c r="AB36" i="3" s="1"/>
  <c r="AC36" i="3" l="1"/>
  <c r="AA37" i="3"/>
  <c r="AE35" i="3"/>
  <c r="AI37" i="3"/>
  <c r="AG37" i="3"/>
  <c r="AK37" i="3"/>
  <c r="AB37" i="3" s="1"/>
  <c r="AC37" i="3" l="1"/>
  <c r="AA38" i="3"/>
  <c r="AE36" i="3"/>
  <c r="AI38" i="3"/>
  <c r="AG38" i="3"/>
  <c r="AK38" i="3"/>
  <c r="AB38" i="3" s="1"/>
  <c r="AC38" i="3" l="1"/>
  <c r="AA39" i="3"/>
  <c r="AE37" i="3"/>
  <c r="AI39" i="3"/>
  <c r="AK39" i="3"/>
  <c r="AG39" i="3"/>
  <c r="AB39" i="3"/>
  <c r="AC39" i="3" l="1"/>
  <c r="AA40" i="3"/>
  <c r="AE38" i="3"/>
  <c r="AG40" i="3"/>
  <c r="AK40" i="3"/>
  <c r="AI40" i="3"/>
  <c r="AB40" i="3" s="1"/>
  <c r="AC40" i="3" l="1"/>
  <c r="AA41" i="3"/>
  <c r="AE39" i="3"/>
  <c r="AG41" i="3"/>
  <c r="AK41" i="3"/>
  <c r="AI41" i="3"/>
  <c r="AB41" i="3" s="1"/>
  <c r="AC41" i="3" l="1"/>
  <c r="AA42" i="3"/>
  <c r="AE40" i="3"/>
  <c r="AG42" i="3"/>
  <c r="AK42" i="3"/>
  <c r="AI42" i="3"/>
  <c r="AB42" i="3" s="1"/>
  <c r="AC42" i="3" l="1"/>
  <c r="AA43" i="3"/>
  <c r="AE41" i="3"/>
  <c r="AG43" i="3"/>
  <c r="AK43" i="3"/>
  <c r="AI43" i="3"/>
  <c r="AB43" i="3" s="1"/>
  <c r="AC43" i="3" l="1"/>
  <c r="AE42" i="3"/>
  <c r="N11" i="3"/>
  <c r="O6" i="3"/>
  <c r="N9" i="3"/>
  <c r="O5" i="3" l="1"/>
  <c r="AE4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sharedStrings.xml><?xml version="1.0" encoding="utf-8"?>
<sst xmlns="http://schemas.openxmlformats.org/spreadsheetml/2006/main" count="182" uniqueCount="138">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</sst>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9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numFmt numFmtId="1" formatCode="0"/>
    </dxf>
    <dxf>
      <numFmt numFmtId="1" formatCode="0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4A4C2B-7263-4D6E-83EC-C0C4066098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865A7A-94F2-4EC0-BFCE-8BE9E09917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0F0B53-34E2-45F7-ADB5-DD098E85AD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845C3B-DE66-4D22-8B39-6653641D09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29FC01-19AF-43E2-9BA8-974D7E7E9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C03D5D-18E1-47A6-A236-7B8A68FF7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A82F71-CDD4-4301-80D5-AEC7B926E2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D880AF-F2C0-4A38-9F26-E1DC044C00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A1AFD7-2A29-43DB-9892-81CE77CA33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3D8386-5C62-4A84-99FF-532526E2A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905A71-E3EF-43EF-9DA0-41B368614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D4BF7A-0FAC-4B1B-A593-8C96D5F220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AE2CCF-8031-4AB9-89F4-50A2B930F0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494CB9F-2872-44D4-982A-C38A83FE85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B448A0-7B3F-4997-97A8-C7B09510A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0424FF-E24D-4A70-907F-14BBD702B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4B9E06-9322-4A24-A600-377B77930F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758E87-E74D-4791-8937-84B1342117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D39F60-E365-4AAC-8CC7-5685A97F7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705340D-F460-4631-A30D-15AFBDECB1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399EE1-73F8-4D98-9CDB-20B2E3BF84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BB5FB8-BD63-42CB-94C4-C6B1A08997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E3E053-726D-416A-BF10-0B522BBFF7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098D7C-392E-4B19-B030-F6180B9A9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6DB1AA5-E7A1-4ACC-9125-287501D24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0D7735-8602-4444-B57E-FF6F87AD2B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842F48-DB81-4017-B6EF-0360D700E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F666AD-F838-4A9B-8B45-C25C346344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3D843E-F1E3-40D6-8975-69CA745FBD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C9AF55-D558-4D19-BD15-C4AFD990B2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1145.4545454545455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3054.545454545455</c:v>
                </c:pt>
                <c:pt idx="11">
                  <c:v>3600.0000000000005</c:v>
                </c:pt>
                <c:pt idx="12">
                  <c:v>3872.727272727273</c:v>
                </c:pt>
                <c:pt idx="13">
                  <c:v>4145.454545454546</c:v>
                </c:pt>
                <c:pt idx="14">
                  <c:v>4418.1818181818189</c:v>
                </c:pt>
                <c:pt idx="15">
                  <c:v>4690.9090909090919</c:v>
                </c:pt>
                <c:pt idx="16">
                  <c:v>4963.6363636363649</c:v>
                </c:pt>
                <c:pt idx="17">
                  <c:v>5236.3636363636379</c:v>
                </c:pt>
                <c:pt idx="18">
                  <c:v>5719.6172248803841</c:v>
                </c:pt>
                <c:pt idx="19">
                  <c:v>6255.5023923444987</c:v>
                </c:pt>
                <c:pt idx="20">
                  <c:v>6736.8421052631593</c:v>
                </c:pt>
                <c:pt idx="21">
                  <c:v>7000.0000000000018</c:v>
                </c:pt>
                <c:pt idx="22">
                  <c:v>7263.1578947368434</c:v>
                </c:pt>
                <c:pt idx="23">
                  <c:v>7526.3157894736851</c:v>
                </c:pt>
                <c:pt idx="24">
                  <c:v>7789.4736842105267</c:v>
                </c:pt>
                <c:pt idx="25">
                  <c:v>8052.6315789473683</c:v>
                </c:pt>
                <c:pt idx="26">
                  <c:v>8315.78947368421</c:v>
                </c:pt>
                <c:pt idx="27">
                  <c:v>8578.9473684210516</c:v>
                </c:pt>
                <c:pt idx="28">
                  <c:v>8842.1052631578932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80CF3D9-B1FB-4574-B4DC-E9BCA59938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898267-3BBF-4680-91EC-A624115BC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B80C4D-F98E-4B0F-8AF0-06B5FF369D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F4F046-CD9F-47BF-B47F-DF58275891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5CBB9E-18F0-4F6A-9F82-C85B175108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7D66F9-473A-4909-9881-896B19202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552214-8661-480F-A7E5-4FBCFED9F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BA79D8-7B0C-429F-B4BE-F3FCC26446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C3D46C-9FEC-40CB-9689-D4CE3101CB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0DC2DE-8893-49CC-8F7A-81C4E8D66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B03CB2-3CD2-4D72-9870-374ADDC7AA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D238C4-49DF-417A-8F6E-CEA12D9E0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5E44F4-D4F7-44D9-A537-3FD08A5C92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D63420-2874-4CFF-9C7E-433A672987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CDE036-6331-431C-9F89-87D15F8263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BCA20E-6B80-4117-BD00-3DB168499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ABAC1E-5B79-4974-AE6A-88EEC2FCB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BEA853-49CA-4927-9D3B-1602CA582E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45EC35-551D-4FD1-AF78-AE29A62BF5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80D9E5-2C75-492E-BE65-08497BBC14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4F8867-0410-4AEE-831B-3197589974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F060F7F-CF50-4D1B-B9EC-A0800E10F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EB24DA-1305-449F-8B1B-ABAA8A68B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9" dataDxfId="68">
  <autoFilter ref="R13:X16" xr:uid="{FF2C9E8B-1A62-479C-AF68-79B236C0B7BB}"/>
  <tableColumns count="7">
    <tableColumn id="1" xr3:uid="{727C6146-39EA-4E15-8783-53CAA87FAF36}" name="Zone ID" dataDxfId="67"/>
    <tableColumn id="2" xr3:uid="{2CA65110-6DD7-46D8-BFC2-5EB0C0E57567}" name="Description" dataDxfId="66"/>
    <tableColumn id="3" xr3:uid="{12D64F80-6A69-494F-BF8F-E326D34A185A}" name="Short Description" dataDxfId="65"/>
    <tableColumn id="4" xr3:uid="{71F3F5B2-8F6B-4985-B1FC-5A9D60095474}" name="Start Date" dataDxfId="64"/>
    <tableColumn id="5" xr3:uid="{57258378-8FED-4727-89AC-D938CB414B7B}" name="Finish Date" dataDxfId="6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6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61">
      <calculatedColumnFormula>IF(AA13 = "Date", $S$4, AA13+7)</calculatedColumnFormula>
    </tableColumn>
    <tableColumn id="6" xr3:uid="{5740AC03-CF53-4345-8667-6AC0CA6843D0}" name="Primary Areas" dataDxfId="60">
      <calculatedColumnFormula>PrimaryAreas(3)</calculatedColumnFormula>
    </tableColumn>
    <tableColumn id="2" xr3:uid="{AF232D3D-EC3F-4232-BA5D-1427173C2D6A}" name="Weekly Plan" dataDxfId="59">
      <calculatedColumnFormula xml:space="preserve"> IF(#REF!="", 0,#REF!)+ IF(#REF!="", 0,#REF!)+ IF(#REF!="", 0,#REF!)</calculatedColumnFormula>
    </tableColumn>
    <tableColumn id="3" xr3:uid="{B28103F6-7596-4848-9F0D-3E4A9E5CBEFE}" name="Weekly Actual" dataDxfId="58">
      <calculatedColumnFormula>IF(AND(ISBLANK(#REF!),ISBLANK(#REF!),ISBLANK(#REF!)),"",#REF! +#REF!+#REF!)</calculatedColumnFormula>
    </tableColumn>
    <tableColumn id="4" xr3:uid="{EF1C6009-71E6-491B-B64F-04049D2D9103}" name="Accumulated Plan" dataDxfId="57">
      <calculatedColumnFormula>SUM($AC$14:AC14)</calculatedColumnFormula>
    </tableColumn>
    <tableColumn id="5" xr3:uid="{442DAB73-1233-4C61-8DE9-3B44CE2C5D69}" name="Accumulated Actual" dataDxfId="56">
      <calculatedColumnFormula>IF(AD14="",NA(),SUM($AD$14:AD14))</calculatedColumnFormula>
    </tableColumn>
    <tableColumn id="31" xr3:uid="{6DB4FBEA-501D-4F03-9B13-BF8212A253A5}" name="WP_A1" dataDxfId="2">
      <calculatedColumnFormula>WeeklyPlanned(Output_Template[[#Headers],[WP_A1]], Output_Template[[#This Row],[Date]])</calculatedColumnFormula>
    </tableColumn>
    <tableColumn id="32" xr3:uid="{5262E85E-DF83-474A-B4EA-C366D915A5FB}" name="WA_A1" dataDxfId="21"/>
    <tableColumn id="33" xr3:uid="{124DE6F9-88FB-429D-8209-421CFCD07EE7}" name="WP_A2" dataDxfId="1">
      <calculatedColumnFormula>WeeklyPlanned(Output_Template[[#Headers],[WP_A2]], Output_Template[[#This Row],[Date]])</calculatedColumnFormula>
    </tableColumn>
    <tableColumn id="34" xr3:uid="{31C7B710-E3C1-443E-8824-5C6F0BC71A7B}" name="WA_A2" dataDxfId="20"/>
    <tableColumn id="35" xr3:uid="{182FC912-F5B0-469C-AE4E-C6C142066F42}" name="WP_A3" dataDxfId="0">
      <calculatedColumnFormula>WeeklyPlanned(Output_Template[[#Headers],[WP_A3]], Output_Template[[#This Row],[Date]])</calculatedColumnFormula>
    </tableColumn>
    <tableColumn id="36" xr3:uid="{68A5C8A6-B59C-4A40-9EBB-1A46601E9585}" name="WA_A3" dataDxfId="19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55">
  <autoFilter ref="H2:H5" xr:uid="{1041DC80-58D6-4308-9DE1-A4EC8AAD3C20}"/>
  <tableColumns count="1">
    <tableColumn id="1" xr3:uid="{0E6D3E77-7CB7-40A1-BCA6-DDC8164AAEB9}" name="Holidays" dataDxfId="5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53" dataDxfId="52">
  <autoFilter ref="R13:X21" xr:uid="{FF2C9E8B-1A62-479C-AF68-79B236C0B7BB}"/>
  <tableColumns count="7">
    <tableColumn id="1" xr3:uid="{5AA37268-DD16-498C-9169-AE2EA9DA526A}" name="Zone ID" dataDxfId="51"/>
    <tableColumn id="2" xr3:uid="{0E3A0621-3CBD-40FC-B7C1-86ED2397BCEE}" name="Description" dataDxfId="50"/>
    <tableColumn id="3" xr3:uid="{5A73CD5C-5126-40F4-B5B3-C7A438ED4F4F}" name="Short Description" dataDxfId="49"/>
    <tableColumn id="4" xr3:uid="{CDB025F5-BA1E-4D3D-9F16-1E7E8B24997A}" name="Start Date" dataDxfId="48"/>
    <tableColumn id="5" xr3:uid="{A32C4534-D094-4392-BDFF-D9E6184B332E}" name="Finish Date" dataDxfId="47"/>
    <tableColumn id="6" xr3:uid="{4EBF5FA0-D78E-4850-9053-2FD3D4DF8DDF}" name="Total" dataDxfId="46" dataCellStyle="Linked Cell"/>
    <tableColumn id="7" xr3:uid="{2024E4D3-6ED3-428B-AA0E-731077A47B05}" name="Completed Total" dataDxfId="45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4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43">
      <calculatedColumnFormula>IF(AA13 = "Date", $S$4, AA13+7)</calculatedColumnFormula>
    </tableColumn>
    <tableColumn id="6" xr3:uid="{001A0E6C-64CB-4894-8C22-5853E33F6BB2}" name="Primary Areas" dataDxfId="42">
      <calculatedColumnFormula>PrimaryAreas(8)</calculatedColumnFormula>
    </tableColumn>
    <tableColumn id="2" xr3:uid="{1360E334-97F5-432E-BB23-793619A14458}" name="Weekly Plan" dataDxfId="4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4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9">
      <calculatedColumnFormula>SUM($AC$14:AC14)</calculatedColumnFormula>
    </tableColumn>
    <tableColumn id="5" xr3:uid="{1924FD4A-42CB-49CF-B4A5-079079B5D0F3}" name="Accumulated Actual" dataDxfId="38">
      <calculatedColumnFormula>IF(AD14="",NA(),SUM($AD$14:AD14))</calculatedColumnFormula>
    </tableColumn>
    <tableColumn id="23" xr3:uid="{9D909FAC-40FF-4109-8EAE-74DFABFF8319}" name="WP_ABC" dataDxfId="29">
      <calculatedColumnFormula>WeeklyPlanned(Output_0000[[#Headers],[WP_ABC]], Output_0000[[#This Row],[Date]])</calculatedColumnFormula>
    </tableColumn>
    <tableColumn id="24" xr3:uid="{92ADE5B7-CAEC-41A0-B928-8F7F4344FE26}" name="WA_ABC" dataDxfId="37"/>
    <tableColumn id="25" xr3:uid="{F7FD9E19-6CFF-44A1-AF87-237747B65D1E}" name="WP_ACS" dataDxfId="28">
      <calculatedColumnFormula>WeeklyPlanned(Output_0000[[#Headers],[WP_ACS]], Output_0000[[#This Row],[Date]])</calculatedColumnFormula>
    </tableColumn>
    <tableColumn id="26" xr3:uid="{1FD6096E-155A-48FA-BF57-ABEB209A76A8}" name="WA_ACS" dataDxfId="36"/>
    <tableColumn id="27" xr3:uid="{C32CB5E4-987A-4E05-BFD2-AD1BA55323A7}" name="WP_AL1" dataDxfId="27">
      <calculatedColumnFormula>WeeklyPlanned(Output_0000[[#Headers],[WP_AL1]], Output_0000[[#This Row],[Date]])</calculatedColumnFormula>
    </tableColumn>
    <tableColumn id="28" xr3:uid="{741EC55D-ACF8-45FE-B760-246C2984AB76}" name="WA_AL1" dataDxfId="35"/>
    <tableColumn id="29" xr3:uid="{02D5C536-D7AB-4845-AF46-BA557A0711BE}" name="WP_HBase" dataDxfId="26">
      <calculatedColumnFormula>WeeklyPlanned(Output_0000[[#Headers],[WP_HBase]], Output_0000[[#This Row],[Date]])</calculatedColumnFormula>
    </tableColumn>
    <tableColumn id="30" xr3:uid="{6CFFBF9B-4C23-4C48-B9B4-2C3A9A72CE8C}" name="WA_HBase" dataDxfId="34"/>
    <tableColumn id="31" xr3:uid="{27A2EB7B-E3EA-47B1-A3F2-FFBF58F06F0D}" name="WP_HWST" dataDxfId="25">
      <calculatedColumnFormula>WeeklyPlanned(Output_0000[[#Headers],[WP_HWST]], Output_0000[[#This Row],[Date]])</calculatedColumnFormula>
    </tableColumn>
    <tableColumn id="32" xr3:uid="{1F1D10B3-084B-4075-8E04-CBCE81737E69}" name="WA_HWST" dataDxfId="33"/>
    <tableColumn id="33" xr3:uid="{127722D0-80A4-4F75-9175-6D2C54EBC191}" name="WP_HWSR" dataDxfId="24">
      <calculatedColumnFormula>WeeklyPlanned(Output_0000[[#Headers],[WP_HWSR]], Output_0000[[#This Row],[Date]])</calculatedColumnFormula>
    </tableColumn>
    <tableColumn id="34" xr3:uid="{ED1A96FC-35C0-4018-81E1-B3B51101AB44}" name="WA_HWSR" dataDxfId="32"/>
    <tableColumn id="35" xr3:uid="{584725E1-3456-4D62-8919-994293AB89D3}" name="WP_HL2" dataDxfId="23">
      <calculatedColumnFormula>WeeklyPlanned(Output_0000[[#Headers],[WP_HL2]], Output_0000[[#This Row],[Date]])</calculatedColumnFormula>
    </tableColumn>
    <tableColumn id="36" xr3:uid="{0D58AE03-CEC6-4352-9275-206C438024A6}" name="WA_HL2" dataDxfId="31"/>
    <tableColumn id="37" xr3:uid="{76718DA7-C2F0-424A-9855-A1F7A4401A40}" name="WP_HBCeil" dataDxfId="22">
      <calculatedColumnFormula>WeeklyPlanned(Output_0000[[#Headers],[WP_HBCeil]], Output_0000[[#This Row],[Date]])</calculatedColumnFormula>
    </tableColumn>
    <tableColumn id="38" xr3:uid="{DF9E8E0F-9F93-4E51-85D2-94DDAA517F51}" name="WA_HBCeil" dataDxfId="3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T1" zoomScale="85" zoomScaleNormal="85" workbookViewId="0">
      <selection activeCell="AC7" sqref="AC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69" t="s">
        <v>94</v>
      </c>
      <c r="AB1" s="70"/>
    </row>
    <row r="2" spans="2:3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94">
        <v>43993.708321759259</v>
      </c>
      <c r="AF3" s="94"/>
    </row>
    <row r="4" spans="2:3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94">
        <v>43993.708761574075</v>
      </c>
      <c r="AF4" s="94"/>
    </row>
    <row r="5" spans="2:3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0.33939393939393941</v>
      </c>
      <c r="O5" s="33">
        <f ca="1">IF(ISERROR(O7/O6), 0, O7/O6)</f>
        <v>0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>
        <f ca="1">SUM(INDIRECT("Output_"&amp;$S$2&amp;"[Weekly Plan]"))</f>
        <v>8999.9999999999982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>
        <f ca="1">VLOOKUP($S$3, INDIRECT("Output_"&amp;$S$2), 5, FALSE)</f>
        <v>3054.545454545455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 t="shared" ref="AC7" si="0">TEXT(AC4-AC3, "hh:mm:ss.00")</f>
        <v>00:00:38.00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>
        <f ca="1">VLOOKUP($S$3, INDIRECT("Output_"&amp;$S$2), 3, FALSE)</f>
        <v>436.36363636363637</v>
      </c>
      <c r="O8" s="36" t="str">
        <f ca="1">VLOOKUP($S$3, INDIRECT("Output_"&amp;$S$2), 4, FALSE)</f>
        <v/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>
        <f ca="1">AVERAGE(INDIRECT("Output_"&amp;$S$2&amp;"[Weekly Plan]"))</f>
        <v>299.99999999999994</v>
      </c>
      <c r="O9" s="40" t="e">
        <f ca="1">AVERAGE(INDIRECT("AD14:AD" &amp;MATCH($S$3,INDIRECT("Output_"&amp;$S$2&amp;"[Date]"),0)+14))</f>
        <v>#DIV/0!</v>
      </c>
      <c r="T9" s="24" t="s">
        <v>136</v>
      </c>
      <c r="U9" s="3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340.90909090909093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92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319.09090909090889</v>
      </c>
      <c r="O11" s="40"/>
      <c r="AC11" s="93"/>
      <c r="AD11" s="93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71" t="s">
        <v>57</v>
      </c>
      <c r="K12" s="71"/>
      <c r="L12" s="71"/>
      <c r="M12" s="71"/>
      <c r="N12" s="72">
        <f ca="1">MAX(INDIRECT("Input_"&amp;$S$2&amp;"[Finish Date]"))</f>
        <v>44105</v>
      </c>
      <c r="O12" s="73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71" t="s">
        <v>58</v>
      </c>
      <c r="K13" s="71"/>
      <c r="L13" s="71"/>
      <c r="M13" s="71"/>
      <c r="N13" s="72"/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15" si="1">IF(AA13 = "Date", $S$4, AA13+7)</f>
        <v>43907</v>
      </c>
      <c r="AB14" s="56" t="str">
        <f ca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4" s="58">
        <f ca="1">SUM($AC$14:AC14)</f>
        <v>54.545454545454547</v>
      </c>
      <c r="AF14" s="58" t="e">
        <f>IF(AD14="",NA(),SUM($AD$14:AD14))</f>
        <v>#N/A</v>
      </c>
      <c r="AG14" s="58">
        <f ca="1">WeeklyPlanned(Output_Template[[#Headers],[WP_A1]], Output_Template[[#This Row],[Date]])</f>
        <v>54.545454545454547</v>
      </c>
      <c r="AH14" s="58"/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1"/>
        <v>43914</v>
      </c>
      <c r="AB15" s="56" t="str">
        <f ca="1">PrimaryAreas(3)</f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5" s="58">
        <f ca="1">SUM($AC$14:AC15)</f>
        <v>327.27272727272731</v>
      </c>
      <c r="AF15" s="58" t="e">
        <f>IF(AD15="",NA(),SUM($AD$14:AD15))</f>
        <v>#N/A</v>
      </c>
      <c r="AG15" s="58">
        <f ca="1">WeeklyPlanned(Output_Template[[#Headers],[WP_A1]], Output_Template[[#This Row],[Date]])</f>
        <v>272.72727272727275</v>
      </c>
      <c r="AH15" s="58"/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>IF(AA15 = "Date", $S$4, AA15+7)</f>
        <v>43921</v>
      </c>
      <c r="AB16" s="56" t="str">
        <f ca="1">PrimaryAreas(3)</f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6" s="58">
        <f ca="1">SUM($AC$14:AC16)</f>
        <v>600</v>
      </c>
      <c r="AF16" s="58" t="e">
        <f>IF(AD16="",NA(),SUM($AD$14:AD16))</f>
        <v>#N/A</v>
      </c>
      <c r="AG16" s="58">
        <f ca="1">WeeklyPlanned(Output_Template[[#Headers],[WP_A1]], Output_Template[[#This Row],[Date]])</f>
        <v>272.72727272727275</v>
      </c>
      <c r="AH16" s="58"/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>IF(AA16 = "Date", $S$4, AA16+7)</f>
        <v>43928</v>
      </c>
      <c r="AB17" s="56" t="str">
        <f ca="1">PrimaryAreas(3)</f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7" s="58">
        <f ca="1">SUM($AC$14:AC17)</f>
        <v>872.72727272727275</v>
      </c>
      <c r="AF17" s="58" t="e">
        <f>IF(AD17="",NA(),SUM($AD$14:AD17))</f>
        <v>#N/A</v>
      </c>
      <c r="AG17" s="58">
        <f ca="1">WeeklyPlanned(Output_Template[[#Headers],[WP_A1]], Output_Template[[#This Row],[Date]])</f>
        <v>272.72727272727275</v>
      </c>
      <c r="AH17" s="58"/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>IF(AA17 = "Date", $S$4, AA17+7)</f>
        <v>43935</v>
      </c>
      <c r="AB18" s="56" t="str">
        <f ca="1">PrimaryAreas(3)</f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8" s="58">
        <f ca="1">SUM($AC$14:AC18)</f>
        <v>1145.4545454545455</v>
      </c>
      <c r="AF18" s="58" t="e">
        <f>IF(AD18="",NA(),SUM($AD$14:AD18))</f>
        <v>#N/A</v>
      </c>
      <c r="AG18" s="58">
        <f ca="1">WeeklyPlanned(Output_Template[[#Headers],[WP_A1]], Output_Template[[#This Row],[Date]])</f>
        <v>272.72727272727275</v>
      </c>
      <c r="AH18" s="58"/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>IF(AA18 = "Date", $S$4, AA18+7)</f>
        <v>43942</v>
      </c>
      <c r="AB19" s="56" t="str">
        <f ca="1">PrimaryAreas(3)</f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19" s="58">
        <f ca="1">SUM($AC$14:AC19)</f>
        <v>1418.1818181818182</v>
      </c>
      <c r="AF19" s="58" t="e">
        <f>IF(AD19="",NA(),SUM($AD$14:AD19))</f>
        <v>#N/A</v>
      </c>
      <c r="AG19" s="58">
        <f ca="1">WeeklyPlanned(Output_Template[[#Headers],[WP_A1]], Output_Template[[#This Row],[Date]])</f>
        <v>272.72727272727275</v>
      </c>
      <c r="AH19" s="58"/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>IF(AA19 = "Date", $S$4, AA19+7)</f>
        <v>43949</v>
      </c>
      <c r="AB20" s="56" t="str">
        <f ca="1">PrimaryAreas(3)</f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0" s="58">
        <f ca="1">SUM($AC$14:AC20)</f>
        <v>1690.909090909091</v>
      </c>
      <c r="AF20" s="58" t="e">
        <f>IF(AD20="",NA(),SUM($AD$14:AD20))</f>
        <v>#N/A</v>
      </c>
      <c r="AG20" s="58">
        <f ca="1">WeeklyPlanned(Output_Template[[#Headers],[WP_A1]], Output_Template[[#This Row],[Date]])</f>
        <v>272.72727272727275</v>
      </c>
      <c r="AH20" s="58"/>
      <c r="AI20" s="58" t="str">
        <f ca="1">WeeklyPlanned(Output_Template[[#Headers],[WP_A2]], Output_Template[[#This Row],[Date]])</f>
        <v/>
      </c>
      <c r="AJ20" s="58"/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>IF(AA20 = "Date", $S$4, AA20+7)</f>
        <v>43956</v>
      </c>
      <c r="AB21" s="56" t="str">
        <f ca="1">PrimaryAreas(3)</f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1" s="58">
        <f ca="1">SUM($AC$14:AC21)</f>
        <v>1963.6363636363637</v>
      </c>
      <c r="AF21" s="58" t="e">
        <f>IF(AD21="",NA(),SUM($AD$14:AD21))</f>
        <v>#N/A</v>
      </c>
      <c r="AG21" s="58">
        <f ca="1">WeeklyPlanned(Output_Template[[#Headers],[WP_A1]], Output_Template[[#This Row],[Date]])</f>
        <v>272.72727272727275</v>
      </c>
      <c r="AH21" s="58"/>
      <c r="AI21" s="58" t="str">
        <f ca="1">WeeklyPlanned(Output_Template[[#Headers],[WP_A2]], Output_Template[[#This Row],[Date]])</f>
        <v/>
      </c>
      <c r="AJ21" s="58"/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>IF(AA21 = "Date", $S$4, AA21+7)</f>
        <v>43963</v>
      </c>
      <c r="AB22" s="56" t="str">
        <f ca="1">PrimaryAreas(3)</f>
        <v>A1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2" s="58">
        <f ca="1">SUM($AC$14:AC22)</f>
        <v>2236.3636363636365</v>
      </c>
      <c r="AF22" s="58" t="e">
        <f>IF(AD22="",NA(),SUM($AD$14:AD22))</f>
        <v>#N/A</v>
      </c>
      <c r="AG22" s="58">
        <f ca="1">WeeklyPlanned(Output_Template[[#Headers],[WP_A1]], Output_Template[[#This Row],[Date]])</f>
        <v>272.72727272727275</v>
      </c>
      <c r="AH22" s="58"/>
      <c r="AI22" s="58" t="str">
        <f ca="1">WeeklyPlanned(Output_Template[[#Headers],[WP_A2]], Output_Template[[#This Row],[Date]])</f>
        <v/>
      </c>
      <c r="AJ22" s="58"/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>IF(AA22 = "Date", $S$4, AA22+7)</f>
        <v>43970</v>
      </c>
      <c r="AB23" s="56" t="str">
        <f ca="1">PrimaryAreas(3)</f>
        <v>A1, 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3" s="58">
        <f ca="1">SUM($AC$14:AC23)</f>
        <v>2618.1818181818185</v>
      </c>
      <c r="AF23" s="58" t="e">
        <f>IF(AD23="",NA(),SUM($AD$14:AD23))</f>
        <v>#N/A</v>
      </c>
      <c r="AG23" s="58">
        <f ca="1">WeeklyPlanned(Output_Template[[#Headers],[WP_A1]], Output_Template[[#This Row],[Date]])</f>
        <v>272.72727272727275</v>
      </c>
      <c r="AH23" s="58"/>
      <c r="AI23" s="58">
        <f ca="1">WeeklyPlanned(Output_Template[[#Headers],[WP_A2]], Output_Template[[#This Row],[Date]])</f>
        <v>109.09090909090909</v>
      </c>
      <c r="AJ23" s="58"/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>IF(AA23 = "Date", $S$4, AA23+7)</f>
        <v>43977</v>
      </c>
      <c r="AB24" s="56" t="str">
        <f ca="1">PrimaryAreas(3)</f>
        <v>A1, 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4" s="58">
        <f ca="1">SUM($AC$14:AC24)</f>
        <v>3054.545454545455</v>
      </c>
      <c r="AF24" s="58" t="e">
        <f>IF(AD24="",NA(),SUM($AD$14:AD24))</f>
        <v>#N/A</v>
      </c>
      <c r="AG24" s="58">
        <f ca="1">WeeklyPlanned(Output_Template[[#Headers],[WP_A1]], Output_Template[[#This Row],[Date]])</f>
        <v>218.18181818181819</v>
      </c>
      <c r="AH24" s="58"/>
      <c r="AI24" s="58">
        <f ca="1">WeeklyPlanned(Output_Template[[#Headers],[WP_A2]], Output_Template[[#This Row],[Date]])</f>
        <v>218.18181818181819</v>
      </c>
      <c r="AJ24" s="58"/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>IF(AA24 = "Date", $S$4, AA24+7)</f>
        <v>43984</v>
      </c>
      <c r="AB25" s="56" t="str">
        <f ca="1">PrimaryAreas(3)</f>
        <v>A1, 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3600.0000000000005</v>
      </c>
      <c r="AF25" s="58" t="e">
        <f>IF(AD25="",NA(),SUM($AD$14:AD25))</f>
        <v>#N/A</v>
      </c>
      <c r="AG25" s="58">
        <f ca="1">WeeklyPlanned(Output_Template[[#Headers],[WP_A1]], Output_Template[[#This Row],[Date]])</f>
        <v>272.72727272727275</v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6" t="str">
        <f ca="1">PrimaryAreas(3)</f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3872.727272727273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6" t="str">
        <f ca="1">PrimaryAreas(3)</f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4145.454545454546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6" t="str">
        <f ca="1">PrimaryAreas(3)</f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4418.1818181818189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6" t="str">
        <f ca="1">PrimaryAreas(3)</f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4690.9090909090919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6" t="str">
        <f ca="1">PrimaryAreas(3)</f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4963.6363636363649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6" t="str">
        <f ca="1">PrimaryAreas(3)</f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5236.3636363636379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6" t="str">
        <f ca="1">PrimaryAreas(3)</f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5719.6172248803841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6" t="str">
        <f ca="1">PrimaryAreas(3)</f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6255.5023923444987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6" t="str">
        <f ca="1">PrimaryAreas(3)</f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6736.8421052631593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6" t="str">
        <f ca="1">PrimaryAreas(3)</f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7000.0000000000018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6" t="str">
        <f ca="1">PrimaryAreas(3)</f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7263.1578947368434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6" t="str">
        <f ca="1">PrimaryAreas(3)</f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7526.3157894736851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6" t="str">
        <f ca="1">PrimaryAreas(3)</f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7789.4736842105267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6" t="str">
        <f ca="1">PrimaryAreas(3)</f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8052.6315789473683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6" t="str">
        <f ca="1">PrimaryAreas(3)</f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>IF(AA40 = "Date", $S$4, AA40+7)</f>
        <v>44096</v>
      </c>
      <c r="AB41" s="56" t="str">
        <f ca="1">PrimaryAreas(3)</f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8578.9473684210516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>IF(AA41 = "Date", $S$4, AA41+7)</f>
        <v>44103</v>
      </c>
      <c r="AB42" s="56" t="str">
        <f ca="1">PrimaryAreas(3)</f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8842.1052631578932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>IF(AA42 = "Date", $S$4, AA42+7)</f>
        <v>44110</v>
      </c>
      <c r="AB43" s="56" t="str">
        <f ca="1">PrimaryAreas(3)</f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8999.9999999999982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19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</mergeCells>
  <phoneticPr fontId="6" type="noConversion"/>
  <conditionalFormatting sqref="AF14:AL43">
    <cfRule type="containsErrors" dxfId="18" priority="10">
      <formula>ISERROR(AF14)</formula>
    </cfRule>
  </conditionalFormatting>
  <conditionalFormatting sqref="W13:X13">
    <cfRule type="expression" dxfId="17" priority="8">
      <formula>IF(OR($S$8 = "Assemble Addin", $S$8 = "Bluebeam QL"), TRUE, FALSE)</formula>
    </cfRule>
  </conditionalFormatting>
  <conditionalFormatting sqref="N6:O6">
    <cfRule type="expression" dxfId="16" priority="7">
      <formula>IF($N$6=$O$6, FALSE, TRUE)</formula>
    </cfRule>
  </conditionalFormatting>
  <conditionalFormatting sqref="W14:X16">
    <cfRule type="expression" dxfId="15" priority="5">
      <formula>IF(OR($S$8 = "Assemble Addin", $S$8 = "Bluebeam QL"), TRUE, FALSE)</formula>
    </cfRule>
    <cfRule type="expression" dxfId="14" priority="6">
      <formula>IF(OR($S$8 = "Assemble Addin", $S$8 = "Bluebeam QL"), MOD(ROW(), 2)=0, FALSE)</formula>
    </cfRule>
  </conditionalFormatting>
  <conditionalFormatting sqref="R13">
    <cfRule type="expression" dxfId="13" priority="2">
      <formula>IF($S$8 = "Assemble Addin", TRUE, FALSE)</formula>
    </cfRule>
  </conditionalFormatting>
  <conditionalFormatting sqref="R14:R16">
    <cfRule type="expression" dxfId="12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88" t="s">
        <v>5</v>
      </c>
      <c r="F1" s="88"/>
      <c r="H1" s="2" t="s">
        <v>9</v>
      </c>
      <c r="K1" s="5" t="s">
        <v>12</v>
      </c>
      <c r="L1" s="5" t="s">
        <v>17</v>
      </c>
    </row>
    <row r="2" spans="2:12" ht="15.5" x14ac:dyDescent="0.35">
      <c r="B2" s="89" t="s">
        <v>6</v>
      </c>
      <c r="C2" s="89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106</v>
      </c>
      <c r="C11" s="4" t="s">
        <v>111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1" t="str">
        <f>"PROGRESS REPORT "&amp; TEXT(Report_Date, "mm/dd/yyy")</f>
        <v>PROGRESS REPORT 05/26/2020</v>
      </c>
      <c r="C2" s="91"/>
      <c r="D2" s="91"/>
      <c r="E2" s="91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0" t="s">
        <v>31</v>
      </c>
      <c r="C11" s="90"/>
      <c r="D11" s="90"/>
      <c r="E11" s="90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0" t="s">
        <v>32</v>
      </c>
      <c r="C15" s="90"/>
      <c r="D15" s="90"/>
      <c r="E15" s="90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0" t="s">
        <v>33</v>
      </c>
      <c r="C18" s="90"/>
      <c r="D18" s="90"/>
      <c r="E18" s="90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0" t="s">
        <v>34</v>
      </c>
      <c r="C21" s="90"/>
      <c r="D21" s="90"/>
      <c r="E21" s="90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0" t="s">
        <v>35</v>
      </c>
      <c r="C24" s="90"/>
      <c r="D24" s="90"/>
      <c r="E24" s="90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1" priority="1">
      <formula>IF(ISBLANK($D12), FALSE, IF(RedGreen_Formatting = "Enabled", $D12 &lt;= $E12 + Percent_Error, FALSE))</formula>
    </cfRule>
    <cfRule type="expression" dxfId="1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N11" sqref="N11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69" t="s">
        <v>94</v>
      </c>
      <c r="AB1" s="70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92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71" t="s">
        <v>57</v>
      </c>
      <c r="K12" s="71"/>
      <c r="L12" s="71"/>
      <c r="M12" s="71"/>
      <c r="N12" s="72">
        <f ca="1">MAX(INDIRECT("Input_"&amp;$S$2&amp;"[Finish Date]"))</f>
        <v>44195</v>
      </c>
      <c r="O12" s="73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71" t="s">
        <v>58</v>
      </c>
      <c r="K13" s="71"/>
      <c r="L13" s="71"/>
      <c r="M13" s="71"/>
      <c r="N13" s="72"/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ca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1">IF(AA14 = "Date", $S$4, AA14+7)</f>
        <v>44054</v>
      </c>
      <c r="AB15" s="56" t="str">
        <f ca="1">PrimaryAreas(8)</f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1"/>
        <v>44061</v>
      </c>
      <c r="AB16" s="56">
        <f ca="1">PrimaryAreas(8)</f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1"/>
        <v>44068</v>
      </c>
      <c r="AB17" s="56">
        <f ca="1">PrimaryAreas(8)</f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1"/>
        <v>44075</v>
      </c>
      <c r="AB18" s="56">
        <f ca="1">PrimaryAreas(8)</f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1"/>
        <v>44082</v>
      </c>
      <c r="AB19" s="56">
        <f ca="1">PrimaryAreas(8)</f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1"/>
        <v>44089</v>
      </c>
      <c r="AB20" s="56">
        <f ca="1">PrimaryAreas(8)</f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>IF(AA20 = "Date", $S$4, AA20+7)</f>
        <v>44096</v>
      </c>
      <c r="AB21" s="56" t="str">
        <f ca="1">PrimaryAreas(8)</f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>IF(AA21 = "Date", $S$4, AA21+7)</f>
        <v>44103</v>
      </c>
      <c r="AB22" s="56" t="str">
        <f ca="1">PrimaryAreas(8)</f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>IF(AA22 = "Date", $S$4, AA22+7)</f>
        <v>44110</v>
      </c>
      <c r="AB23" s="56" t="str">
        <f ca="1">PrimaryAreas(8)</f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>IF(AA23 = "Date", $S$4, AA23+7)</f>
        <v>44117</v>
      </c>
      <c r="AB24" s="56" t="str">
        <f ca="1">PrimaryAreas(8)</f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>IF(AA24 = "Date", $S$4, AA24+7)</f>
        <v>44124</v>
      </c>
      <c r="AB25" s="56" t="str">
        <f ca="1">PrimaryAreas(8)</f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>IF(AA25 = "Date", $S$4, AA25+7)</f>
        <v>44131</v>
      </c>
      <c r="AB26" s="56" t="str">
        <f ca="1">PrimaryAreas(8)</f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>IF(AA26 = "Date", $S$4, AA26+7)</f>
        <v>44138</v>
      </c>
      <c r="AB27" s="56" t="str">
        <f ca="1">PrimaryAreas(8)</f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>IF(AA27 = "Date", $S$4, AA27+7)</f>
        <v>44145</v>
      </c>
      <c r="AB28" s="56" t="str">
        <f ca="1">PrimaryAreas(8)</f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>IF(AA28 = "Date", $S$4, AA28+7)</f>
        <v>44152</v>
      </c>
      <c r="AB29" s="56" t="str">
        <f ca="1">PrimaryAreas(8)</f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>IF(AA29 = "Date", $S$4, AA29+7)</f>
        <v>44159</v>
      </c>
      <c r="AB30" s="56" t="str">
        <f ca="1">PrimaryAreas(8)</f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>IF(AA30 = "Date", $S$4, AA30+7)</f>
        <v>44166</v>
      </c>
      <c r="AB31" s="56" t="str">
        <f ca="1">PrimaryAreas(8)</f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>IF(AA31 = "Date", $S$4, AA31+7)</f>
        <v>44173</v>
      </c>
      <c r="AB32" s="56" t="str">
        <f ca="1">PrimaryAreas(8)</f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>IF(AA32 = "Date", $S$4, AA32+7)</f>
        <v>44180</v>
      </c>
      <c r="AB33" s="56" t="str">
        <f ca="1">PrimaryAreas(8)</f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>IF(AA33 = "Date", $S$4, AA33+7)</f>
        <v>44187</v>
      </c>
      <c r="AB34" s="56" t="str">
        <f ca="1">PrimaryAreas(8)</f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>IF(AA34 = "Date", $S$4, AA34+7)</f>
        <v>44194</v>
      </c>
      <c r="AB35" s="56" t="str">
        <f ca="1">PrimaryAreas(8)</f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>IF(AA35 = "Date", $S$4, AA35+7)</f>
        <v>44201</v>
      </c>
      <c r="AB36" s="56" t="str">
        <f ca="1">PrimaryAreas(8)</f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9" priority="7">
      <formula>ISERROR(AF14)</formula>
    </cfRule>
  </conditionalFormatting>
  <conditionalFormatting sqref="W13:X13">
    <cfRule type="expression" dxfId="8" priority="6">
      <formula>IF(OR($S$8 = "Assemble Addin", $S$8 = "Bluebeam QL"), TRUE, FALSE)</formula>
    </cfRule>
  </conditionalFormatting>
  <conditionalFormatting sqref="N6:O6">
    <cfRule type="expression" dxfId="7" priority="5">
      <formula>IF($N$6=$O$6, FALSE, TRUE)</formula>
    </cfRule>
  </conditionalFormatting>
  <conditionalFormatting sqref="W14:X21">
    <cfRule type="expression" dxfId="6" priority="3">
      <formula>IF(OR($S$8 = "Assemble Addin", $S$8 = "Bluebeam QL"), TRUE, FALSE)</formula>
    </cfRule>
    <cfRule type="expression" dxfId="5" priority="4">
      <formula>IF(OR($S$8 = "Assemble Addin", $S$8 = "Bluebeam QL"), MOD(ROW(), 2)=0, FALSE)</formula>
    </cfRule>
  </conditionalFormatting>
  <conditionalFormatting sqref="R13">
    <cfRule type="expression" dxfId="4" priority="2">
      <formula>IF($S$8 = "Assemble Addin", TRUE, FALSE)</formula>
    </cfRule>
  </conditionalFormatting>
  <conditionalFormatting sqref="R14:R21">
    <cfRule type="expression" dxfId="3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2020-06-11T23:04:36Z</dcterms:modified>
</cp:coreProperties>
</file>