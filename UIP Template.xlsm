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0FE3C5E1-4CA7-41AD-A1AB-E035F7D5F81B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0" l="1"/>
  <c r="C6" i="10"/>
  <c r="I33" i="2"/>
  <c r="I16" i="2"/>
  <c r="R1" i="3" l="1"/>
  <c r="R1" i="10"/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I30" i="11"/>
  <c r="AI39" i="11"/>
  <c r="AG19" i="11"/>
  <c r="AI35" i="11"/>
  <c r="AI17" i="11"/>
  <c r="AG15" i="11"/>
  <c r="AK26" i="11"/>
  <c r="AG36" i="11"/>
  <c r="AI33" i="11"/>
  <c r="AG43" i="11"/>
  <c r="AI24" i="11"/>
  <c r="AI40" i="11"/>
  <c r="AG23" i="11"/>
  <c r="AI34" i="11"/>
  <c r="AI19" i="11"/>
  <c r="AK40" i="11"/>
  <c r="AG31" i="11"/>
  <c r="AI41" i="11"/>
  <c r="AI18" i="11"/>
  <c r="AK22" i="11"/>
  <c r="AG22" i="11"/>
  <c r="AG38" i="11"/>
  <c r="AK30" i="11"/>
  <c r="AI27" i="11"/>
  <c r="AI23" i="11"/>
  <c r="AK39" i="11"/>
  <c r="AK43" i="11"/>
  <c r="AG16" i="11"/>
  <c r="AG39" i="11"/>
  <c r="AG17" i="11"/>
  <c r="AK15" i="11"/>
  <c r="AK27" i="11"/>
  <c r="AI28" i="11"/>
  <c r="AI25" i="11"/>
  <c r="AG18" i="11"/>
  <c r="AG26" i="11"/>
  <c r="AK16" i="11"/>
  <c r="AK33" i="11"/>
  <c r="AI42" i="11"/>
  <c r="AG40" i="11"/>
  <c r="AI21" i="11"/>
  <c r="AK36" i="11"/>
  <c r="AK29" i="11"/>
  <c r="AI15" i="11"/>
  <c r="AK28" i="11"/>
  <c r="AI37" i="11"/>
  <c r="AG42" i="11"/>
  <c r="AG20" i="11"/>
  <c r="AI31" i="11"/>
  <c r="AK31" i="11"/>
  <c r="AI26" i="11"/>
  <c r="AK42" i="11"/>
  <c r="AK25" i="11"/>
  <c r="AK17" i="11"/>
  <c r="AG34" i="11"/>
  <c r="AG21" i="11"/>
  <c r="AI22" i="11"/>
  <c r="AG29" i="11"/>
  <c r="AK19" i="11"/>
  <c r="AG28" i="11"/>
  <c r="AG30" i="11"/>
  <c r="AG32" i="11"/>
  <c r="AK37" i="11"/>
  <c r="AI43" i="11"/>
  <c r="AI38" i="11"/>
  <c r="AI14" i="11"/>
  <c r="AG24" i="11"/>
  <c r="AG41" i="11"/>
  <c r="AG25" i="11"/>
  <c r="AK18" i="11"/>
  <c r="AK14" i="11"/>
  <c r="AG27" i="11"/>
  <c r="AK34" i="11"/>
  <c r="AK38" i="11"/>
  <c r="AK24" i="11"/>
  <c r="AG33" i="11"/>
  <c r="AI20" i="11"/>
  <c r="AI29" i="11"/>
  <c r="AI36" i="11"/>
  <c r="AK35" i="11"/>
  <c r="AK32" i="11"/>
  <c r="AK41" i="11"/>
  <c r="AG37" i="11"/>
  <c r="AG14" i="11"/>
  <c r="AK20" i="11"/>
  <c r="AI16" i="11"/>
  <c r="AG35" i="11"/>
  <c r="AK23" i="11"/>
  <c r="AK21" i="11"/>
  <c r="AI32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23" i="11"/>
  <c r="AB30" i="11"/>
  <c r="AB33" i="11"/>
  <c r="AB24" i="11"/>
  <c r="AB41" i="11"/>
  <c r="N12" i="11"/>
  <c r="AB20" i="11"/>
  <c r="AB15" i="11"/>
  <c r="N11" i="11"/>
  <c r="AB19" i="11"/>
  <c r="AB43" i="11"/>
  <c r="AB32" i="11"/>
  <c r="AB29" i="11"/>
  <c r="AB17" i="11"/>
  <c r="AB26" i="11"/>
  <c r="N8" i="11"/>
  <c r="AB16" i="11"/>
  <c r="AB25" i="11"/>
  <c r="N6" i="11"/>
  <c r="O9" i="11"/>
  <c r="AB37" i="11"/>
  <c r="AB34" i="11"/>
  <c r="O7" i="11"/>
  <c r="AB18" i="11"/>
  <c r="AB38" i="11"/>
  <c r="AB28" i="11"/>
  <c r="O8" i="11"/>
  <c r="AB31" i="11"/>
  <c r="AG15" i="10"/>
  <c r="AB35" i="11"/>
  <c r="N10" i="11"/>
  <c r="AB14" i="11"/>
  <c r="O6" i="11"/>
  <c r="AB22" i="11"/>
  <c r="AB39" i="11"/>
  <c r="AB40" i="11"/>
  <c r="N9" i="11"/>
  <c r="AB27" i="11"/>
  <c r="AB21" i="11"/>
  <c r="AB36" i="11"/>
  <c r="AB42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I22" i="10"/>
  <c r="AQ21" i="10"/>
  <c r="AU36" i="10"/>
  <c r="AK37" i="10"/>
  <c r="AM37" i="10"/>
  <c r="AG37" i="10"/>
  <c r="AI14" i="10"/>
  <c r="AI32" i="10"/>
  <c r="AI26" i="10"/>
  <c r="AU15" i="10"/>
  <c r="AI16" i="10"/>
  <c r="AM43" i="10"/>
  <c r="AU40" i="10"/>
  <c r="AI30" i="10"/>
  <c r="AM22" i="10"/>
  <c r="AS21" i="10"/>
  <c r="AU21" i="10"/>
  <c r="AG44" i="10"/>
  <c r="AM18" i="10"/>
  <c r="AO35" i="10"/>
  <c r="AK32" i="10"/>
  <c r="AM27" i="10"/>
  <c r="AU30" i="10"/>
  <c r="AK20" i="10"/>
  <c r="AO28" i="10"/>
  <c r="AM28" i="10"/>
  <c r="AM44" i="10"/>
  <c r="AG27" i="10"/>
  <c r="AK27" i="10"/>
  <c r="AO24" i="10"/>
  <c r="AK34" i="10"/>
  <c r="AG40" i="10"/>
  <c r="AK19" i="10"/>
  <c r="AO30" i="10"/>
  <c r="AM20" i="10"/>
  <c r="AO18" i="10"/>
  <c r="AO37" i="10"/>
  <c r="AK44" i="10"/>
  <c r="AM23" i="10"/>
  <c r="AM40" i="10"/>
  <c r="AQ23" i="10"/>
  <c r="AK26" i="10"/>
  <c r="AG16" i="10"/>
  <c r="AS35" i="10"/>
  <c r="AO40" i="10"/>
  <c r="AS29" i="10"/>
  <c r="AI15" i="10"/>
  <c r="AO21" i="10"/>
  <c r="AU14" i="10"/>
  <c r="AM26" i="10"/>
  <c r="AG36" i="10"/>
  <c r="AK36" i="10"/>
  <c r="AS39" i="10"/>
  <c r="AU20" i="10"/>
  <c r="AI34" i="10"/>
  <c r="AU31" i="10"/>
  <c r="AK41" i="10"/>
  <c r="AK33" i="10"/>
  <c r="AU25" i="10"/>
  <c r="AO22" i="10"/>
  <c r="AS24" i="10"/>
  <c r="AQ24" i="10"/>
  <c r="AU34" i="10"/>
  <c r="AS30" i="10"/>
  <c r="AK23" i="10"/>
  <c r="AO17" i="10"/>
  <c r="AQ20" i="10"/>
  <c r="AO39" i="10"/>
  <c r="AO38" i="10"/>
  <c r="AU29" i="10"/>
  <c r="AQ19" i="10"/>
  <c r="AU37" i="10"/>
  <c r="AS45" i="10"/>
  <c r="AI35" i="10"/>
  <c r="AI31" i="10"/>
  <c r="AO41" i="10"/>
  <c r="AG42" i="10"/>
  <c r="AO25" i="10"/>
  <c r="AK42" i="10"/>
  <c r="AM45" i="10"/>
  <c r="AU16" i="10"/>
  <c r="AK22" i="10"/>
  <c r="AK39" i="10"/>
  <c r="AG33" i="10"/>
  <c r="AQ31" i="10"/>
  <c r="AK31" i="10"/>
  <c r="AQ15" i="10"/>
  <c r="AU28" i="10"/>
  <c r="AO16" i="10"/>
  <c r="AQ45" i="10"/>
  <c r="AG25" i="10"/>
  <c r="AM16" i="10"/>
  <c r="AQ28" i="10"/>
  <c r="AG26" i="10"/>
  <c r="AO14" i="10"/>
  <c r="AM21" i="10"/>
  <c r="AS26" i="10"/>
  <c r="AG23" i="10"/>
  <c r="AO29" i="10"/>
  <c r="AI43" i="10"/>
  <c r="AI40" i="10"/>
  <c r="AK18" i="10"/>
  <c r="AK35" i="10"/>
  <c r="AO44" i="10"/>
  <c r="AK14" i="10"/>
  <c r="AU23" i="10"/>
  <c r="AQ42" i="10"/>
  <c r="AM39" i="10"/>
  <c r="AI19" i="10"/>
  <c r="AS16" i="10"/>
  <c r="AS22" i="10"/>
  <c r="AS23" i="10"/>
  <c r="AI23" i="10"/>
  <c r="AM42" i="10"/>
  <c r="AO34" i="10"/>
  <c r="AG34" i="10"/>
  <c r="AI38" i="10"/>
  <c r="AG20" i="10"/>
  <c r="AQ38" i="10"/>
  <c r="AQ25" i="10"/>
  <c r="AM17" i="10"/>
  <c r="AS31" i="10"/>
  <c r="AG39" i="10"/>
  <c r="AG32" i="10"/>
  <c r="AM31" i="10"/>
  <c r="AS44" i="10"/>
  <c r="AI29" i="10"/>
  <c r="AQ43" i="10"/>
  <c r="AK40" i="10"/>
  <c r="AQ37" i="10"/>
  <c r="AQ39" i="10"/>
  <c r="AG28" i="10"/>
  <c r="AG21" i="10"/>
  <c r="AG30" i="10"/>
  <c r="AK28" i="10"/>
  <c r="AG38" i="10"/>
  <c r="AQ34" i="10"/>
  <c r="AO32" i="10"/>
  <c r="AO33" i="10"/>
  <c r="AS14" i="10"/>
  <c r="AS33" i="10"/>
  <c r="AK17" i="10"/>
  <c r="AM15" i="10"/>
  <c r="AS25" i="10"/>
  <c r="AS40" i="10"/>
  <c r="AQ17" i="10"/>
  <c r="AO19" i="10"/>
  <c r="AU38" i="10"/>
  <c r="AO31" i="10"/>
  <c r="AM29" i="10"/>
  <c r="AG29" i="10"/>
  <c r="AG18" i="10"/>
  <c r="AM41" i="10"/>
  <c r="AQ33" i="10"/>
  <c r="AO42" i="10"/>
  <c r="AI37" i="10"/>
  <c r="AU32" i="10"/>
  <c r="AS27" i="10"/>
  <c r="AQ30" i="10"/>
  <c r="AO23" i="10"/>
  <c r="AU45" i="10"/>
  <c r="AK25" i="10"/>
  <c r="AU22" i="10"/>
  <c r="AQ27" i="10"/>
  <c r="AI41" i="10"/>
  <c r="AU41" i="10"/>
  <c r="AO15" i="10"/>
  <c r="AI44" i="10"/>
  <c r="AG41" i="10"/>
  <c r="AK15" i="10"/>
  <c r="AU18" i="10"/>
  <c r="AK24" i="10"/>
  <c r="AG19" i="10"/>
  <c r="AQ29" i="10"/>
  <c r="AI39" i="10"/>
  <c r="AS18" i="10"/>
  <c r="AG24" i="10"/>
  <c r="AI36" i="10"/>
  <c r="AG43" i="10"/>
  <c r="AS32" i="10"/>
  <c r="AM14" i="10"/>
  <c r="AU17" i="10"/>
  <c r="AQ32" i="10"/>
  <c r="AK16" i="10"/>
  <c r="AU35" i="10"/>
  <c r="AQ26" i="10"/>
  <c r="AS38" i="10"/>
  <c r="AI42" i="10"/>
  <c r="AS19" i="10"/>
  <c r="AM35" i="10"/>
  <c r="AI20" i="10"/>
  <c r="AI45" i="10"/>
  <c r="AO43" i="10"/>
  <c r="AG35" i="10"/>
  <c r="AM19" i="10"/>
  <c r="AO20" i="10"/>
  <c r="AU24" i="10"/>
  <c r="AK38" i="10"/>
  <c r="AI25" i="10"/>
  <c r="AG14" i="10"/>
  <c r="AQ18" i="10"/>
  <c r="AM34" i="10"/>
  <c r="AM38" i="10"/>
  <c r="AQ22" i="10"/>
  <c r="AI21" i="10"/>
  <c r="AQ36" i="10"/>
  <c r="AI18" i="10"/>
  <c r="AI24" i="10"/>
  <c r="AI17" i="10"/>
  <c r="AU42" i="10"/>
  <c r="AK29" i="10"/>
  <c r="AI28" i="10"/>
  <c r="AG22" i="10"/>
  <c r="AS34" i="10"/>
  <c r="AS20" i="10"/>
  <c r="AS41" i="10"/>
  <c r="AS43" i="10"/>
  <c r="AU26" i="10"/>
  <c r="AK45" i="10"/>
  <c r="AS36" i="10"/>
  <c r="AK30" i="10"/>
  <c r="AK43" i="10"/>
  <c r="AM33" i="10"/>
  <c r="AI33" i="10"/>
  <c r="AU43" i="10"/>
  <c r="AU44" i="10"/>
  <c r="AM25" i="10"/>
  <c r="AO27" i="10"/>
  <c r="AS28" i="10"/>
  <c r="AM30" i="10"/>
  <c r="AQ14" i="10"/>
  <c r="AM24" i="10"/>
  <c r="N7" i="11"/>
  <c r="AO45" i="10"/>
  <c r="AQ35" i="10"/>
  <c r="AQ41" i="10"/>
  <c r="AU39" i="10"/>
  <c r="AQ44" i="10"/>
  <c r="AK21" i="10"/>
  <c r="AO36" i="10"/>
  <c r="AU33" i="10"/>
  <c r="AU19" i="10"/>
  <c r="AG45" i="10"/>
  <c r="AS17" i="10"/>
  <c r="AG31" i="10"/>
  <c r="AS37" i="10"/>
  <c r="AS42" i="10"/>
  <c r="AI27" i="10"/>
  <c r="AQ40" i="10"/>
  <c r="AS15" i="10"/>
  <c r="N13" i="11"/>
  <c r="AM36" i="10"/>
  <c r="AG17" i="10"/>
  <c r="AM32" i="10"/>
  <c r="AU27" i="10"/>
  <c r="AO26" i="10"/>
  <c r="AQ16" i="10"/>
  <c r="O10" i="10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O11" i="11"/>
  <c r="AB32" i="10"/>
  <c r="AB23" i="10"/>
  <c r="AB40" i="10"/>
  <c r="O7" i="10"/>
  <c r="AB14" i="10"/>
  <c r="N12" i="10"/>
  <c r="AB38" i="10"/>
  <c r="AB42" i="10"/>
  <c r="N10" i="10"/>
  <c r="AB18" i="10"/>
  <c r="AB17" i="10"/>
  <c r="AB36" i="10"/>
  <c r="AB24" i="10"/>
  <c r="AB45" i="10"/>
  <c r="AB20" i="10"/>
  <c r="AB41" i="10"/>
  <c r="AB25" i="10"/>
  <c r="AB31" i="10"/>
  <c r="AB33" i="10"/>
  <c r="O8" i="10"/>
  <c r="AB16" i="10"/>
  <c r="AB37" i="10"/>
  <c r="AB28" i="10"/>
  <c r="AB43" i="10"/>
  <c r="AB35" i="10"/>
  <c r="AB30" i="10"/>
  <c r="AB29" i="10"/>
  <c r="O9" i="10"/>
  <c r="AB34" i="10"/>
  <c r="N8" i="10"/>
  <c r="AB22" i="10"/>
  <c r="O6" i="10"/>
  <c r="AB39" i="10"/>
  <c r="N11" i="10"/>
  <c r="AB21" i="10"/>
  <c r="AB27" i="10"/>
  <c r="N6" i="10"/>
  <c r="AB26" i="10"/>
  <c r="AB15" i="10"/>
  <c r="AB19" i="10"/>
  <c r="AB44" i="10"/>
  <c r="N9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D16" i="2" s="1"/>
  <c r="AF15" i="3"/>
  <c r="AF16" i="3"/>
  <c r="AF18" i="3"/>
  <c r="AF19" i="3"/>
  <c r="AF17" i="3"/>
  <c r="AF20" i="3"/>
  <c r="AF21" i="3"/>
  <c r="O11" i="10"/>
  <c r="N13" i="10"/>
  <c r="V2" i="10" l="1"/>
  <c r="S4" i="3" l="1"/>
  <c r="S5" i="3" l="1"/>
  <c r="AA14" i="3" l="1"/>
  <c r="J11" i="3"/>
  <c r="J10" i="3"/>
  <c r="J9" i="3"/>
  <c r="J8" i="3"/>
  <c r="J7" i="3"/>
  <c r="J6" i="3"/>
  <c r="AC14" i="3" l="1"/>
  <c r="AA15" i="3"/>
  <c r="S7" i="3"/>
  <c r="L14" i="3" s="1"/>
  <c r="S3" i="3"/>
  <c r="S2" i="3"/>
  <c r="AB14" i="3"/>
  <c r="N12" i="3"/>
  <c r="AC15" i="3" l="1"/>
  <c r="AE15" i="3" s="1"/>
  <c r="AE14" i="3"/>
  <c r="AA16" i="3"/>
  <c r="B2" i="3"/>
  <c r="C5" i="3"/>
  <c r="C4" i="3"/>
  <c r="AB15" i="3"/>
  <c r="N6" i="3"/>
  <c r="AC16" i="3" l="1"/>
  <c r="AA17" i="3"/>
  <c r="AB16" i="3"/>
  <c r="AC17" i="3" l="1"/>
  <c r="AE16" i="3"/>
  <c r="AA18" i="3"/>
  <c r="B8" i="2"/>
  <c r="B7" i="2"/>
  <c r="B6" i="2"/>
  <c r="AB17" i="3"/>
  <c r="AC18" i="3" l="1"/>
  <c r="AA19" i="3"/>
  <c r="AE17" i="3"/>
  <c r="B2" i="2"/>
  <c r="B4" i="2"/>
  <c r="AB18" i="3"/>
  <c r="AC19" i="3" l="1"/>
  <c r="AE18" i="3"/>
  <c r="AA20" i="3"/>
  <c r="C6" i="1"/>
  <c r="AB19" i="3"/>
  <c r="AC20" i="3" l="1"/>
  <c r="AE20" i="3" s="1"/>
  <c r="AA21" i="3"/>
  <c r="AE19" i="3"/>
  <c r="AB20" i="3"/>
  <c r="AC21" i="3" l="1"/>
  <c r="AB21" i="3"/>
  <c r="AE21" i="3" l="1"/>
  <c r="N7" i="3"/>
  <c r="O10" i="3"/>
  <c r="N10" i="3"/>
  <c r="O7" i="3"/>
  <c r="O9" i="3"/>
  <c r="O8" i="3"/>
  <c r="N8" i="3"/>
  <c r="N5" i="3" l="1"/>
  <c r="V2" i="3" s="1"/>
  <c r="O6" i="3"/>
  <c r="N9" i="3"/>
  <c r="N11" i="3"/>
  <c r="O5" i="3" l="1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<sst xmlns="http://schemas.openxmlformats.org/spreadsheetml/2006/main" count="516" uniqueCount="162">
  <si>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</si>
  <si>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</si>
  <si>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</si>
  <si>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</si>
  <si>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</si>
  <si>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</si>
  <si>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</si>
  <si>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</si>
  <si>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</si>
  <si>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</si>
  <si>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</si>
  <si>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</si>
  <si>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</si>
  <si>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</si>
  <si>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</si>
  <si>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</si>
  <si>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</si>
  <si>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</si>
  <si>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</si>
  <si>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</si>
  <si>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</si>
  <si>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</si>
  <si>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</si>
  <si>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</si>
  <si>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</si>
  <si>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</si>
  <si>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</si>
  <si>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</si>
  <si>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</si>
  <si>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</si>
  <si>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</si>
  <si>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</si>
  <si>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</si>
  <si>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</si>
  <si>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</si>
  <si>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</si>
  <si>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</si>
  <si>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</si>
  <si>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</si>
  <si>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</si>
  <si>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</si>
  <si>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</si>
  <si>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</si>
  <si>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</si>
  <si>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</si>
  <si>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</si>
  <si>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</si>
  <si>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</si>
  <si>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</si>
  <si>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</si>
  <si>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</si>
  <si>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</si>
  <si>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</si>
  <si>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</si>
  <si>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</si>
  <si>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</si>
  <si>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</si>
  <si>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</si>
  <si>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</si>
  <si>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</si>
  <si>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</si>
  <si>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</si>
  <si>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</si>
  <si>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</si>
  <si>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</si>
  <si>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</si>
  <si>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</si>
  <si>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</si>
  <si>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</si>
  <si>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</si>
  <si>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</si>
  <si>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</si>
  <si>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</si>
  <si>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</si>
  <si>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</si>
  <si>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</si>
  <si>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</si>
  <si>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</si>
  <si>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</si>
  <si>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</si>
  <si>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</si>
  <si>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</si>
  <si>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</si>
  <si>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</si>
  <si>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</si>
  <si>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</si>
  <si>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</si>
  <si>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</si>
  <si>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</si>
  <si>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</si>
  <si>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</si>
  <si>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</si>
  <si>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</si>
  <si>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</si>
  <si>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</si>
  <si>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</si>
  <si>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</si>
  <si>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</si>
  <si>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</si>
  <si>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</si>
  <si>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</si>
  <si>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</si>
  <si>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</si>
  <si>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</si>
  <si>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</si>
  <si>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</si>
  <si>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</si>
  <si>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</si>
  <si>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</si>
  <si>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</si>
  <si>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</si>
  <si>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</si>
  <si>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</si>
  <si>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</si>
  <si>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</si>
  <si>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</si>
  <si>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</si>
  <si>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</si>
  <si>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</si>
  <si>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</si>
  <si>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</si>
  <si>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</si>
  <si>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</si>
  <si>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</si>
  <si>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</si>
  <si>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</si>
  <si>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</si>
  <si>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</si>
  <si>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</si>
  <si>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</si>
  <si>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</si>
  <si>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</si>
  <si>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</si>
  <si>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</si>
  <si>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</si>
  <si>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</si>
  <si>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</si>
  <si>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</si>
  <si>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</si>
  <si>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</si>
  <si>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</si>
  <si>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</si>
  <si>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</si>
  <si>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</si>
  <si>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</si>
  <si>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</si>
  <si>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</si>
  <si>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</si>
  <si>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</si>
  <si>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</si>
  <si>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</si>
  <si>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</si>
  <si>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</si>
  <si>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</si>
  <si>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</si>
  <si>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</si>
  <si>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</si>
  <si>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</si>
  <si>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</si>
  <si>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</si>
  <si>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</si>
  <si>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&lt;-- Hide Don't Delete Division Header &amp; The Trade Rows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</si>
</sst>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9" fillId="0" borderId="0" xfId="0" applyFont="1"/>
    <xf numFmtId="0" fontId="9" fillId="0" borderId="0" xfId="0" applyFont="1"/>
    <xf numFmtId="0" fontId="21" fillId="0" borderId="0" xfId="3" applyAlignment="1">
      <alignment horizontal="right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NumberFormat="1" applyFont="1"/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3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AC345B8-6D26-4A73-BB66-1CBA70CAB9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C14129-BEE4-4862-ABBD-32EAC40831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47730A-010A-4629-9795-6212AB7BF2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75A1A2-96CA-4CB3-989F-C6784FEC1D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32D470-EB0A-44D1-ABA4-7B739437AF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6AD430-DFFB-4340-9932-B6A8AD9F14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D1A68B-6542-4A56-B6ED-2331388746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FAFB5A4-6A14-4D9B-A2B9-E69635F76F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Template!$AA$14:$AA$22</c:f>
              <c:numCache>
                <c:formatCode>yyyy\-mm\-dd</c:formatCode>
                <c:ptCount val="9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</c:numCache>
            </c:numRef>
          </c:cat>
          <c:val>
            <c:numRef>
              <c:f>Template!$AC$14:$AC$22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Template!$AB$14:$AB$22</c15:f>
                <c15:dlblRangeCach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Template!$AA$14:$AA$22</c:f>
              <c:numCache>
                <c:formatCode>yyyy\-mm\-dd</c:formatCode>
                <c:ptCount val="9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</c:numCache>
            </c:numRef>
          </c:cat>
          <c:val>
            <c:numRef>
              <c:f>Template!$AD$14:$AD$22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Template!$AA$14:$AA$22</c:f>
              <c:numCache>
                <c:formatCode>yyyy\-mm\-dd</c:formatCode>
                <c:ptCount val="9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</c:numCache>
            </c:numRef>
          </c:cat>
          <c:val>
            <c:numRef>
              <c:f>Template!$AE$14:$AE$22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Template!$AA$14:$AA$22</c:f>
              <c:numCache>
                <c:formatCode>yyyy\-mm\-dd</c:formatCode>
                <c:ptCount val="9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</c:numCache>
            </c:numRef>
          </c:cat>
          <c:val>
            <c:numRef>
              <c:f>Template!$AF$14:$AF$22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6DA631F-D9B6-4121-8641-B325055C62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298DEE-7A4C-47EF-B419-FC5826E9D1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FD1F36-F943-4F66-AED2-53EC92D34D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A313E6-D918-45C7-BA81-17EB3DE59A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4F66DF-CDEC-429A-870F-E913006ED8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95B7A2-2EAD-4009-9978-0E6FEF9965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77EF77-A79A-4414-ABFF-0D484465B6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EC804A-BC66-408B-AF80-BBC831D6D5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F8A9BF-C547-4880-9CA8-60BEED1C24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581E45-6F43-4C67-939E-25380C9280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FA43A3-E7E4-47A5-89E1-47D29A0B03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E1163E-9293-48A7-9B24-EBD5AA7BAD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1BA464-8569-412C-88E0-804F068DF0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78200F-76C0-4A81-A4FB-8BC27180C3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B72C98-B18D-4221-AA76-52A50ADF7D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A5BEA70-1313-4E7E-9AE6-FD79FFE998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E47245-1982-4767-AF7C-6A9750F556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055741-BA56-4FBE-9792-95CEA9CE28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8C2A9C-0A9B-4D52-A9A8-11FFAF97D9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369148-B8E7-40FE-A3F8-3B6ED3D59A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108178-38EF-4312-8647-134A82B391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B4E0F6-DDE2-4D1C-8C52-1BCBEA29D9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0C8A3A-6CF7-4C5E-8B82-953FEB1766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B297E4-1DB6-4B87-BFFB-FBFDB2DD4D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804CF5-C6A3-47A6-B045-6238DB422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E40504-04B4-4809-ADAA-CD6EC43EEC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12AAF6B-CA2E-4357-A63D-EE40384D60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83034E-5808-4A67-9B29-3A0626B28B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D1EC1A-71B2-45CF-9091-E8EE3A2173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EC8564-48EB-41F6-96AB-2CB890C917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402D227-E8B5-4872-9FC4-502F3A78F1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9A6A9C-CDFE-439A-B0F1-7686B7854B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680937F-9AD1-4646-994A-5FF04DF3D6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07D276-AFE1-45AF-AB2F-589F05EBE8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1D1571-7FDC-47D7-9681-F347E7DB7E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F234A0-3781-464B-83A8-5B3C0431FD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EFA3DA-3C27-420E-ACD7-D1EA57FB26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77A251-4359-4D0D-BA42-77B61BB045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A1F814-4674-4F58-B570-FFB1E002B4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36ADE2-E911-453B-882F-9AF64BDB4A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AB6479-FB00-40FA-9307-CCC558F58F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82D853-B56D-4040-9E02-DE5019E322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2B5D5D-FB9B-4F0F-A5B1-8C0D46E0BB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A9F369-5627-4803-9B49-2F9CB7E38E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6B901F-565A-42A9-95BF-2551A9C7AF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67E4DA-A88A-4747-B65E-64AF7BD440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2EA256-04B6-4523-A0B6-BD96AECA01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06AF37-96BC-4C16-9E68-6D6D5FDA0D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67DFFC-9D75-4E0D-A646-A7E50F4435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3734DA-24C6-4039-9326-90ED25BF98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BB09C6-3540-4B0C-B721-86FDD2A741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4DD3C7-E366-41FC-9F61-E90D43AAD0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809885-1B89-439E-A6D4-0E7A42F2B2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D66684-0E3F-499E-8DF8-77BC7CDD4C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AF8DEB-3C00-420B-9903-38D8ACDD6C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002125-B3C3-4C48-ACB1-6670F135A5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125F22-CEF8-43A9-9CDB-7CA18F0797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DC75EA-B8DB-43C0-920A-10FCBA9D0B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3CEE6E-A981-4AED-9439-833D04824C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3B2FA4-F2F1-4CAE-BF31-2BC7F290EF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72F6F5-DBB8-49EB-AC93-FC42E30B51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5F4A60-6ACA-4EF9-AE64-BA3D33D0F6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8180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19386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05" dataDxfId="104">
  <autoFilter ref="R13:X16" xr:uid="{FF2C9E8B-1A62-479C-AF68-79B236C0B7BB}"/>
  <tableColumns count="7">
    <tableColumn id="1" xr3:uid="{727C6146-39EA-4E15-8783-53CAA87FAF36}" name="Zone ID" dataDxfId="103"/>
    <tableColumn id="2" xr3:uid="{2CA65110-6DD7-46D8-BFC2-5EB0C0E57567}" name="Description" dataDxfId="102"/>
    <tableColumn id="3" xr3:uid="{12D64F80-6A69-494F-BF8F-E326D34A185A}" name="Short Description" dataDxfId="101"/>
    <tableColumn id="4" xr3:uid="{71F3F5B2-8F6B-4985-B1FC-5A9D60095474}" name="Start Date" dataDxfId="100"/>
    <tableColumn id="5" xr3:uid="{57258378-8FED-4727-89AC-D938CB414B7B}" name="Finish Date" dataDxfId="99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F21" totalsRowShown="0" headerRowDxfId="98">
  <autoFilter ref="AA13:AF21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3F9A169-BFE8-4436-A535-BADFC0E7BD6C}" name="Date" dataDxfId="97">
      <calculatedColumnFormula>IF(AA13 = "Date", $S$4, AA13+7)</calculatedColumnFormula>
    </tableColumn>
    <tableColumn id="6" xr3:uid="{5740AC03-CF53-4345-8667-6AC0CA6843D0}" name="Primary Areas" dataDxfId="96">
      <calculatedColumnFormula>PrimaryAreas(3)</calculatedColumnFormula>
    </tableColumn>
    <tableColumn id="2" xr3:uid="{AF232D3D-EC3F-4232-BA5D-1427173C2D6A}" name="Weekly Plan" dataDxfId="95">
      <calculatedColumnFormula xml:space="preserve"> IF(#REF!="", 0,#REF!)+ IF(#REF!="", 0,#REF!)+ IF(#REF!="", 0,#REF!)</calculatedColumnFormula>
    </tableColumn>
    <tableColumn id="3" xr3:uid="{B28103F6-7596-4848-9F0D-3E4A9E5CBEFE}" name="Weekly Actual" dataDxfId="94">
      <calculatedColumnFormula>IF(AND(ISBLANK(#REF!),ISBLANK(#REF!),ISBLANK(#REF!)),"",#REF! +#REF!+#REF!)</calculatedColumnFormula>
    </tableColumn>
    <tableColumn id="4" xr3:uid="{EF1C6009-71E6-491B-B64F-04049D2D9103}" name="Accumulated Plan" dataDxfId="93">
      <calculatedColumnFormula>SUM($AC$14:AC14)</calculatedColumnFormula>
    </tableColumn>
    <tableColumn id="5" xr3:uid="{442DAB73-1233-4C61-8DE9-3B44CE2C5D69}" name="Accumulated Actual" dataDxfId="92">
      <calculatedColumnFormula>IF(AD14="",NA(),SUM($AD$14:AD14))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1">
  <autoFilter ref="H2:H5" xr:uid="{1041DC80-58D6-4308-9DE1-A4EC8AAD3C20}"/>
  <tableColumns count="1">
    <tableColumn id="1" xr3:uid="{0E6D3E77-7CB7-40A1-BCA6-DDC8164AAEB9}" name="Holidays" dataDxfId="9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58" dataDxfId="57">
  <autoFilter ref="R13:X21" xr:uid="{FF2C9E8B-1A62-479C-AF68-79B236C0B7BB}"/>
  <tableColumns count="7">
    <tableColumn id="1" xr3:uid="{9FED2BA1-A1A7-4513-A20F-F09DB113155D}" name="Zone ID" dataDxfId="56"/>
    <tableColumn id="2" xr3:uid="{8B67A205-5329-400B-84DC-CB06A032CF16}" name="Description" dataDxfId="55"/>
    <tableColumn id="3" xr3:uid="{2253D560-C30C-43DE-ABAB-BFAFD145DF40}" name="Short Description" dataDxfId="54"/>
    <tableColumn id="4" xr3:uid="{09E57ADB-1BEB-4CFB-B160-A9C7ADA56DE0}" name="Start Date" dataDxfId="53"/>
    <tableColumn id="5" xr3:uid="{B704EAFC-B4AE-45F3-A5AC-5189060C6D42}" name="Finish Date" dataDxfId="52"/>
    <tableColumn id="6" xr3:uid="{FAFABCDE-D7F7-45A9-83E7-80ADC6F01B0B}" name="Total" dataDxfId="51" dataCellStyle="Normal"/>
    <tableColumn id="7" xr3:uid="{F8D69A8D-7550-4939-9D63-599172BCFFFD}" name="Completed Total" dataDxfId="50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49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48">
      <calculatedColumnFormula>IF(AA13 = "Date", $S$4, AA13+7)</calculatedColumnFormula>
    </tableColumn>
    <tableColumn id="6" xr3:uid="{DE271CBB-C0FC-482D-929A-C21AEFAC32E4}" name="Primary Areas" dataDxfId="47">
      <calculatedColumnFormula>PrimaryAreas(8)</calculatedColumnFormula>
    </tableColumn>
    <tableColumn id="2" xr3:uid="{71EE47CC-75E0-49E1-B527-E1364059B0A6}" name="Weekly Plan" dataDxfId="46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45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44">
      <calculatedColumnFormula>SUM($AC$14:AC14)</calculatedColumnFormula>
    </tableColumn>
    <tableColumn id="5" xr3:uid="{CB7FAB5B-BEAB-4D4A-BD18-57DE0B5DE266}" name="Accumulated Actual" dataDxfId="43">
      <calculatedColumnFormula>IF(AD14="",NA(),SUM($AD$14:AD14))</calculatedColumnFormula>
    </tableColumn>
    <tableColumn id="7" xr3:uid="{2A1CBA5C-29D6-4EB1-8BAA-AF2C064B4A02}" name="WP_ABC" dataDxfId="42">
      <calculatedColumnFormula>WeeklyPlanned(Output_0501[[#Headers],[WP_ABC]], Output_0501[[#This Row],[Date]])</calculatedColumnFormula>
    </tableColumn>
    <tableColumn id="8" xr3:uid="{04DC9374-2B37-4BF5-AA39-F11FC0149281}" name="WA_ABC" dataDxfId="41"/>
    <tableColumn id="9" xr3:uid="{4F88CC2C-A480-4C5B-BA01-24B210AB447A}" name="WP_ACS" dataDxfId="40">
      <calculatedColumnFormula>WeeklyPlanned(Output_0501[[#Headers],[WP_ACS]], Output_0501[[#This Row],[Date]])</calculatedColumnFormula>
    </tableColumn>
    <tableColumn id="10" xr3:uid="{48C24C77-4D2B-435F-BBC2-FAD4AD540AB6}" name="WA_ACS" dataDxfId="39"/>
    <tableColumn id="11" xr3:uid="{75D5C587-305D-4077-9FAA-C79F65923E57}" name="WP_AL1" dataDxfId="38">
      <calculatedColumnFormula>WeeklyPlanned(Output_0501[[#Headers],[WP_AL1]], Output_0501[[#This Row],[Date]])</calculatedColumnFormula>
    </tableColumn>
    <tableColumn id="12" xr3:uid="{8077796C-E6FC-4EE3-89F7-798709387F7F}" name="WA_AL1" dataDxfId="37"/>
    <tableColumn id="13" xr3:uid="{792F3323-B0E8-4776-9689-FD45E57B619D}" name="WP_HBase" dataDxfId="36">
      <calculatedColumnFormula>WeeklyPlanned(Output_0501[[#Headers],[WP_HBase]], Output_0501[[#This Row],[Date]])</calculatedColumnFormula>
    </tableColumn>
    <tableColumn id="14" xr3:uid="{9E7E74B1-B432-4576-8F57-2DCED559C004}" name="WA_HBase" dataDxfId="35"/>
    <tableColumn id="15" xr3:uid="{6C8A9406-B3E7-4378-8961-19DE99A823B8}" name="WP_HWST" dataDxfId="34">
      <calculatedColumnFormula>WeeklyPlanned(Output_0501[[#Headers],[WP_HWST]], Output_0501[[#This Row],[Date]])</calculatedColumnFormula>
    </tableColumn>
    <tableColumn id="16" xr3:uid="{85632008-1A06-41BF-96BF-DF4F2942C8E3}" name="WA_HWST" dataDxfId="33"/>
    <tableColumn id="17" xr3:uid="{4ED0746A-56E1-4B9A-8D82-621AD6A805EE}" name="WP_HWSR" dataDxfId="32">
      <calculatedColumnFormula>WeeklyPlanned(Output_0501[[#Headers],[WP_HWSR]], Output_0501[[#This Row],[Date]])</calculatedColumnFormula>
    </tableColumn>
    <tableColumn id="18" xr3:uid="{616A2447-10D3-4C5E-BE98-C8594A351722}" name="WA_HWSR" dataDxfId="31"/>
    <tableColumn id="19" xr3:uid="{13711C20-54F0-41FE-93CC-92DB5745C53C}" name="WP_HL2" dataDxfId="30">
      <calculatedColumnFormula>WeeklyPlanned(Output_0501[[#Headers],[WP_HL2]], Output_0501[[#This Row],[Date]])</calculatedColumnFormula>
    </tableColumn>
    <tableColumn id="20" xr3:uid="{AE155A80-4969-4902-8DAF-8DC808584420}" name="WA_HL2" dataDxfId="29"/>
    <tableColumn id="21" xr3:uid="{186F9C43-2DF5-47B7-A779-6A42D4C3454E}" name="WP_HBCeil" dataDxfId="28">
      <calculatedColumnFormula>WeeklyPlanned(Output_0501[[#Headers],[WP_HBCeil]], Output_0501[[#This Row],[Date]])</calculatedColumnFormula>
    </tableColumn>
    <tableColumn id="22" xr3:uid="{7F8ADB3E-C083-4C51-8B5A-9EACC6ABF4A0}" name="WA_HBCeil" dataDxfId="27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19" dataDxfId="18">
  <autoFilter ref="R13:X16" xr:uid="{FF2C9E8B-1A62-479C-AF68-79B236C0B7BB}"/>
  <tableColumns count="7">
    <tableColumn id="1" xr3:uid="{98B6CEFA-F45C-41F6-AA4B-12A3C8376FF3}" name="Zone ID" dataDxfId="17"/>
    <tableColumn id="2" xr3:uid="{0EED481C-6B7F-45EA-96EB-621E9C83F3F6}" name="Description" dataDxfId="16"/>
    <tableColumn id="3" xr3:uid="{92B65829-37BF-4514-B7D6-292B5B8F0C44}" name="Short Description" dataDxfId="15"/>
    <tableColumn id="4" xr3:uid="{80A86D55-7D1D-4DFA-811D-6869E0913B53}" name="Start Date" dataDxfId="14"/>
    <tableColumn id="5" xr3:uid="{93521AA3-7D74-4D93-B395-07061FC7E0C3}" name="Finish Date" dataDxfId="13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11">
      <calculatedColumnFormula>IF(AA13 = "Date", $S$4, AA13+7)</calculatedColumnFormula>
    </tableColumn>
    <tableColumn id="6" xr3:uid="{AB52DC66-705D-403C-9556-5F09775CDBB4}" name="Primary Areas" dataDxfId="10">
      <calculatedColumnFormula>PrimaryAreas(3)</calculatedColumnFormula>
    </tableColumn>
    <tableColumn id="2" xr3:uid="{B199DE9E-07BB-4F6F-BF0F-FD9612C1E4A1}" name="Weekly Plan" dataDxfId="9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8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7">
      <calculatedColumnFormula>SUM($AC$14:AC14)</calculatedColumnFormula>
    </tableColumn>
    <tableColumn id="5" xr3:uid="{651F866A-913C-41F0-96AF-A1AE2AFF845B}" name="Accumulated Actual" dataDxfId="6">
      <calculatedColumnFormula>IF(AD14="",NA(),SUM($AD$14:AD14))</calculatedColumnFormula>
    </tableColumn>
    <tableColumn id="43" xr3:uid="{32BBBBE6-824B-424A-A817-1078C82774BD}" name="WP_A1" dataDxfId="5">
      <calculatedColumnFormula>WeeklyPlanned(Output_0001[[#Headers],[WP_A1]], Output_0001[[#This Row],[Date]])</calculatedColumnFormula>
    </tableColumn>
    <tableColumn id="44" xr3:uid="{2E76C9D7-DBC3-40AA-B2D2-F2A8133ADEDC}" name="WA_A1" dataDxfId="4"/>
    <tableColumn id="45" xr3:uid="{8349A05E-AB3B-4D38-86D5-C3757AF0C549}" name="WP_A2" dataDxfId="3">
      <calculatedColumnFormula>WeeklyPlanned(Output_0001[[#Headers],[WP_A2]], Output_0001[[#This Row],[Date]])</calculatedColumnFormula>
    </tableColumn>
    <tableColumn id="46" xr3:uid="{98829D33-590E-463C-A7AE-DB10CF64BCCB}" name="WA_A2" dataDxfId="2"/>
    <tableColumn id="47" xr3:uid="{0C2A1C55-569B-4688-8BB0-54DD665AAD32}" name="WP_A3" dataDxfId="1">
      <calculatedColumnFormula>WeeklyPlanned(Output_0001[[#Headers],[WP_A3]], Output_0001[[#This Row],[Date]])</calculatedColumnFormula>
    </tableColumn>
    <tableColumn id="48" xr3:uid="{5EA3C838-64EE-4DF3-8DFE-BE9B5AC605F5}" name="WA_A3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G40"/>
  <sheetViews>
    <sheetView zoomScale="85" zoomScaleNormal="85" workbookViewId="0">
      <selection activeCell="T23" sqref="T2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3" ht="15" thickBot="1" x14ac:dyDescent="0.4">
      <c r="R1" s="78" t="str">
        <f>HYPERLINK("#Main!A1", "Back to Main")</f>
        <v>Back to Main</v>
      </c>
      <c r="AA1" s="92" t="s">
        <v>80</v>
      </c>
      <c r="AB1" s="93"/>
    </row>
    <row r="2" spans="2:33" x14ac:dyDescent="0.3">
      <c r="B2" s="84" t="str">
        <f>_xlfn.CONCAT("PROGRESS REPORT ", TEXT(S3,"mm/dd/yyyy"))</f>
        <v>PROGRESS REPORT 07/01/2020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6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1</v>
      </c>
      <c r="AA2" s="52"/>
      <c r="AB2" s="53"/>
    </row>
    <row r="3" spans="2:33" x14ac:dyDescent="0.3"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9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1</v>
      </c>
      <c r="AA3" s="52"/>
      <c r="AB3" s="53"/>
      <c r="AC3" s="60">
        <v>43993.726458333331</v>
      </c>
      <c r="AE3" s="38"/>
      <c r="AF3" s="60"/>
    </row>
    <row r="4" spans="2:33" ht="15" x14ac:dyDescent="0.3">
      <c r="B4" s="21" t="s">
        <v>37</v>
      </c>
      <c r="C4" s="90" t="str">
        <f>Project_Name</f>
        <v>St. George Temple Major Renovation 2019</v>
      </c>
      <c r="D4" s="90"/>
      <c r="E4" s="90"/>
      <c r="F4" s="90"/>
      <c r="G4" s="90"/>
      <c r="H4" s="90"/>
      <c r="I4" s="90"/>
      <c r="J4" s="91" t="s">
        <v>38</v>
      </c>
      <c r="K4" s="91"/>
      <c r="L4" s="91"/>
      <c r="M4" s="91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3" ht="15" x14ac:dyDescent="0.3">
      <c r="B5" s="21" t="s">
        <v>41</v>
      </c>
      <c r="C5" s="90" t="str">
        <f>Project_Number</f>
        <v>S590</v>
      </c>
      <c r="D5" s="90"/>
      <c r="E5" s="90"/>
      <c r="F5" s="90"/>
      <c r="G5" s="90"/>
      <c r="H5" s="90"/>
      <c r="I5" s="90"/>
      <c r="J5" s="83" t="s">
        <v>42</v>
      </c>
      <c r="K5" s="83"/>
      <c r="L5" s="83"/>
      <c r="M5" s="83"/>
      <c r="N5" s="25">
        <f ca="1">IF(ISERROR(N7/N6), 0, N7/N6)</f>
        <v>0</v>
      </c>
      <c r="O5" s="26">
        <f ca="1">IF(ISERROR(O7/O6), 0, O7/O6)</f>
        <v>0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3" ht="15" x14ac:dyDescent="0.3">
      <c r="B6" s="21" t="s">
        <v>43</v>
      </c>
      <c r="C6" s="90" t="str">
        <f>Main!C33</f>
        <v>Sample Sub</v>
      </c>
      <c r="D6" s="90"/>
      <c r="E6" s="90"/>
      <c r="F6" s="90"/>
      <c r="G6" s="90"/>
      <c r="H6" s="90"/>
      <c r="I6" s="90"/>
      <c r="J6" s="83" t="str">
        <f>_xlfn.CONCAT("Overall Totals (", IF(ISBLANK($S$6),"",$S$6), ")")</f>
        <v>Overall Totals (SF)</v>
      </c>
      <c r="K6" s="83"/>
      <c r="L6" s="83"/>
      <c r="M6" s="83"/>
      <c r="N6" s="28">
        <f ca="1">SUM(INDIRECT("Input_"&amp;$S$2&amp;"[Total]"))</f>
        <v>9000</v>
      </c>
      <c r="O6" s="29" t="e">
        <f ca="1">SUM(INDIRECT("Output_"&amp;$S$2&amp;"[Weekly Plan]"))</f>
        <v>#REF!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3" ht="15.5" thickBot="1" x14ac:dyDescent="0.35">
      <c r="B7" s="21" t="s">
        <v>44</v>
      </c>
      <c r="C7" s="90" t="str">
        <f>RIGHT(Main!B33, LEN(Main!B33) - 4)</f>
        <v>Sample</v>
      </c>
      <c r="D7" s="90"/>
      <c r="E7" s="90"/>
      <c r="F7" s="90"/>
      <c r="G7" s="90"/>
      <c r="H7" s="90"/>
      <c r="I7" s="90"/>
      <c r="J7" s="83" t="str">
        <f>_xlfn.CONCAT("Overall Completed Totals (", IF(ISBLANK($S$6),"",$S$6), ")")</f>
        <v>Overall Completed Totals (SF)</v>
      </c>
      <c r="K7" s="83"/>
      <c r="L7" s="83"/>
      <c r="M7" s="83"/>
      <c r="N7" s="28" t="e">
        <f ca="1">VLOOKUP($S$3, INDIRECT("Output_"&amp;$S$2), 5, FALSE)</f>
        <v>#N/A</v>
      </c>
      <c r="O7" s="29">
        <f ca="1">_xlfn.IFNA(VLOOKUP($S$3, INDIRECT("Output_"&amp;$S$2), 6, FALSE), 0)</f>
        <v>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3" ht="15" x14ac:dyDescent="0.3">
      <c r="B8" s="30"/>
      <c r="C8" s="31"/>
      <c r="D8" s="31"/>
      <c r="E8" s="31"/>
      <c r="F8" s="31"/>
      <c r="G8" s="31"/>
      <c r="H8" s="31"/>
      <c r="I8" s="31"/>
      <c r="J8" s="83" t="str">
        <f>_xlfn.CONCAT("This Week's Production (", IF(ISBLANK($S$6),"",$S$6), ")")</f>
        <v>This Week's Production (SF)</v>
      </c>
      <c r="K8" s="83"/>
      <c r="L8" s="83"/>
      <c r="M8" s="83"/>
      <c r="N8" s="28" t="e">
        <f ca="1">VLOOKUP($S$3, INDIRECT("Output_"&amp;$S$2), 3, FALSE)</f>
        <v>#N/A</v>
      </c>
      <c r="O8" s="29" t="e">
        <f ca="1">VLOOKUP($S$3, INDIRECT("Output_"&amp;$S$2), 4, FALSE)</f>
        <v>#N/A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3" ht="15" x14ac:dyDescent="0.3">
      <c r="B9" s="30"/>
      <c r="C9" s="31"/>
      <c r="D9" s="31"/>
      <c r="E9" s="31"/>
      <c r="F9" s="31"/>
      <c r="G9" s="31"/>
      <c r="H9" s="31"/>
      <c r="I9" s="31"/>
      <c r="J9" s="83" t="str">
        <f>_xlfn.CONCAT("Weekly Average (", IF(ISBLANK($S$6),"",$S$6), ")")</f>
        <v>Weekly Average (SF)</v>
      </c>
      <c r="K9" s="83"/>
      <c r="L9" s="83"/>
      <c r="M9" s="83"/>
      <c r="N9" s="32" t="e">
        <f ca="1">AVERAGE(INDIRECT("Output_"&amp;$S$2&amp;"[Weekly Plan]"))</f>
        <v>#REF!</v>
      </c>
      <c r="O9" s="33" t="e">
        <f ca="1">AVERAGE(INDIRECT("AD14:AD" &amp;MATCH($S$3,INDIRECT("Output_"&amp;$S$2&amp;"[Date]"),0)+14))</f>
        <v>#N/A</v>
      </c>
      <c r="R9" s="17" t="s">
        <v>158</v>
      </c>
      <c r="S9" s="20">
        <v>44013</v>
      </c>
      <c r="T9" s="17" t="s">
        <v>114</v>
      </c>
      <c r="U9" s="98" t="s">
        <v>116</v>
      </c>
      <c r="V9" s="98"/>
      <c r="W9" s="98"/>
      <c r="X9" s="98"/>
      <c r="AB9" s="63"/>
    </row>
    <row r="10" spans="2:33" ht="15" x14ac:dyDescent="0.3">
      <c r="B10" s="30"/>
      <c r="C10" s="31"/>
      <c r="D10" s="31"/>
      <c r="E10" s="31"/>
      <c r="F10" s="31"/>
      <c r="G10" s="31"/>
      <c r="H10" s="31"/>
      <c r="I10" s="31"/>
      <c r="J10" s="83" t="str">
        <f>_xlfn.CONCAT("Average Past 4 Weeks (", IF(ISBLANK($S$6),"",$S$6), ")")</f>
        <v>Average Past 4 Weeks (SF)</v>
      </c>
      <c r="K10" s="83"/>
      <c r="L10" s="83"/>
      <c r="M10" s="83"/>
      <c r="N10" s="32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33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17" t="s">
        <v>115</v>
      </c>
      <c r="U10" s="99" t="s">
        <v>156</v>
      </c>
      <c r="V10" s="99"/>
      <c r="W10" s="99"/>
      <c r="X10" s="99"/>
      <c r="AB10" s="62"/>
      <c r="AC10" s="61"/>
      <c r="AD10" s="59"/>
    </row>
    <row r="11" spans="2:33" ht="15" x14ac:dyDescent="0.3">
      <c r="B11" s="30"/>
      <c r="C11" s="31"/>
      <c r="D11" s="31"/>
      <c r="E11" s="31"/>
      <c r="F11" s="31"/>
      <c r="G11" s="31"/>
      <c r="H11" s="31"/>
      <c r="I11" s="31"/>
      <c r="J11" s="83" t="str">
        <f>_xlfn.CONCAT("On Schedule Average (", IF(ISBLANK($S$6),"",$S$6), ")")</f>
        <v>On Schedule Average (SF)</v>
      </c>
      <c r="K11" s="83"/>
      <c r="L11" s="83"/>
      <c r="M11" s="83"/>
      <c r="N11" s="32" t="e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#N/A</v>
      </c>
      <c r="O11" s="33" t="e">
        <f ca="1">IF($O$5&gt;0.998, "-", (SUM(Input_Template[Total])-INDIRECT("AF"&amp;MATCH($S$3, Output_Template[Date],0)+13))/(ROW(Output_Template[Weekly Plan])-1+ROWS(Output_Template[Weekly Plan])-(MATCH($S$3, Output_Template[Date],0)+13)))</f>
        <v>#N/A</v>
      </c>
      <c r="U11" s="99"/>
      <c r="V11" s="99"/>
      <c r="W11" s="99"/>
      <c r="X11" s="99"/>
      <c r="AC11" s="59"/>
      <c r="AD11" s="59"/>
    </row>
    <row r="12" spans="2:33" ht="15" x14ac:dyDescent="0.3">
      <c r="B12" s="30"/>
      <c r="C12" s="31"/>
      <c r="D12" s="31"/>
      <c r="E12" s="31"/>
      <c r="F12" s="31"/>
      <c r="G12" s="31"/>
      <c r="H12" s="31"/>
      <c r="I12" s="31"/>
      <c r="J12" s="94" t="s">
        <v>45</v>
      </c>
      <c r="K12" s="94"/>
      <c r="L12" s="94"/>
      <c r="M12" s="94"/>
      <c r="N12" s="95">
        <f ca="1">MAX(INDIRECT("Input_"&amp;$S$2&amp;"[Finish Date]"))</f>
        <v>44105</v>
      </c>
      <c r="O12" s="96"/>
    </row>
    <row r="13" spans="2:33" ht="15.5" x14ac:dyDescent="0.35">
      <c r="B13" s="30"/>
      <c r="C13" s="31"/>
      <c r="D13" s="31"/>
      <c r="E13" s="31"/>
      <c r="F13" s="31"/>
      <c r="G13" s="31"/>
      <c r="H13" s="31"/>
      <c r="I13" s="31"/>
      <c r="J13" s="94" t="s">
        <v>46</v>
      </c>
      <c r="K13" s="94"/>
      <c r="L13" s="94"/>
      <c r="M13" s="94"/>
      <c r="N13" s="95" t="e">
        <f ca="1">IF(O10=0,"",IF($O$5&gt;0.999, "Completed", WORKDAY($S$3, ROUNDUP((SUM(Input_Template[Total])-(INDIRECT("AF"&amp;MATCH($S$3, Output_Template[Date],0)+13)))/($O$10/COUNTIF($U$2:$U$8, TRUE)),0), Holidays_Table[Holidays])))</f>
        <v>#DIV/0!</v>
      </c>
      <c r="O13" s="97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48"/>
    </row>
    <row r="14" spans="2:33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>
        <f t="shared" ref="AB14:AB21" ca="1" si="1">PrimaryAreas(3)</f>
        <v>0</v>
      </c>
      <c r="AC14" s="51" t="e">
        <f xml:space="preserve"> IF(#REF!="", 0,#REF!)+ IF(#REF!="", 0,#REF!)+ IF(#REF!="", 0,#REF!)</f>
        <v>#REF!</v>
      </c>
      <c r="AD14" s="51" t="e">
        <f>IF(AND(ISBLANK(#REF!),ISBLANK(#REF!),ISBLANK(#REF!)),"",#REF! +#REF!+#REF!)</f>
        <v>#REF!</v>
      </c>
      <c r="AE14" s="51" t="e">
        <f>SUM($AC$14:AC14)</f>
        <v>#REF!</v>
      </c>
      <c r="AF14" s="51" t="e">
        <f>IF(AD14="",NA(),SUM($AD$14:AD14))</f>
        <v>#REF!</v>
      </c>
    </row>
    <row r="15" spans="2:33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1"/>
      <c r="M15" s="81"/>
      <c r="N15" s="81"/>
      <c r="O15" s="82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>
        <f t="shared" ca="1" si="1"/>
        <v>0</v>
      </c>
      <c r="AC15" s="51" t="e">
        <f xml:space="preserve"> IF(#REF!="", 0,#REF!)+ IF(#REF!="", 0,#REF!)+ IF(#REF!="", 0,#REF!)</f>
        <v>#REF!</v>
      </c>
      <c r="AD15" s="51" t="e">
        <f>IF(AND(ISBLANK(#REF!),ISBLANK(#REF!),ISBLANK(#REF!)),"",#REF! +#REF!+#REF!)</f>
        <v>#REF!</v>
      </c>
      <c r="AE15" s="51" t="e">
        <f>SUM($AC$14:AC15)</f>
        <v>#REF!</v>
      </c>
      <c r="AF15" s="51" t="e">
        <f>IF(AD15="",NA(),SUM($AD$14:AD15))</f>
        <v>#REF!</v>
      </c>
    </row>
    <row r="16" spans="2:33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21" si="2">IF(AA15 = "Date", $S$4, AA15+7)</f>
        <v>43922</v>
      </c>
      <c r="AB16" s="49">
        <f t="shared" ca="1" si="1"/>
        <v>0</v>
      </c>
      <c r="AC16" s="51" t="e">
        <f xml:space="preserve"> IF(#REF!="", 0,#REF!)+ IF(#REF!="", 0,#REF!)+ IF(#REF!="", 0,#REF!)</f>
        <v>#REF!</v>
      </c>
      <c r="AD16" s="51" t="e">
        <f>IF(AND(ISBLANK(#REF!),ISBLANK(#REF!),ISBLANK(#REF!)),"",#REF! +#REF!+#REF!)</f>
        <v>#REF!</v>
      </c>
      <c r="AE16" s="51" t="e">
        <f>SUM($AC$14:AC16)</f>
        <v>#REF!</v>
      </c>
      <c r="AF16" s="51" t="e">
        <f>IF(AD16="",NA(),SUM($AD$14:AD16))</f>
        <v>#REF!</v>
      </c>
    </row>
    <row r="17" spans="2:32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>
        <f t="shared" ca="1" si="1"/>
        <v>0</v>
      </c>
      <c r="AC17" s="51" t="e">
        <f xml:space="preserve"> IF(#REF!="", 0,#REF!)+ IF(#REF!="", 0,#REF!)+ IF(#REF!="", 0,#REF!)</f>
        <v>#REF!</v>
      </c>
      <c r="AD17" s="51" t="e">
        <f>IF(AND(ISBLANK(#REF!),ISBLANK(#REF!),ISBLANK(#REF!)),"",#REF! +#REF!+#REF!)</f>
        <v>#REF!</v>
      </c>
      <c r="AE17" s="51" t="e">
        <f>SUM($AC$14:AC17)</f>
        <v>#REF!</v>
      </c>
      <c r="AF17" s="51" t="e">
        <f>IF(AD17="",NA(),SUM($AD$14:AD17))</f>
        <v>#REF!</v>
      </c>
    </row>
    <row r="18" spans="2:32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>
        <f t="shared" ca="1" si="1"/>
        <v>0</v>
      </c>
      <c r="AC18" s="51" t="e">
        <f xml:space="preserve"> IF(#REF!="", 0,#REF!)+ IF(#REF!="", 0,#REF!)+ IF(#REF!="", 0,#REF!)</f>
        <v>#REF!</v>
      </c>
      <c r="AD18" s="51" t="e">
        <f>IF(AND(ISBLANK(#REF!),ISBLANK(#REF!),ISBLANK(#REF!)),"",#REF! +#REF!+#REF!)</f>
        <v>#REF!</v>
      </c>
      <c r="AE18" s="51" t="e">
        <f>SUM($AC$14:AC18)</f>
        <v>#REF!</v>
      </c>
      <c r="AF18" s="51" t="e">
        <f>IF(AD18="",NA(),SUM($AD$14:AD18))</f>
        <v>#REF!</v>
      </c>
    </row>
    <row r="19" spans="2:32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>
        <f t="shared" ca="1" si="1"/>
        <v>0</v>
      </c>
      <c r="AC19" s="51" t="e">
        <f xml:space="preserve"> IF(#REF!="", 0,#REF!)+ IF(#REF!="", 0,#REF!)+ IF(#REF!="", 0,#REF!)</f>
        <v>#REF!</v>
      </c>
      <c r="AD19" s="51" t="e">
        <f>IF(AND(ISBLANK(#REF!),ISBLANK(#REF!),ISBLANK(#REF!)),"",#REF! +#REF!+#REF!)</f>
        <v>#REF!</v>
      </c>
      <c r="AE19" s="51" t="e">
        <f>SUM($AC$14:AC19)</f>
        <v>#REF!</v>
      </c>
      <c r="AF19" s="51" t="e">
        <f>IF(AD19="",NA(),SUM($AD$14:AD19))</f>
        <v>#REF!</v>
      </c>
    </row>
    <row r="20" spans="2:32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>
        <f t="shared" ca="1" si="1"/>
        <v>0</v>
      </c>
      <c r="AC20" s="51" t="e">
        <f xml:space="preserve"> IF(#REF!="", 0,#REF!)+ IF(#REF!="", 0,#REF!)+ IF(#REF!="", 0,#REF!)</f>
        <v>#REF!</v>
      </c>
      <c r="AD20" s="51" t="e">
        <f>IF(AND(ISBLANK(#REF!),ISBLANK(#REF!),ISBLANK(#REF!)),"",#REF! +#REF!+#REF!)</f>
        <v>#REF!</v>
      </c>
      <c r="AE20" s="51" t="e">
        <f>SUM($AC$14:AC20)</f>
        <v>#REF!</v>
      </c>
      <c r="AF20" s="51" t="e">
        <f>IF(AD20="",NA(),SUM($AD$14:AD20))</f>
        <v>#REF!</v>
      </c>
    </row>
    <row r="21" spans="2:32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>
        <f t="shared" ca="1" si="1"/>
        <v>0</v>
      </c>
      <c r="AC21" s="51" t="e">
        <f xml:space="preserve"> IF(#REF!="", 0,#REF!)+ IF(#REF!="", 0,#REF!)+ IF(#REF!="", 0,#REF!)</f>
        <v>#REF!</v>
      </c>
      <c r="AD21" s="51" t="e">
        <f>IF(AND(ISBLANK(#REF!),ISBLANK(#REF!),ISBLANK(#REF!)),"",#REF! +#REF!+#REF!)</f>
        <v>#REF!</v>
      </c>
      <c r="AE21" s="51" t="e">
        <f>SUM($AC$14:AC21)</f>
        <v>#REF!</v>
      </c>
      <c r="AF21" s="51" t="e">
        <f>IF(AD21="",NA(),SUM($AD$14:AD21))</f>
        <v>#REF!</v>
      </c>
    </row>
    <row r="22" spans="2:32" ht="15" x14ac:dyDescent="0.3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</row>
    <row r="23" spans="2:32" ht="15" x14ac:dyDescent="0.3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</row>
    <row r="24" spans="2:32" ht="15" x14ac:dyDescent="0.3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</row>
    <row r="25" spans="2:32" ht="15" x14ac:dyDescent="0.3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</row>
    <row r="26" spans="2:32" ht="15" x14ac:dyDescent="0.3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</row>
    <row r="27" spans="2:32" ht="15" x14ac:dyDescent="0.3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</row>
    <row r="28" spans="2:32" ht="15" x14ac:dyDescent="0.3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</row>
    <row r="29" spans="2:32" ht="15" x14ac:dyDescent="0.3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</row>
    <row r="30" spans="2:32" ht="15" x14ac:dyDescent="0.3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</row>
    <row r="31" spans="2:32" ht="15" x14ac:dyDescent="0.3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</row>
    <row r="32" spans="2:32" ht="15" x14ac:dyDescent="0.3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</row>
    <row r="33" spans="2:15" ht="15" x14ac:dyDescent="0.3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</row>
    <row r="34" spans="2:15" ht="15" x14ac:dyDescent="0.3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</row>
    <row r="35" spans="2:15" ht="15" x14ac:dyDescent="0.3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</row>
    <row r="36" spans="2:15" ht="15" x14ac:dyDescent="0.3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</row>
    <row r="37" spans="2:15" ht="15" x14ac:dyDescent="0.3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</row>
    <row r="38" spans="2:15" ht="15" x14ac:dyDescent="0.3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</row>
    <row r="39" spans="2:15" ht="15" x14ac:dyDescent="0.3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</row>
    <row r="40" spans="2:15" ht="15.5" thickBot="1" x14ac:dyDescent="0.35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F21">
    <cfRule type="containsErrors" dxfId="112" priority="10">
      <formula>ISERROR(AF14)</formula>
    </cfRule>
  </conditionalFormatting>
  <conditionalFormatting sqref="W13:X13">
    <cfRule type="expression" dxfId="111" priority="8">
      <formula>IF(OR($S$8 = "Assemble Addin", $S$8 = "Bluebeam QL"), TRUE, FALSE)</formula>
    </cfRule>
  </conditionalFormatting>
  <conditionalFormatting sqref="N6:O6">
    <cfRule type="expression" dxfId="110" priority="7">
      <formula>IF($N$6=$O$6, FALSE, TRUE)</formula>
    </cfRule>
  </conditionalFormatting>
  <conditionalFormatting sqref="W14:X16">
    <cfRule type="expression" dxfId="109" priority="5">
      <formula>IF(OR($S$8 = "Assemble Addin", $S$8 = "Bluebeam QL"), TRUE, FALSE)</formula>
    </cfRule>
    <cfRule type="expression" dxfId="108" priority="6">
      <formula>IF(OR($S$8 = "Assemble Addin", $S$8 = "Bluebeam QL"), MOD(ROW(), 2)=0, FALSE)</formula>
    </cfRule>
  </conditionalFormatting>
  <conditionalFormatting sqref="R13">
    <cfRule type="expression" dxfId="107" priority="2">
      <formula>IF($S$8 = "Assemble Addin", TRUE, FALSE)</formula>
    </cfRule>
  </conditionalFormatting>
  <conditionalFormatting sqref="R14:R16">
    <cfRule type="expression" dxfId="106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100" t="str">
        <f>UPPER("Structural Steel 07/01/2020")</f>
        <v>STRUCTURAL STEEL 07/01/2020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</row>
    <row r="2" spans="1:14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4" spans="1:14" x14ac:dyDescent="0.35">
      <c r="A34" s="101" t="s">
        <v>116</v>
      </c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A20" sqref="A2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3" t="s">
        <v>5</v>
      </c>
      <c r="F1" s="103"/>
      <c r="H1" s="2" t="s">
        <v>9</v>
      </c>
      <c r="J1" t="s">
        <v>144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4" t="s">
        <v>6</v>
      </c>
      <c r="C2" s="104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154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151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152</v>
      </c>
      <c r="H7" s="1"/>
      <c r="J7" t="s">
        <v>30</v>
      </c>
    </row>
    <row r="8" spans="2:29" x14ac:dyDescent="0.35">
      <c r="B8" t="s">
        <v>19</v>
      </c>
      <c r="C8" s="4" t="s">
        <v>145</v>
      </c>
      <c r="H8" s="1"/>
      <c r="J8" t="s">
        <v>127</v>
      </c>
    </row>
    <row r="9" spans="2:29" x14ac:dyDescent="0.35">
      <c r="B9" t="s">
        <v>20</v>
      </c>
      <c r="C9" s="4" t="s">
        <v>147</v>
      </c>
      <c r="H9" s="1"/>
      <c r="J9" t="s">
        <v>128</v>
      </c>
    </row>
    <row r="10" spans="2:29" x14ac:dyDescent="0.35">
      <c r="B10" t="s">
        <v>21</v>
      </c>
      <c r="C10" s="4" t="s">
        <v>146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B41" sqref="B41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6" t="str">
        <f>"PROGRESS REPORT "&amp; TEXT(Report_Date, "mm/dd/yyy")</f>
        <v>PROGRESS REPORT 07/01/2020</v>
      </c>
      <c r="C2" s="106"/>
      <c r="D2" s="106"/>
      <c r="E2" s="106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157</v>
      </c>
      <c r="J10" s="12" t="s">
        <v>35</v>
      </c>
      <c r="K10" s="12" t="s">
        <v>34</v>
      </c>
    </row>
    <row r="11" spans="2:12" ht="15" hidden="1" x14ac:dyDescent="0.3">
      <c r="B11" s="105" t="s">
        <v>26</v>
      </c>
      <c r="C11" s="105"/>
      <c r="D11" s="105"/>
      <c r="E11" s="105"/>
      <c r="F11" s="16"/>
      <c r="G11" s="16"/>
      <c r="H11" s="16"/>
      <c r="I11" s="16"/>
      <c r="J11" s="16"/>
      <c r="K11" s="16"/>
      <c r="L11" s="76" t="s">
        <v>161</v>
      </c>
    </row>
    <row r="12" spans="2:12" hidden="1" x14ac:dyDescent="0.3">
      <c r="B12" s="13"/>
      <c r="G12" s="38"/>
      <c r="H12" s="37"/>
    </row>
    <row r="13" spans="2:12" ht="15" hidden="1" x14ac:dyDescent="0.3">
      <c r="B13" s="105" t="s">
        <v>27</v>
      </c>
      <c r="C13" s="105"/>
      <c r="D13" s="105"/>
      <c r="E13" s="105"/>
      <c r="F13" s="16"/>
      <c r="G13" s="16"/>
      <c r="H13" s="16"/>
      <c r="I13" s="16"/>
      <c r="J13" s="16"/>
      <c r="K13" s="16"/>
      <c r="L13" s="76" t="s">
        <v>161</v>
      </c>
    </row>
    <row r="14" spans="2:12" s="77" customFormat="1" hidden="1" x14ac:dyDescent="0.3">
      <c r="B14" s="9"/>
      <c r="D14" s="10"/>
      <c r="E14" s="10"/>
      <c r="G14" s="73"/>
      <c r="H14" s="37"/>
    </row>
    <row r="15" spans="2:12" ht="15" x14ac:dyDescent="0.3">
      <c r="B15" s="105" t="s">
        <v>28</v>
      </c>
      <c r="C15" s="105"/>
      <c r="D15" s="105"/>
      <c r="E15" s="105"/>
      <c r="F15" s="16"/>
      <c r="G15" s="16"/>
      <c r="H15" s="16"/>
      <c r="I15" s="16"/>
      <c r="J15" s="16"/>
      <c r="K15" s="16"/>
      <c r="L15" s="76" t="s">
        <v>161</v>
      </c>
    </row>
    <row r="16" spans="2:12" s="77" customFormat="1" x14ac:dyDescent="0.3">
      <c r="B16" s="9" t="s">
        <v>150</v>
      </c>
      <c r="C16" s="77" t="s">
        <v>148</v>
      </c>
      <c r="D16" s="10">
        <f ca="1">'0501'!N5</f>
        <v>0</v>
      </c>
      <c r="E16" s="10">
        <f ca="1">'0501'!O5</f>
        <v>0.10714285714285712</v>
      </c>
      <c r="G16" s="73"/>
      <c r="H16" s="37" t="s">
        <v>149</v>
      </c>
      <c r="I16" s="74" t="str">
        <f ca="1">IF(Report_Date = INDIRECT(H33 &amp; "!S9"), "Ready", "Not Ready")</f>
        <v>Ready</v>
      </c>
      <c r="J16" s="77" t="s">
        <v>159</v>
      </c>
      <c r="K16" s="77" t="s">
        <v>160</v>
      </c>
    </row>
    <row r="17" spans="2:12" s="76" customFormat="1" x14ac:dyDescent="0.3">
      <c r="B17" s="9"/>
      <c r="D17" s="10"/>
      <c r="E17" s="10"/>
      <c r="G17" s="73"/>
      <c r="H17" s="37"/>
    </row>
    <row r="18" spans="2:12" ht="15" hidden="1" x14ac:dyDescent="0.3">
      <c r="B18" s="105" t="s">
        <v>29</v>
      </c>
      <c r="C18" s="105"/>
      <c r="D18" s="105"/>
      <c r="E18" s="105"/>
      <c r="F18" s="16"/>
      <c r="G18" s="16"/>
      <c r="H18" s="16"/>
      <c r="I18" s="16"/>
      <c r="J18" s="16"/>
      <c r="K18" s="16"/>
      <c r="L18" s="76" t="s">
        <v>161</v>
      </c>
    </row>
    <row r="19" spans="2:12" hidden="1" x14ac:dyDescent="0.3">
      <c r="B19" s="9"/>
      <c r="G19" s="73"/>
      <c r="H19" s="37"/>
    </row>
    <row r="20" spans="2:12" ht="15" hidden="1" x14ac:dyDescent="0.3">
      <c r="B20" s="105" t="s">
        <v>30</v>
      </c>
      <c r="C20" s="105"/>
      <c r="D20" s="105"/>
      <c r="E20" s="105"/>
      <c r="F20" s="16"/>
      <c r="G20" s="16"/>
      <c r="H20" s="16"/>
      <c r="I20" s="16"/>
      <c r="J20" s="16"/>
      <c r="K20" s="16"/>
      <c r="L20" s="76" t="s">
        <v>161</v>
      </c>
    </row>
    <row r="21" spans="2:12" hidden="1" x14ac:dyDescent="0.3">
      <c r="B21" s="9"/>
      <c r="G21" s="73"/>
      <c r="H21" s="37"/>
    </row>
    <row r="22" spans="2:12" ht="15" hidden="1" x14ac:dyDescent="0.3">
      <c r="B22" s="105" t="s">
        <v>127</v>
      </c>
      <c r="C22" s="105"/>
      <c r="D22" s="105"/>
      <c r="E22" s="105"/>
      <c r="F22" s="16"/>
      <c r="G22" s="16"/>
      <c r="H22" s="16"/>
      <c r="I22" s="16"/>
      <c r="J22" s="16"/>
      <c r="K22" s="16"/>
      <c r="L22" s="76" t="s">
        <v>161</v>
      </c>
    </row>
    <row r="23" spans="2:12" hidden="1" x14ac:dyDescent="0.3">
      <c r="B23" s="9"/>
      <c r="G23" s="73"/>
      <c r="H23" s="37"/>
    </row>
    <row r="24" spans="2:12" ht="15" hidden="1" x14ac:dyDescent="0.3">
      <c r="B24" s="105" t="s">
        <v>128</v>
      </c>
      <c r="C24" s="105"/>
      <c r="D24" s="105"/>
      <c r="E24" s="105"/>
      <c r="F24" s="16"/>
      <c r="G24" s="16"/>
      <c r="H24" s="16"/>
      <c r="I24" s="16"/>
      <c r="J24" s="16"/>
      <c r="K24" s="16"/>
      <c r="L24" s="76" t="s">
        <v>161</v>
      </c>
    </row>
    <row r="25" spans="2:12" hidden="1" x14ac:dyDescent="0.3">
      <c r="B25" s="9"/>
      <c r="G25" s="73"/>
      <c r="H25" s="37"/>
    </row>
    <row r="26" spans="2:12" ht="15" hidden="1" x14ac:dyDescent="0.3">
      <c r="B26" s="105" t="s">
        <v>129</v>
      </c>
      <c r="C26" s="105"/>
      <c r="D26" s="105"/>
      <c r="E26" s="105"/>
      <c r="F26" s="16"/>
      <c r="G26" s="16"/>
      <c r="H26" s="16"/>
      <c r="I26" s="16"/>
      <c r="J26" s="16"/>
      <c r="K26" s="16"/>
      <c r="L26" s="76" t="s">
        <v>161</v>
      </c>
    </row>
    <row r="27" spans="2:12" hidden="1" x14ac:dyDescent="0.3">
      <c r="B27" s="9"/>
      <c r="G27" s="73"/>
      <c r="H27" s="37"/>
    </row>
    <row r="28" spans="2:12" ht="15" hidden="1" x14ac:dyDescent="0.3">
      <c r="B28" s="105" t="s">
        <v>130</v>
      </c>
      <c r="C28" s="105"/>
      <c r="D28" s="105"/>
      <c r="E28" s="105"/>
      <c r="F28" s="16"/>
      <c r="G28" s="16"/>
      <c r="H28" s="16"/>
      <c r="I28" s="16"/>
      <c r="J28" s="16"/>
      <c r="K28" s="16"/>
      <c r="L28" s="76" t="s">
        <v>161</v>
      </c>
    </row>
    <row r="29" spans="2:12" hidden="1" x14ac:dyDescent="0.3">
      <c r="B29" s="9"/>
      <c r="G29" s="73"/>
      <c r="H29" s="37"/>
    </row>
    <row r="30" spans="2:12" ht="15" hidden="1" x14ac:dyDescent="0.3">
      <c r="B30" s="105" t="s">
        <v>131</v>
      </c>
      <c r="C30" s="105"/>
      <c r="D30" s="105"/>
      <c r="E30" s="105"/>
      <c r="F30" s="16"/>
      <c r="G30" s="16"/>
      <c r="H30" s="16"/>
      <c r="I30" s="16"/>
      <c r="J30" s="16"/>
      <c r="K30" s="16"/>
      <c r="L30" s="76" t="s">
        <v>161</v>
      </c>
    </row>
    <row r="31" spans="2:12" hidden="1" x14ac:dyDescent="0.3">
      <c r="B31" s="9"/>
      <c r="G31" s="73"/>
      <c r="H31" s="37"/>
    </row>
    <row r="32" spans="2:12" ht="15" x14ac:dyDescent="0.3">
      <c r="B32" s="105" t="s">
        <v>132</v>
      </c>
      <c r="C32" s="105"/>
      <c r="D32" s="105"/>
      <c r="E32" s="105"/>
      <c r="F32" s="16"/>
      <c r="G32" s="16"/>
      <c r="H32" s="16"/>
      <c r="I32" s="16"/>
      <c r="J32" s="16"/>
      <c r="K32" s="16"/>
      <c r="L32" s="67" t="s">
        <v>161</v>
      </c>
    </row>
    <row r="33" spans="2:10" x14ac:dyDescent="0.3">
      <c r="B33" s="9" t="s">
        <v>153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159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3 E17:E21 E25 E12:E15">
    <cfRule type="expression" dxfId="89" priority="63">
      <formula>IF(ISBLANK($D12), FALSE, IF(RedGreen_Formatting = "Enabled", $D12 &lt;= $E12 + Percent_Error, FALSE))</formula>
    </cfRule>
    <cfRule type="expression" dxfId="88" priority="64">
      <formula>IF(ISBLANK($D12), FALSE, IF(RedGreen_Formatting = "Enabled", $D12 &gt; $E12 + Percent_Error, FALSE))</formula>
    </cfRule>
  </conditionalFormatting>
  <conditionalFormatting sqref="E22">
    <cfRule type="expression" dxfId="87" priority="61">
      <formula>IF(ISBLANK($D22), FALSE, IF(RedGreen_Formatting = "Enabled", $D22 &lt;= $E22 + Percent_Error, FALSE))</formula>
    </cfRule>
    <cfRule type="expression" dxfId="86" priority="62">
      <formula>IF(ISBLANK($D22), FALSE, IF(RedGreen_Formatting = "Enabled", $D22 &gt; $E22 + Percent_Error, FALSE))</formula>
    </cfRule>
  </conditionalFormatting>
  <conditionalFormatting sqref="E24">
    <cfRule type="expression" dxfId="85" priority="59">
      <formula>IF(ISBLANK($D24), FALSE, IF(RedGreen_Formatting = "Enabled", $D24 &lt;= $E24 + Percent_Error, FALSE))</formula>
    </cfRule>
    <cfRule type="expression" dxfId="84" priority="60">
      <formula>IF(ISBLANK($D24), FALSE, IF(RedGreen_Formatting = "Enabled", $D24 &gt; $E24 + Percent_Error, FALSE))</formula>
    </cfRule>
  </conditionalFormatting>
  <conditionalFormatting sqref="E26">
    <cfRule type="expression" dxfId="83" priority="57">
      <formula>IF(ISBLANK($D26), FALSE, IF(RedGreen_Formatting = "Enabled", $D26 &lt;= $E26 + Percent_Error, FALSE))</formula>
    </cfRule>
    <cfRule type="expression" dxfId="82" priority="58">
      <formula>IF(ISBLANK($D26), FALSE, IF(RedGreen_Formatting = "Enabled", $D26 &gt; $E26 + Percent_Error, FALSE))</formula>
    </cfRule>
  </conditionalFormatting>
  <conditionalFormatting sqref="E28">
    <cfRule type="expression" dxfId="81" priority="55">
      <formula>IF(ISBLANK($D28), FALSE, IF(RedGreen_Formatting = "Enabled", $D28 &lt;= $E28 + Percent_Error, FALSE))</formula>
    </cfRule>
    <cfRule type="expression" dxfId="80" priority="56">
      <formula>IF(ISBLANK($D28), FALSE, IF(RedGreen_Formatting = "Enabled", $D28 &gt; $E28 + Percent_Error, FALSE))</formula>
    </cfRule>
  </conditionalFormatting>
  <conditionalFormatting sqref="E30">
    <cfRule type="expression" dxfId="79" priority="53">
      <formula>IF(ISBLANK($D30), FALSE, IF(RedGreen_Formatting = "Enabled", $D30 &lt;= $E30 + Percent_Error, FALSE))</formula>
    </cfRule>
    <cfRule type="expression" dxfId="78" priority="54">
      <formula>IF(ISBLANK($D30), FALSE, IF(RedGreen_Formatting = "Enabled", $D30 &gt; $E30 + Percent_Error, FALSE))</formula>
    </cfRule>
  </conditionalFormatting>
  <conditionalFormatting sqref="E32">
    <cfRule type="expression" dxfId="77" priority="51">
      <formula>IF(ISBLANK($D32), FALSE, IF(RedGreen_Formatting = "Enabled", $D32 &lt;= $E32 + Percent_Error, FALSE))</formula>
    </cfRule>
    <cfRule type="expression" dxfId="76" priority="52">
      <formula>IF(ISBLANK($D32), FALSE, IF(RedGreen_Formatting = "Enabled", $D32 &gt; $E32 + Percent_Error, FALSE))</formula>
    </cfRule>
  </conditionalFormatting>
  <conditionalFormatting sqref="E34">
    <cfRule type="expression" dxfId="75" priority="33">
      <formula>IF(ISBLANK($D34), FALSE, IF(RedGreen_Formatting = "Enabled", $D34 &lt;= $E34 + Percent_Error, FALSE))</formula>
    </cfRule>
    <cfRule type="expression" dxfId="74" priority="34">
      <formula>IF(ISBLANK($D34), FALSE, IF(RedGreen_Formatting = "Enabled", $D34 &gt; $E34 + Percent_Error, FALSE))</formula>
    </cfRule>
  </conditionalFormatting>
  <conditionalFormatting sqref="E33">
    <cfRule type="expression" dxfId="73" priority="13">
      <formula>IF(ISBLANK($D33), FALSE, IF(RedGreen_Formatting = "Enabled", $D33 &lt;= $E33 + Percent_Error, FALSE))</formula>
    </cfRule>
    <cfRule type="expression" dxfId="72" priority="14">
      <formula>IF(ISBLANK($D33), FALSE, IF(RedGreen_Formatting = "Enabled", $D33 &gt; $E33 + Percent_Error, FALSE))</formula>
    </cfRule>
  </conditionalFormatting>
  <conditionalFormatting sqref="I33">
    <cfRule type="cellIs" dxfId="71" priority="7" operator="equal">
      <formula>"Not Ready"</formula>
    </cfRule>
    <cfRule type="cellIs" dxfId="70" priority="8" operator="equal">
      <formula>"Ready"</formula>
    </cfRule>
  </conditionalFormatting>
  <conditionalFormatting sqref="I16">
    <cfRule type="cellIs" dxfId="69" priority="1" operator="equal">
      <formula>"Not Ready"</formula>
    </cfRule>
    <cfRule type="cellIs" dxfId="68" priority="2" operator="equal">
      <formula>"Ready"</formula>
    </cfRule>
  </conditionalFormatting>
  <conditionalFormatting sqref="E16">
    <cfRule type="expression" dxfId="67" priority="3">
      <formula>IF(ISBLANK($D16), FALSE, IF(RedGreen_Formatting = "Enabled", $D16 &lt;= $E16 + Percent_Error, FALSE))</formula>
    </cfRule>
    <cfRule type="expression" dxfId="66" priority="4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Add_New_Trade_Sub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R30" sqref="R30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.453125" style="65" bestFit="1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5" thickBot="1" x14ac:dyDescent="0.4">
      <c r="R1" s="78" t="str">
        <f>HYPERLINK("#Main!A1", "Back to Main")</f>
        <v>Back to Main</v>
      </c>
      <c r="AA1" s="92" t="s">
        <v>80</v>
      </c>
      <c r="AB1" s="93"/>
    </row>
    <row r="2" spans="2:49" x14ac:dyDescent="0.3">
      <c r="B2" s="84" t="str">
        <f>_xlfn.CONCAT("PROGRESS REPORT ", TEXT(S3,"mm/dd/yyyy"))</f>
        <v>PROGRESS REPORT 07/01/2020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6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9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0" t="str">
        <f>Project_Name</f>
        <v>St. George Temple Major Renovation 2019</v>
      </c>
      <c r="D4" s="90"/>
      <c r="E4" s="90"/>
      <c r="F4" s="90"/>
      <c r="G4" s="90"/>
      <c r="H4" s="90"/>
      <c r="I4" s="90"/>
      <c r="J4" s="91" t="s">
        <v>38</v>
      </c>
      <c r="K4" s="91"/>
      <c r="L4" s="91"/>
      <c r="M4" s="91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0" t="str">
        <f>Project_Number</f>
        <v>S590</v>
      </c>
      <c r="D5" s="90"/>
      <c r="E5" s="90"/>
      <c r="F5" s="90"/>
      <c r="G5" s="90"/>
      <c r="H5" s="90"/>
      <c r="I5" s="90"/>
      <c r="J5" s="83" t="s">
        <v>42</v>
      </c>
      <c r="K5" s="83"/>
      <c r="L5" s="83"/>
      <c r="M5" s="83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107" t="str">
        <f>Main!C16</f>
        <v>Glassey Steel Works</v>
      </c>
      <c r="D6" s="107"/>
      <c r="E6" s="107"/>
      <c r="F6" s="107"/>
      <c r="G6" s="107"/>
      <c r="H6" s="107"/>
      <c r="I6" s="107"/>
      <c r="J6" s="83" t="str">
        <f>_xlfn.CONCAT("Overall Totals (", IF(ISBLANK($S$6),"",$S$6), ")")</f>
        <v>Overall Totals (Count)</v>
      </c>
      <c r="K6" s="83"/>
      <c r="L6" s="83"/>
      <c r="M6" s="83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0" t="str">
        <f>RIGHT(Main!B16, LEN(Main!B16) - 4)</f>
        <v>Structural Steel</v>
      </c>
      <c r="D7" s="90"/>
      <c r="E7" s="90"/>
      <c r="F7" s="90"/>
      <c r="G7" s="90"/>
      <c r="H7" s="90"/>
      <c r="I7" s="90"/>
      <c r="J7" s="83" t="str">
        <f>_xlfn.CONCAT("Overall Completed Totals (", IF(ISBLANK($S$6),"",$S$6), ")")</f>
        <v>Overall Completed Totals (Count)</v>
      </c>
      <c r="K7" s="83"/>
      <c r="L7" s="83"/>
      <c r="M7" s="83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83" t="str">
        <f>_xlfn.CONCAT("This Week's Production (", IF(ISBLANK($S$6),"",$S$6), ")")</f>
        <v>This Week's Production (Count)</v>
      </c>
      <c r="K8" s="83"/>
      <c r="L8" s="83"/>
      <c r="M8" s="83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83" t="str">
        <f>_xlfn.CONCAT("Weekly Average (", IF(ISBLANK($S$6),"",$S$6), ")")</f>
        <v>Weekly Average (Count)</v>
      </c>
      <c r="K9" s="83"/>
      <c r="L9" s="83"/>
      <c r="M9" s="83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158</v>
      </c>
      <c r="S9" s="20">
        <v>44013</v>
      </c>
      <c r="T9" s="17" t="s">
        <v>114</v>
      </c>
      <c r="U9" s="98" t="s">
        <v>116</v>
      </c>
      <c r="V9" s="98"/>
      <c r="W9" s="98"/>
      <c r="X9" s="98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83" t="str">
        <f>_xlfn.CONCAT("Average Past 4 Weeks (", IF(ISBLANK($S$6),"",$S$6), ")")</f>
        <v>Average Past 4 Weeks (Count)</v>
      </c>
      <c r="K10" s="83"/>
      <c r="L10" s="83"/>
      <c r="M10" s="83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99"/>
      <c r="V10" s="99"/>
      <c r="W10" s="99"/>
      <c r="X10" s="99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83" t="str">
        <f>_xlfn.CONCAT("On Schedule Average (", IF(ISBLANK($S$6),"",$S$6), ")")</f>
        <v>On Schedule Average (Count)</v>
      </c>
      <c r="K11" s="83"/>
      <c r="L11" s="83"/>
      <c r="M11" s="83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9"/>
      <c r="V11" s="99"/>
      <c r="W11" s="99"/>
      <c r="X11" s="99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94" t="s">
        <v>45</v>
      </c>
      <c r="K12" s="94"/>
      <c r="L12" s="94"/>
      <c r="M12" s="94"/>
      <c r="N12" s="95">
        <f ca="1">MAX(INDIRECT("Input_"&amp;$S$2&amp;"[Finish Date]"))</f>
        <v>44195</v>
      </c>
      <c r="O12" s="96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94" t="s">
        <v>46</v>
      </c>
      <c r="K13" s="94"/>
      <c r="L13" s="94"/>
      <c r="M13" s="94"/>
      <c r="N13" s="95">
        <f ca="1">IF($O$5&gt;0.999, "Completed", WORKDAY($S$3, ROUNDUP((SUM(Input_0501[Total])-(INDIRECT("AF"&amp;MATCH($S$3, Output_0501[Date],0)+13)))/($O$10/COUNTIF($U$2:$U$8, TRUE)),0), Holidays_Table[Holidays]))</f>
        <v>44285</v>
      </c>
      <c r="O13" s="97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9"/>
      <c r="N14" s="79"/>
      <c r="O14" s="80"/>
      <c r="R14" s="36"/>
      <c r="S14" s="37" t="s">
        <v>136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1"/>
      <c r="M15" s="81"/>
      <c r="N15" s="81"/>
      <c r="O15" s="82"/>
      <c r="R15" s="36"/>
      <c r="S15" s="37" t="s">
        <v>137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138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139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143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142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141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140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65" priority="7">
      <formula>ISERROR(AF14)</formula>
    </cfRule>
  </conditionalFormatting>
  <conditionalFormatting sqref="W13:X13">
    <cfRule type="expression" dxfId="64" priority="6">
      <formula>IF(OR($S$8 = "Assemble Addin", $S$8 = "Bluebeam QL"), TRUE, FALSE)</formula>
    </cfRule>
  </conditionalFormatting>
  <conditionalFormatting sqref="N6:O6">
    <cfRule type="expression" dxfId="63" priority="5">
      <formula>IF($N$6=$O$6, FALSE, TRUE)</formula>
    </cfRule>
  </conditionalFormatting>
  <conditionalFormatting sqref="W14:X21">
    <cfRule type="expression" dxfId="62" priority="3">
      <formula>IF(OR($S$8 = "Assemble Addin", $S$8 = "Bluebeam QL"), TRUE, FALSE)</formula>
    </cfRule>
    <cfRule type="expression" dxfId="61" priority="4">
      <formula>IF(OR($S$8 = "Assemble Addin", $S$8 = "Bluebeam QL"), MOD(ROW(), 2)=0, FALSE)</formula>
    </cfRule>
  </conditionalFormatting>
  <conditionalFormatting sqref="R13">
    <cfRule type="expression" dxfId="60" priority="2">
      <formula>IF($S$8 = "Assemble Addin", TRUE, FALSE)</formula>
    </cfRule>
  </conditionalFormatting>
  <conditionalFormatting sqref="R14:R21">
    <cfRule type="expression" dxfId="59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L44" sqref="L44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92" t="s">
        <v>80</v>
      </c>
      <c r="AB1" s="93"/>
    </row>
    <row r="2" spans="2:39" x14ac:dyDescent="0.3">
      <c r="B2" s="84" t="str">
        <f>_xlfn.CONCAT("PROGRESS REPORT ", TEXT(S3,"mm/dd/yyyy"))</f>
        <v>PROGRESS REPORT 07/01/2020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6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9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0" t="str">
        <f>Project_Name</f>
        <v>St. George Temple Major Renovation 2019</v>
      </c>
      <c r="D4" s="90"/>
      <c r="E4" s="90"/>
      <c r="F4" s="90"/>
      <c r="G4" s="90"/>
      <c r="H4" s="90"/>
      <c r="I4" s="90"/>
      <c r="J4" s="91" t="s">
        <v>38</v>
      </c>
      <c r="K4" s="91"/>
      <c r="L4" s="91"/>
      <c r="M4" s="91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0" t="str">
        <f>Project_Number</f>
        <v>S590</v>
      </c>
      <c r="D5" s="90"/>
      <c r="E5" s="90"/>
      <c r="F5" s="90"/>
      <c r="G5" s="90"/>
      <c r="H5" s="90"/>
      <c r="I5" s="90"/>
      <c r="J5" s="83" t="s">
        <v>42</v>
      </c>
      <c r="K5" s="83"/>
      <c r="L5" s="83"/>
      <c r="M5" s="83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0" t="str">
        <f>Main!C33</f>
        <v>Sample Sub</v>
      </c>
      <c r="D6" s="90"/>
      <c r="E6" s="90"/>
      <c r="F6" s="90"/>
      <c r="G6" s="90"/>
      <c r="H6" s="90"/>
      <c r="I6" s="90"/>
      <c r="J6" s="83" t="str">
        <f>_xlfn.CONCAT("Overall Totals (", IF(ISBLANK($S$6),"",$S$6), ")")</f>
        <v>Overall Totals (SF)</v>
      </c>
      <c r="K6" s="83"/>
      <c r="L6" s="83"/>
      <c r="M6" s="83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0" t="str">
        <f>RIGHT(Main!B33, LEN(Main!B33) - 4)</f>
        <v>Sample</v>
      </c>
      <c r="D7" s="90"/>
      <c r="E7" s="90"/>
      <c r="F7" s="90"/>
      <c r="G7" s="90"/>
      <c r="H7" s="90"/>
      <c r="I7" s="90"/>
      <c r="J7" s="83" t="str">
        <f>_xlfn.CONCAT("Overall Completed Totals (", IF(ISBLANK($S$6),"",$S$6), ")")</f>
        <v>Overall Completed Totals (SF)</v>
      </c>
      <c r="K7" s="83"/>
      <c r="L7" s="83"/>
      <c r="M7" s="83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83" t="str">
        <f>_xlfn.CONCAT("This Week's Production (", IF(ISBLANK($S$6),"",$S$6), ")")</f>
        <v>This Week's Production (SF)</v>
      </c>
      <c r="K8" s="83"/>
      <c r="L8" s="83"/>
      <c r="M8" s="83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83" t="str">
        <f>_xlfn.CONCAT("Weekly Average (", IF(ISBLANK($S$6),"",$S$6), ")")</f>
        <v>Weekly Average (SF)</v>
      </c>
      <c r="K9" s="83"/>
      <c r="L9" s="83"/>
      <c r="M9" s="83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98" t="s">
        <v>116</v>
      </c>
      <c r="V9" s="98"/>
      <c r="W9" s="98"/>
      <c r="X9" s="98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83" t="str">
        <f>_xlfn.CONCAT("Average Past 4 Weeks (", IF(ISBLANK($S$6),"",$S$6), ")")</f>
        <v>Average Past 4 Weeks (SF)</v>
      </c>
      <c r="K10" s="83"/>
      <c r="L10" s="83"/>
      <c r="M10" s="83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99" t="s">
        <v>156</v>
      </c>
      <c r="V10" s="99"/>
      <c r="W10" s="99"/>
      <c r="X10" s="99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83" t="str">
        <f>_xlfn.CONCAT("On Schedule Average (", IF(ISBLANK($S$6),"",$S$6), ")")</f>
        <v>On Schedule Average (SF)</v>
      </c>
      <c r="K11" s="83"/>
      <c r="L11" s="83"/>
      <c r="M11" s="83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99"/>
      <c r="V11" s="99"/>
      <c r="W11" s="99"/>
      <c r="X11" s="99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94" t="s">
        <v>45</v>
      </c>
      <c r="K12" s="94"/>
      <c r="L12" s="94"/>
      <c r="M12" s="94"/>
      <c r="N12" s="95">
        <f ca="1">MAX(INDIRECT("Input_"&amp;$S$2&amp;"[Finish Date]"))</f>
        <v>44105</v>
      </c>
      <c r="O12" s="96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94" t="s">
        <v>46</v>
      </c>
      <c r="K13" s="94"/>
      <c r="L13" s="94"/>
      <c r="M13" s="94"/>
      <c r="N13" s="95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97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1"/>
      <c r="M15" s="81"/>
      <c r="N15" s="81"/>
      <c r="O15" s="82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conditionalFormatting sqref="AF14:AL43">
    <cfRule type="containsErrors" dxfId="26" priority="7">
      <formula>ISERROR(AF14)</formula>
    </cfRule>
  </conditionalFormatting>
  <conditionalFormatting sqref="W13:X13">
    <cfRule type="expression" dxfId="25" priority="6">
      <formula>IF(OR($S$8 = "Assemble Addin", $S$8 = "Bluebeam QL"), TRUE, FALSE)</formula>
    </cfRule>
  </conditionalFormatting>
  <conditionalFormatting sqref="N6:O6">
    <cfRule type="expression" dxfId="24" priority="5">
      <formula>IF($N$6=$O$6, FALSE, TRUE)</formula>
    </cfRule>
  </conditionalFormatting>
  <conditionalFormatting sqref="W14:X16">
    <cfRule type="expression" dxfId="23" priority="3">
      <formula>IF(OR($S$8 = "Assemble Addin", $S$8 = "Bluebeam QL"), TRUE, FALSE)</formula>
    </cfRule>
    <cfRule type="expression" dxfId="22" priority="4">
      <formula>IF(OR($S$8 = "Assemble Addin", $S$8 = "Bluebeam QL"), MOD(ROW(), 2)=0, FALSE)</formula>
    </cfRule>
  </conditionalFormatting>
  <conditionalFormatting sqref="R13">
    <cfRule type="expression" dxfId="21" priority="2">
      <formula>IF($S$8 = "Assemble Addin", TRUE, FALSE)</formula>
    </cfRule>
  </conditionalFormatting>
  <conditionalFormatting sqref="R14:R16">
    <cfRule type="expression" dxfId="2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2020-07-31T16:14:46Z</cp:lastPrinted>
  <dcterms:created xsi:type="dcterms:W3CDTF">2019-04-09T17:53:55Z</dcterms:created>
  <dcterms:modified xsi:type="dcterms:W3CDTF">2020-07-31T16:51:54Z</dcterms:modified>
</cp:coreProperties>
</file>