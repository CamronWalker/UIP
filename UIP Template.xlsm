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F731C52E-3626-4A6A-AFF1-1D73A9C3BEEF}" xr6:coauthVersionLast="44" xr6:coauthVersionMax="44" xr10:uidLastSave="{00000000-0000-0000-0000-000000000000}"/>
  <bookViews>
    <workbookView xWindow="-28920" yWindow="14190" windowWidth="29040" windowHeight="17640" xr2:uid="{791B15CC-68B2-4D54-B53E-4FED7E26F6F4}"/>
  </bookViews>
  <sheets>
    <sheet name="Template" sheetId="3" r:id="rId1"/>
    <sheet name="Settings" sheetId="1" r:id="rId2"/>
    <sheet name="Main" sheetId="2" r:id="rId3"/>
    <sheet name="0000" sheetId="4" r:id="rId4"/>
  </sheets>
  <functionGroups builtInGroupCount="19"/>
  <definedNames>
    <definedName name="AssembleConnection">Settings!$C$11</definedName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3">'0000'!$B$2:$O$40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15" i="3" l="1"/>
  <c r="AF15" i="3" s="1"/>
  <c r="AD14" i="3"/>
  <c r="AF14" i="3" s="1"/>
  <c r="AC7" i="3"/>
  <c r="AC15" i="3" l="1"/>
  <c r="AC1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AU36" i="4"/>
  <c r="AU35" i="4"/>
  <c r="AU34" i="4"/>
  <c r="AU33" i="4"/>
  <c r="AU32" i="4"/>
  <c r="AU31" i="4"/>
  <c r="AU30" i="4"/>
  <c r="AU29" i="4"/>
  <c r="AU28" i="4"/>
  <c r="AU27" i="4"/>
  <c r="AU26" i="4"/>
  <c r="AU25" i="4"/>
  <c r="AU24" i="4"/>
  <c r="AU23" i="4"/>
  <c r="AU22" i="4"/>
  <c r="AU21" i="4"/>
  <c r="AU20" i="4"/>
  <c r="AU19" i="4"/>
  <c r="AU18" i="4"/>
  <c r="AU17" i="4"/>
  <c r="AU16" i="4"/>
  <c r="AU15" i="4"/>
  <c r="AU14" i="4"/>
  <c r="AS36" i="4"/>
  <c r="AS35" i="4"/>
  <c r="AS34" i="4"/>
  <c r="AS33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Q36" i="4"/>
  <c r="AQ35" i="4"/>
  <c r="AQ34" i="4"/>
  <c r="AQ33" i="4"/>
  <c r="AQ32" i="4"/>
  <c r="AQ31" i="4"/>
  <c r="AQ30" i="4"/>
  <c r="AQ29" i="4"/>
  <c r="AQ28" i="4"/>
  <c r="AQ27" i="4"/>
  <c r="AQ26" i="4"/>
  <c r="AQ25" i="4"/>
  <c r="AQ24" i="4"/>
  <c r="AQ23" i="4"/>
  <c r="AQ22" i="4"/>
  <c r="AQ21" i="4"/>
  <c r="AQ20" i="4"/>
  <c r="AQ19" i="4"/>
  <c r="AQ18" i="4"/>
  <c r="AQ17" i="4"/>
  <c r="AQ16" i="4"/>
  <c r="AQ15" i="4"/>
  <c r="AQ14" i="4"/>
  <c r="AO36" i="4"/>
  <c r="AO35" i="4"/>
  <c r="AO34" i="4"/>
  <c r="AO33" i="4"/>
  <c r="AO32" i="4"/>
  <c r="AO31" i="4"/>
  <c r="AO30" i="4"/>
  <c r="AO29" i="4"/>
  <c r="AO28" i="4"/>
  <c r="AO27" i="4"/>
  <c r="AO26" i="4"/>
  <c r="AO25" i="4"/>
  <c r="AO24" i="4"/>
  <c r="AO23" i="4"/>
  <c r="AO22" i="4"/>
  <c r="AO21" i="4"/>
  <c r="AO20" i="4"/>
  <c r="AO19" i="4"/>
  <c r="AO18" i="4"/>
  <c r="AO17" i="4"/>
  <c r="AO16" i="4"/>
  <c r="AO15" i="4"/>
  <c r="AO14" i="4"/>
  <c r="AM36" i="4"/>
  <c r="AM35" i="4"/>
  <c r="AM34" i="4"/>
  <c r="AM33" i="4"/>
  <c r="AM32" i="4"/>
  <c r="AM31" i="4"/>
  <c r="AM30" i="4"/>
  <c r="AM29" i="4"/>
  <c r="AM28" i="4"/>
  <c r="AM27" i="4"/>
  <c r="AM26" i="4"/>
  <c r="AM25" i="4"/>
  <c r="AM24" i="4"/>
  <c r="AM23" i="4"/>
  <c r="AM22" i="4"/>
  <c r="AM21" i="4"/>
  <c r="AM20" i="4"/>
  <c r="AM19" i="4"/>
  <c r="AM18" i="4"/>
  <c r="AM17" i="4"/>
  <c r="AM16" i="4"/>
  <c r="AM15" i="4"/>
  <c r="AM14" i="4"/>
  <c r="AK36" i="4"/>
  <c r="AK35" i="4"/>
  <c r="AK34" i="4"/>
  <c r="AK33" i="4"/>
  <c r="AK32" i="4"/>
  <c r="AK31" i="4"/>
  <c r="AK30" i="4"/>
  <c r="AK29" i="4"/>
  <c r="AK28" i="4"/>
  <c r="AK27" i="4"/>
  <c r="AK26" i="4"/>
  <c r="AK25" i="4"/>
  <c r="AK24" i="4"/>
  <c r="AK23" i="4"/>
  <c r="AK22" i="4"/>
  <c r="AK21" i="4"/>
  <c r="AK20" i="4"/>
  <c r="AK19" i="4"/>
  <c r="AK18" i="4"/>
  <c r="AK17" i="4"/>
  <c r="AK16" i="4"/>
  <c r="AK15" i="4"/>
  <c r="AK14" i="4"/>
  <c r="AI36" i="4"/>
  <c r="AI35" i="4"/>
  <c r="AI34" i="4"/>
  <c r="AI33" i="4"/>
  <c r="AI32" i="4"/>
  <c r="AI31" i="4"/>
  <c r="AI30" i="4"/>
  <c r="AI29" i="4"/>
  <c r="AI28" i="4"/>
  <c r="AI27" i="4"/>
  <c r="AI26" i="4"/>
  <c r="AI25" i="4"/>
  <c r="AI24" i="4"/>
  <c r="AI23" i="4"/>
  <c r="AI22" i="4"/>
  <c r="AI21" i="4"/>
  <c r="AI20" i="4"/>
  <c r="AI19" i="4"/>
  <c r="AI18" i="4"/>
  <c r="AI17" i="4"/>
  <c r="AI16" i="4"/>
  <c r="AI15" i="4"/>
  <c r="AI14" i="4"/>
  <c r="AG36" i="4"/>
  <c r="AG35" i="4"/>
  <c r="AG34" i="4"/>
  <c r="AG33" i="4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E14" i="3" l="1"/>
  <c r="AE15" i="3"/>
  <c r="AC30" i="4"/>
  <c r="AC18" i="4"/>
  <c r="AC29" i="4"/>
  <c r="AC17" i="4"/>
  <c r="AC28" i="4"/>
  <c r="AC16" i="4"/>
  <c r="AC27" i="4"/>
  <c r="AC15" i="4"/>
  <c r="AC26" i="4"/>
  <c r="AC14" i="4"/>
  <c r="AC25" i="4"/>
  <c r="AC36" i="4"/>
  <c r="AC24" i="4"/>
  <c r="AC35" i="4"/>
  <c r="AC23" i="4"/>
  <c r="AC34" i="4"/>
  <c r="AC22" i="4"/>
  <c r="AC33" i="4"/>
  <c r="AC21" i="4"/>
  <c r="AC32" i="4"/>
  <c r="AC20" i="4"/>
  <c r="AC31" i="4"/>
  <c r="AC19" i="4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B36" i="4"/>
  <c r="AB35" i="4"/>
  <c r="AB34" i="4"/>
  <c r="AB33" i="4"/>
  <c r="AB32" i="4"/>
  <c r="AB31" i="4"/>
  <c r="AB30" i="4"/>
  <c r="AB29" i="4"/>
  <c r="AB28" i="4"/>
  <c r="AB27" i="4"/>
  <c r="AB26" i="4"/>
  <c r="AB25" i="4"/>
  <c r="AB24" i="4"/>
  <c r="AB23" i="4"/>
  <c r="AB22" i="4"/>
  <c r="AB21" i="4"/>
  <c r="AB20" i="4"/>
  <c r="AB19" i="4"/>
  <c r="AB18" i="4"/>
  <c r="AB17" i="4"/>
  <c r="AB16" i="4"/>
  <c r="AB15" i="4"/>
  <c r="AB14" i="4"/>
  <c r="AE35" i="4" l="1"/>
  <c r="AE36" i="4"/>
  <c r="AE34" i="4"/>
  <c r="AE33" i="4"/>
  <c r="AE32" i="4"/>
  <c r="AE31" i="4"/>
  <c r="AE30" i="4"/>
  <c r="AE29" i="4"/>
  <c r="AE28" i="4"/>
  <c r="AE26" i="4"/>
  <c r="AE27" i="4"/>
  <c r="AE25" i="4"/>
  <c r="AE24" i="4"/>
  <c r="AE23" i="4"/>
  <c r="AE22" i="4"/>
  <c r="AE21" i="4"/>
  <c r="AE20" i="4"/>
  <c r="AE19" i="4"/>
  <c r="AE18" i="4"/>
  <c r="AE16" i="4"/>
  <c r="AE17" i="4"/>
  <c r="AE14" i="4"/>
  <c r="AE15" i="4"/>
  <c r="AA15" i="4"/>
  <c r="S4" i="3"/>
  <c r="N6" i="4"/>
  <c r="N12" i="4"/>
  <c r="AA16" i="4" l="1"/>
  <c r="S5" i="3"/>
  <c r="AA17" i="4" l="1"/>
  <c r="AA14" i="3"/>
  <c r="J11" i="3"/>
  <c r="J10" i="3"/>
  <c r="J9" i="3"/>
  <c r="J8" i="3"/>
  <c r="J7" i="3"/>
  <c r="J6" i="3"/>
  <c r="AA18" i="4" l="1"/>
  <c r="AA15" i="3"/>
  <c r="S7" i="3"/>
  <c r="L14" i="3" s="1"/>
  <c r="S3" i="3"/>
  <c r="S2" i="3"/>
  <c r="AB15" i="3"/>
  <c r="AB14" i="3"/>
  <c r="N12" i="3"/>
  <c r="AA19" i="4" l="1"/>
  <c r="B2" i="3"/>
  <c r="C7" i="3"/>
  <c r="C6" i="3"/>
  <c r="C5" i="3"/>
  <c r="C4" i="3"/>
  <c r="N6" i="3"/>
  <c r="AA20" i="4" l="1"/>
  <c r="AA21" i="4" l="1"/>
  <c r="AA22" i="4" s="1"/>
  <c r="AA23" i="4" s="1"/>
  <c r="AA24" i="4" s="1"/>
  <c r="AA25" i="4" s="1"/>
  <c r="AA26" i="4" s="1"/>
  <c r="AA27" i="4" s="1"/>
  <c r="AA28" i="4" s="1"/>
  <c r="AA29" i="4" s="1"/>
  <c r="AA30" i="4" s="1"/>
  <c r="AA31" i="4" s="1"/>
  <c r="AA32" i="4" s="1"/>
  <c r="AA33" i="4" s="1"/>
  <c r="AA34" i="4" s="1"/>
  <c r="AA35" i="4" s="1"/>
  <c r="AA36" i="4" s="1"/>
  <c r="B8" i="2"/>
  <c r="B7" i="2"/>
  <c r="B6" i="2"/>
  <c r="B2" i="2" l="1"/>
  <c r="B4" i="2"/>
  <c r="C6" i="1" l="1"/>
  <c r="O9" i="4"/>
  <c r="O7" i="4"/>
  <c r="O8" i="4"/>
  <c r="N7" i="4"/>
  <c r="N10" i="4"/>
  <c r="N8" i="4"/>
  <c r="O10" i="4"/>
  <c r="N5" i="4" l="1"/>
  <c r="N9" i="4"/>
  <c r="O6" i="4"/>
  <c r="O5" i="4" l="1"/>
  <c r="O10" i="3"/>
  <c r="O7" i="3"/>
  <c r="O9" i="3"/>
  <c r="O8" i="3"/>
  <c r="N10" i="3"/>
  <c r="N8" i="3"/>
  <c r="N7" i="3"/>
  <c r="N5" i="3" l="1"/>
  <c r="N11" i="3"/>
  <c r="O6" i="3"/>
  <c r="N9" i="3"/>
  <c r="O5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A0A320-EEC2-4AE4-9513-43B30576414C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1385948B-7CF2-420E-8A43-960A1F7D920F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W15" authorId="0" shapeId="0" xr:uid="{0D55D67B-51D8-41B9-BC82-36042BCA0C58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W16" authorId="0" shapeId="0" xr:uid="{EBD48E9E-CAA4-4603-9F9C-4E6094773924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W17" authorId="0" shapeId="0" xr:uid="{09324A20-4EC5-4089-89A6-D951C474A390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W18" authorId="0" shapeId="0" xr:uid="{62DB7059-0875-415A-9869-07F11554D0D9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W19" authorId="0" shapeId="0" xr:uid="{482721C0-BEAC-4433-A315-8AE72B0B294F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W20" authorId="0" shapeId="0" xr:uid="{C305C3BA-F7CF-4CAA-94A2-1A808562C58B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W21" authorId="0" shapeId="0" xr:uid="{639F24C8-8254-4F34-B0A7-261665FDBC31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</commentList>
</comments>
</file>

<file path=xl/sharedStrings.xml><?xml version="1.0" encoding="utf-8"?>
<sst xmlns="http://schemas.openxmlformats.org/spreadsheetml/2006/main" count="176" uniqueCount="132">
  <si>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</si>
  <si>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</si>
  <si>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</si>
  <si>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</si>
  <si>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</si>
  <si>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</si>
  <si>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</si>
  <si>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</si>
  <si>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</si>
  <si>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</si>
  <si>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</si>
  <si>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</si>
  <si>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</si>
  <si>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</si>
  <si>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</si>
  <si>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</si>
  <si>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</si>
  <si>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</si>
  <si>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</si>
  <si>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</si>
  <si>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</si>
  <si>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</si>
  <si>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</si>
  <si>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</si>
  <si>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</si>
  <si>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</si>
  <si>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</si>
  <si>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</si>
  <si>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</si>
  <si>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</si>
  <si>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</si>
  <si>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</si>
  <si>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</si>
  <si>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</si>
  <si>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</si>
  <si>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</si>
  <si>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</si>
  <si>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</si>
  <si>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</si>
  <si>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</si>
  <si>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</si>
  <si>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</si>
  <si>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</si>
  <si>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</si>
  <si>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</si>
  <si>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</si>
  <si>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</si>
  <si>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</si>
  <si>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</si>
  <si>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</si>
  <si>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</si>
  <si>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</si>
  <si>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</si>
  <si>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</si>
  <si>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</si>
  <si>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</si>
  <si>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</si>
  <si>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</si>
  <si>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</si>
  <si>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</si>
  <si>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</si>
  <si>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</si>
  <si>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</si>
  <si>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</si>
  <si>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</si>
  <si>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</si>
  <si>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</si>
  <si>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</si>
  <si>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</si>
  <si>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</si>
  <si>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</si>
  <si>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</si>
  <si>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</si>
  <si>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</si>
  <si>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</si>
  <si>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</si>
  <si>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</si>
  <si>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</si>
  <si>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</si>
  <si>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</si>
  <si>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</si>
  <si>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</si>
  <si>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</si>
  <si>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</si>
  <si>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</si>
  <si>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</si>
  <si>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</si>
  <si>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</si>
  <si>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</si>
  <si>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</si>
  <si>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</si>
  <si>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Tuesday</t>
  </si>
  <si>
    <t>Last Report Date:</t>
  </si>
  <si>
    <t>Manual</t>
  </si>
  <si>
    <t>DANGER ZONE</t>
  </si>
  <si>
    <t>Annex Basement/Columns</t>
  </si>
  <si>
    <t>Annex Clear Story</t>
  </si>
  <si>
    <t>Annex Level 1</t>
  </si>
  <si>
    <t>Level 0.5 Basement</t>
  </si>
  <si>
    <t>West Stair Tower</t>
  </si>
  <si>
    <t>Assemble Addin</t>
  </si>
  <si>
    <t>West Stair Roof</t>
  </si>
  <si>
    <t>Level 2 Ceiling</t>
  </si>
  <si>
    <t>Basement Ceiling Upgrade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</si>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</sst>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2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0" fillId="0" borderId="21" applyNumberFormat="0" applyFill="0" applyAlignment="0" applyProtection="0"/>
  </cellStyleXfs>
  <cellXfs count="95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1" fillId="0" borderId="0" xfId="3" applyFont="1" applyFill="1" applyBorder="1"/>
    <xf numFmtId="0" fontId="19" fillId="0" borderId="19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4" fillId="6" borderId="1" xfId="2" applyFont="1"/>
    <xf numFmtId="1" fontId="9" fillId="0" borderId="0" xfId="0" applyNumberFormat="1" applyFont="1"/>
    <xf numFmtId="22" fontId="9" fillId="0" borderId="0" xfId="0" applyNumberFormat="1" applyFont="1"/>
  </cellXfs>
  <cellStyles count="4">
    <cellStyle name="Calculation" xfId="2" builtinId="22"/>
    <cellStyle name="Input" xfId="1" builtinId="20"/>
    <cellStyle name="Linked Cell" xfId="3" builtinId="24"/>
    <cellStyle name="Normal" xfId="0" builtinId="0"/>
  </cellStyles>
  <dxfs count="64"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8C14B5D-9C09-491E-9DB6-98A399F44F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673390-BEC2-4E52-891A-AA16292D18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Template!$AA$14:$AA$16</c:f>
              <c:numCache>
                <c:formatCode>yyyy\-mm\-dd</c:formatCode>
                <c:ptCount val="3"/>
                <c:pt idx="0">
                  <c:v>43907</c:v>
                </c:pt>
                <c:pt idx="1">
                  <c:v>43914</c:v>
                </c:pt>
              </c:numCache>
            </c:numRef>
          </c:cat>
          <c:val>
            <c:numRef>
              <c:f>Template!$AC$14:$AC$16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Template!$AB$14:$AB$16</c15:f>
                <c15:dlblRangeCache>
                  <c:ptCount val="3"/>
                  <c:pt idx="0">
                    <c:v>0</c:v>
                  </c:pt>
                  <c:pt idx="1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Template!$AA$14:$AA$16</c:f>
              <c:numCache>
                <c:formatCode>yyyy\-mm\-dd</c:formatCode>
                <c:ptCount val="3"/>
                <c:pt idx="0">
                  <c:v>43907</c:v>
                </c:pt>
                <c:pt idx="1">
                  <c:v>43914</c:v>
                </c:pt>
              </c:numCache>
            </c:numRef>
          </c:cat>
          <c:val>
            <c:numRef>
              <c:f>Template!$AD$14:$AD$16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Template!$AA$14:$AA$16</c:f>
              <c:numCache>
                <c:formatCode>yyyy\-mm\-dd</c:formatCode>
                <c:ptCount val="3"/>
                <c:pt idx="0">
                  <c:v>43907</c:v>
                </c:pt>
                <c:pt idx="1">
                  <c:v>43914</c:v>
                </c:pt>
              </c:numCache>
            </c:numRef>
          </c:cat>
          <c:val>
            <c:numRef>
              <c:f>Template!$AE$14:$AE$16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Template!$AA$14:$AA$16</c:f>
              <c:numCache>
                <c:formatCode>yyyy\-mm\-dd</c:formatCode>
                <c:ptCount val="3"/>
                <c:pt idx="0">
                  <c:v>43907</c:v>
                </c:pt>
                <c:pt idx="1">
                  <c:v>43914</c:v>
                </c:pt>
              </c:numCache>
            </c:numRef>
          </c:cat>
          <c:val>
            <c:numRef>
              <c:f>Template!$AF$14:$AF$16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CDC0695-2D5F-4B83-A1C1-818D8BC116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2637BE-A9F2-457D-A04B-6DCCB5B1D4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E3B03E-3773-4BBF-BA20-1D435CEBEE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B7D989-6472-42BE-B071-251F4E5660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164F6AC-573B-4201-8F55-5D4B2E18FB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2358DF3-7536-468E-AD5F-03C6588758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CA9AD8F-D08D-4E6C-B008-752E8A502A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7BA59C-057C-496D-80BB-34E4E60486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67CE780-81D4-47CD-8445-9042447074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A7C1565-F461-4117-8EFD-E775180621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F4019E3-3461-409F-A4C1-FB47F7C06A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19772F-C345-44FF-8A6C-048EF1F1C6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0AC5B72-2FF3-4885-A455-68534784BA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FA9AD35-9128-4261-B231-0438A09277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8F9BE3-74DB-47CC-A294-3C911A591C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A00246-319D-4706-A41A-7A95C10260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42E982-F593-4E70-92B4-6FD607AE89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4939438-2593-438E-B362-272238116A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0C11527-21EE-4C7E-9084-92C97DAFE5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F1E018E-1507-4095-8F81-ABFE098ABF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3C3407A-F4DE-4791-A3F6-44DDB367D2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E2DBFB0-C434-4601-86CE-CE80648278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ABC07FB-8699-4EDB-93B7-E27B6B303B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74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82.36666666666666</c:v>
                </c:pt>
                <c:pt idx="10">
                  <c:v>126.67074829931971</c:v>
                </c:pt>
                <c:pt idx="11">
                  <c:v>92.176870748299308</c:v>
                </c:pt>
                <c:pt idx="12">
                  <c:v>75.843537414965979</c:v>
                </c:pt>
                <c:pt idx="13">
                  <c:v>176.71020408163264</c:v>
                </c:pt>
                <c:pt idx="14">
                  <c:v>199.51020408163265</c:v>
                </c:pt>
                <c:pt idx="15">
                  <c:v>66.310204081632648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14.204081632653061</c:v>
                </c:pt>
                <c:pt idx="21">
                  <c:v>13.333333333333334</c:v>
                </c:pt>
                <c:pt idx="22">
                  <c:v>6.666666666666667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148</c:v>
                </c:pt>
                <c:pt idx="2">
                  <c:v>148</c:v>
                </c:pt>
                <c:pt idx="3">
                  <c:v>148</c:v>
                </c:pt>
                <c:pt idx="4">
                  <c:v>148</c:v>
                </c:pt>
                <c:pt idx="5">
                  <c:v>148</c:v>
                </c:pt>
                <c:pt idx="6">
                  <c:v>148</c:v>
                </c:pt>
                <c:pt idx="7">
                  <c:v>160.08333333333334</c:v>
                </c:pt>
                <c:pt idx="8">
                  <c:v>172.16666666666669</c:v>
                </c:pt>
                <c:pt idx="9">
                  <c:v>254.53333333333336</c:v>
                </c:pt>
                <c:pt idx="10">
                  <c:v>381.20408163265307</c:v>
                </c:pt>
                <c:pt idx="11">
                  <c:v>473.38095238095241</c:v>
                </c:pt>
                <c:pt idx="12">
                  <c:v>549.22448979591843</c:v>
                </c:pt>
                <c:pt idx="13">
                  <c:v>725.93469387755113</c:v>
                </c:pt>
                <c:pt idx="14">
                  <c:v>925.44489795918378</c:v>
                </c:pt>
                <c:pt idx="15">
                  <c:v>991.75510204081638</c:v>
                </c:pt>
                <c:pt idx="16">
                  <c:v>1002.265306122449</c:v>
                </c:pt>
                <c:pt idx="17">
                  <c:v>1012.7755102040817</c:v>
                </c:pt>
                <c:pt idx="18">
                  <c:v>1023.2857142857143</c:v>
                </c:pt>
                <c:pt idx="19">
                  <c:v>1033.795918367347</c:v>
                </c:pt>
                <c:pt idx="20">
                  <c:v>1048</c:v>
                </c:pt>
                <c:pt idx="21">
                  <c:v>1061.3333333333333</c:v>
                </c:pt>
                <c:pt idx="22">
                  <c:v>1068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50054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63" dataDxfId="62">
  <autoFilter ref="R13:X16" xr:uid="{FF2C9E8B-1A62-479C-AF68-79B236C0B7BB}"/>
  <tableColumns count="7">
    <tableColumn id="1" xr3:uid="{727C6146-39EA-4E15-8783-53CAA87FAF36}" name="Zone ID" dataDxfId="61"/>
    <tableColumn id="2" xr3:uid="{2CA65110-6DD7-46D8-BFC2-5EB0C0E57567}" name="Description" dataDxfId="60"/>
    <tableColumn id="3" xr3:uid="{12D64F80-6A69-494F-BF8F-E326D34A185A}" name="Short Description" dataDxfId="59"/>
    <tableColumn id="4" xr3:uid="{71F3F5B2-8F6B-4985-B1FC-5A9D60095474}" name="Start Date" dataDxfId="58"/>
    <tableColumn id="5" xr3:uid="{57258378-8FED-4727-89AC-D938CB414B7B}" name="Finish Date" dataDxfId="57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F15" totalsRowShown="0" headerRowDxfId="56">
  <autoFilter ref="AA13:AF1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13F9A169-BFE8-4436-A535-BADFC0E7BD6C}" name="Date" dataDxfId="55">
      <calculatedColumnFormula>IF(AA13 = "Date", $S$4, AA13+7)</calculatedColumnFormula>
    </tableColumn>
    <tableColumn id="6" xr3:uid="{5740AC03-CF53-4345-8667-6AC0CA6843D0}" name="Primary Areas" dataDxfId="54">
      <calculatedColumnFormula>PrimaryAreas(3)</calculatedColumnFormula>
    </tableColumn>
    <tableColumn id="2" xr3:uid="{AF232D3D-EC3F-4232-BA5D-1427173C2D6A}" name="Weekly Plan" dataDxfId="53">
      <calculatedColumnFormula xml:space="preserve"> IF(#REF!="", 0,#REF!)+ IF(#REF!="", 0,#REF!)+ IF(#REF!="", 0,#REF!)</calculatedColumnFormula>
    </tableColumn>
    <tableColumn id="3" xr3:uid="{B28103F6-7596-4848-9F0D-3E4A9E5CBEFE}" name="Weekly Actual" dataDxfId="52">
      <calculatedColumnFormula>IF(AND(ISBLANK(#REF!),ISBLANK(#REF!),ISBLANK(#REF!)),"",#REF! +#REF!+#REF!)</calculatedColumnFormula>
    </tableColumn>
    <tableColumn id="4" xr3:uid="{EF1C6009-71E6-491B-B64F-04049D2D9103}" name="Accumulated Plan" dataDxfId="51">
      <calculatedColumnFormula>SUM($AC$14:AC14)</calculatedColumnFormula>
    </tableColumn>
    <tableColumn id="5" xr3:uid="{442DAB73-1233-4C61-8DE9-3B44CE2C5D69}" name="Accumulated Actual" dataDxfId="50">
      <calculatedColumnFormula>IF(AD14="",NA(),SUM($AD$14:AD14))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49">
  <autoFilter ref="H2:H5" xr:uid="{1041DC80-58D6-4308-9DE1-A4EC8AAD3C20}"/>
  <tableColumns count="1">
    <tableColumn id="1" xr3:uid="{0E6D3E77-7CB7-40A1-BCA6-DDC8164AAEB9}" name="Holidays" dataDxfId="48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47" dataDxfId="46">
  <autoFilter ref="R13:X21" xr:uid="{FF2C9E8B-1A62-479C-AF68-79B236C0B7BB}"/>
  <tableColumns count="7">
    <tableColumn id="1" xr3:uid="{5AA37268-DD16-498C-9169-AE2EA9DA526A}" name="Zone ID" dataDxfId="45"/>
    <tableColumn id="2" xr3:uid="{0E3A0621-3CBD-40FC-B7C1-86ED2397BCEE}" name="Description" dataDxfId="44"/>
    <tableColumn id="3" xr3:uid="{5A73CD5C-5126-40F4-B5B3-C7A438ED4F4F}" name="Short Description" dataDxfId="43"/>
    <tableColumn id="4" xr3:uid="{CDB025F5-BA1E-4D3D-9F16-1E7E8B24997A}" name="Start Date" dataDxfId="42"/>
    <tableColumn id="5" xr3:uid="{A32C4534-D094-4392-BDFF-D9E6184B332E}" name="Finish Date" dataDxfId="41"/>
    <tableColumn id="6" xr3:uid="{4EBF5FA0-D78E-4850-9053-2FD3D4DF8DDF}" name="Total" dataDxfId="40" dataCellStyle="Linked Cell"/>
    <tableColumn id="7" xr3:uid="{2024E4D3-6ED3-428B-AA0E-731077A47B05}" name="Completed Total" dataDxfId="39" dataCellStyle="Linked Cell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38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37">
      <calculatedColumnFormula>IF(AA13 = "Date", $S$4, AA13+7)</calculatedColumnFormula>
    </tableColumn>
    <tableColumn id="6" xr3:uid="{001A0E6C-64CB-4894-8C22-5853E33F6BB2}" name="Primary Areas" dataDxfId="36">
      <calculatedColumnFormula>PrimaryAreas(8)</calculatedColumnFormula>
    </tableColumn>
    <tableColumn id="2" xr3:uid="{1360E334-97F5-432E-BB23-793619A14458}" name="Weekly Plan" dataDxfId="35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34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33">
      <calculatedColumnFormula>SUM($AC$14:AC14)</calculatedColumnFormula>
    </tableColumn>
    <tableColumn id="5" xr3:uid="{1924FD4A-42CB-49CF-B4A5-079079B5D0F3}" name="Accumulated Actual" dataDxfId="32">
      <calculatedColumnFormula>IF(AD14="",NA(),SUM($AD$14:AD14))</calculatedColumnFormula>
    </tableColumn>
    <tableColumn id="23" xr3:uid="{9D909FAC-40FF-4109-8EAE-74DFABFF8319}" name="WP_ABC" dataDxfId="23">
      <calculatedColumnFormula>WeeklyPlanned(Output_0000[[#Headers],[WP_ABC]], Output_0000[[#This Row],[Date]])</calculatedColumnFormula>
    </tableColumn>
    <tableColumn id="24" xr3:uid="{92ADE5B7-CAEC-41A0-B928-8F7F4344FE26}" name="WA_ABC" dataDxfId="31"/>
    <tableColumn id="25" xr3:uid="{F7FD9E19-6CFF-44A1-AF87-237747B65D1E}" name="WP_ACS" dataDxfId="22">
      <calculatedColumnFormula>WeeklyPlanned(Output_0000[[#Headers],[WP_ACS]], Output_0000[[#This Row],[Date]])</calculatedColumnFormula>
    </tableColumn>
    <tableColumn id="26" xr3:uid="{1FD6096E-155A-48FA-BF57-ABEB209A76A8}" name="WA_ACS" dataDxfId="30"/>
    <tableColumn id="27" xr3:uid="{C32CB5E4-987A-4E05-BFD2-AD1BA55323A7}" name="WP_AL1" dataDxfId="21">
      <calculatedColumnFormula>WeeklyPlanned(Output_0000[[#Headers],[WP_AL1]], Output_0000[[#This Row],[Date]])</calculatedColumnFormula>
    </tableColumn>
    <tableColumn id="28" xr3:uid="{741EC55D-ACF8-45FE-B760-246C2984AB76}" name="WA_AL1" dataDxfId="29"/>
    <tableColumn id="29" xr3:uid="{02D5C536-D7AB-4845-AF46-BA557A0711BE}" name="WP_HBase" dataDxfId="20">
      <calculatedColumnFormula>WeeklyPlanned(Output_0000[[#Headers],[WP_HBase]], Output_0000[[#This Row],[Date]])</calculatedColumnFormula>
    </tableColumn>
    <tableColumn id="30" xr3:uid="{6CFFBF9B-4C23-4C48-B9B4-2C3A9A72CE8C}" name="WA_HBase" dataDxfId="28"/>
    <tableColumn id="31" xr3:uid="{27A2EB7B-E3EA-47B1-A3F2-FFBF58F06F0D}" name="WP_HWST" dataDxfId="19">
      <calculatedColumnFormula>WeeklyPlanned(Output_0000[[#Headers],[WP_HWST]], Output_0000[[#This Row],[Date]])</calculatedColumnFormula>
    </tableColumn>
    <tableColumn id="32" xr3:uid="{1F1D10B3-084B-4075-8E04-CBCE81737E69}" name="WA_HWST" dataDxfId="27"/>
    <tableColumn id="33" xr3:uid="{127722D0-80A4-4F75-9175-6D2C54EBC191}" name="WP_HWSR" dataDxfId="18">
      <calculatedColumnFormula>WeeklyPlanned(Output_0000[[#Headers],[WP_HWSR]], Output_0000[[#This Row],[Date]])</calculatedColumnFormula>
    </tableColumn>
    <tableColumn id="34" xr3:uid="{ED1A96FC-35C0-4018-81E1-B3B51101AB44}" name="WA_HWSR" dataDxfId="26"/>
    <tableColumn id="35" xr3:uid="{584725E1-3456-4D62-8919-994293AB89D3}" name="WP_HL2" dataDxfId="17">
      <calculatedColumnFormula>WeeklyPlanned(Output_0000[[#Headers],[WP_HL2]], Output_0000[[#This Row],[Date]])</calculatedColumnFormula>
    </tableColumn>
    <tableColumn id="36" xr3:uid="{0D58AE03-CEC6-4352-9275-206C438024A6}" name="WA_HL2" dataDxfId="25"/>
    <tableColumn id="37" xr3:uid="{76718DA7-C2F0-424A-9855-A1F7A4401A40}" name="WP_HBCeil" dataDxfId="16">
      <calculatedColumnFormula>WeeklyPlanned(Output_0000[[#Headers],[WP_HBCeil]], Output_0000[[#This Row],[Date]])</calculatedColumnFormula>
    </tableColumn>
    <tableColumn id="38" xr3:uid="{DF9E8E0F-9F93-4E51-85D2-94DDAA517F51}" name="WA_HBCeil" dataDxfId="24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9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8.xml"/><Relationship Id="rId9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G40"/>
  <sheetViews>
    <sheetView tabSelected="1" topLeftCell="T1" zoomScale="85" zoomScaleNormal="85" workbookViewId="0">
      <selection activeCell="AC21" sqref="AC21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3" ht="14.5" thickBot="1" x14ac:dyDescent="0.35">
      <c r="AA1" s="69" t="s">
        <v>94</v>
      </c>
      <c r="AB1" s="70"/>
    </row>
    <row r="2" spans="2:33" x14ac:dyDescent="0.3">
      <c r="B2" s="80" t="str">
        <f>_xlfn.CONCAT("PROGRESS REPORT ", TEXT(S3,"mm/dd/yyyy"))</f>
        <v>PROGRESS REPORT 05/26/2020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2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71</v>
      </c>
      <c r="U2" s="34" t="b">
        <v>1</v>
      </c>
      <c r="AA2" s="60"/>
      <c r="AB2" s="61"/>
    </row>
    <row r="3" spans="2:33" x14ac:dyDescent="0.3">
      <c r="B3" s="83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5"/>
      <c r="R3" s="24" t="s">
        <v>18</v>
      </c>
      <c r="S3" s="27">
        <f>Report_Date</f>
        <v>43977</v>
      </c>
      <c r="T3" s="24" t="s">
        <v>72</v>
      </c>
      <c r="U3" s="34" t="b">
        <v>1</v>
      </c>
      <c r="AA3" s="60"/>
      <c r="AB3" s="61"/>
      <c r="AC3" s="94">
        <v>43993.714282407411</v>
      </c>
      <c r="AF3" s="94"/>
    </row>
    <row r="4" spans="2:33" ht="15" x14ac:dyDescent="0.3">
      <c r="B4" s="28" t="s">
        <v>49</v>
      </c>
      <c r="C4" s="86" t="str">
        <f>Project_Name</f>
        <v>Westland Super Cool Project</v>
      </c>
      <c r="D4" s="86"/>
      <c r="E4" s="86"/>
      <c r="F4" s="86"/>
      <c r="G4" s="86"/>
      <c r="H4" s="86"/>
      <c r="I4" s="86"/>
      <c r="J4" s="87" t="s">
        <v>50</v>
      </c>
      <c r="K4" s="87"/>
      <c r="L4" s="87"/>
      <c r="M4" s="87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73</v>
      </c>
      <c r="U4" s="34" t="b">
        <v>1</v>
      </c>
      <c r="AA4" s="60"/>
      <c r="AB4" s="61"/>
      <c r="AC4" s="94">
        <v>43993.715810185182</v>
      </c>
      <c r="AF4" s="94"/>
    </row>
    <row r="5" spans="2:33" ht="15" x14ac:dyDescent="0.3">
      <c r="B5" s="28" t="s">
        <v>53</v>
      </c>
      <c r="C5" s="86" t="str">
        <f>Project_Number</f>
        <v>S000</v>
      </c>
      <c r="D5" s="86"/>
      <c r="E5" s="86"/>
      <c r="F5" s="86"/>
      <c r="G5" s="86"/>
      <c r="H5" s="86"/>
      <c r="I5" s="86"/>
      <c r="J5" s="79" t="s">
        <v>54</v>
      </c>
      <c r="K5" s="79"/>
      <c r="L5" s="79"/>
      <c r="M5" s="79"/>
      <c r="N5" s="32">
        <f ca="1">IF(ISERROR(N7/N6), 0, N7/N6)</f>
        <v>0</v>
      </c>
      <c r="O5" s="33">
        <f ca="1">IF(ISERROR(O7/O6), 0, O7/O6)</f>
        <v>0</v>
      </c>
      <c r="R5" s="24" t="s">
        <v>92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74</v>
      </c>
      <c r="U5" s="34" t="b">
        <v>1</v>
      </c>
      <c r="AA5" s="60"/>
      <c r="AB5" s="61"/>
    </row>
    <row r="6" spans="2:33" ht="15" x14ac:dyDescent="0.3">
      <c r="B6" s="28" t="s">
        <v>55</v>
      </c>
      <c r="C6" s="86" t="str">
        <f>Main!C12</f>
        <v>XYZ Corp</v>
      </c>
      <c r="D6" s="86"/>
      <c r="E6" s="86"/>
      <c r="F6" s="86"/>
      <c r="G6" s="86"/>
      <c r="H6" s="86"/>
      <c r="I6" s="86"/>
      <c r="J6" s="79" t="str">
        <f>_xlfn.CONCAT("Overall Totals (", IF(ISBLANK($S$6),"",$S$6), ")")</f>
        <v>Overall Totals (SF)</v>
      </c>
      <c r="K6" s="79"/>
      <c r="L6" s="79"/>
      <c r="M6" s="79"/>
      <c r="N6" s="35">
        <f ca="1">SUM(INDIRECT("Input_"&amp;$S$2&amp;"[Total]"))</f>
        <v>9000</v>
      </c>
      <c r="O6" s="36" t="e">
        <f ca="1">SUM(INDIRECT("Output_"&amp;$S$2&amp;"[Weekly Plan]"))</f>
        <v>#REF!</v>
      </c>
      <c r="R6" s="24" t="s">
        <v>63</v>
      </c>
      <c r="S6" s="26" t="s">
        <v>64</v>
      </c>
      <c r="T6" s="24" t="s">
        <v>75</v>
      </c>
      <c r="U6" s="34" t="b">
        <v>1</v>
      </c>
      <c r="AA6" s="60"/>
      <c r="AB6" s="61"/>
    </row>
    <row r="7" spans="2:33" ht="15.5" thickBot="1" x14ac:dyDescent="0.35">
      <c r="B7" s="28" t="s">
        <v>56</v>
      </c>
      <c r="C7" s="86" t="str">
        <f>RIGHT(Main!B13, LEN(Main!B13) - 4)</f>
        <v>Foundation Walls</v>
      </c>
      <c r="D7" s="86"/>
      <c r="E7" s="86"/>
      <c r="F7" s="86"/>
      <c r="G7" s="86"/>
      <c r="H7" s="86"/>
      <c r="I7" s="86"/>
      <c r="J7" s="79" t="str">
        <f>_xlfn.CONCAT("Overall Completed Totals (", IF(ISBLANK($S$6),"",$S$6), ")")</f>
        <v>Overall Completed Totals (SF)</v>
      </c>
      <c r="K7" s="79"/>
      <c r="L7" s="79"/>
      <c r="M7" s="79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62"/>
      <c r="AB7" s="63"/>
      <c r="AC7" s="8" t="str">
        <f>TEXT(AC4-AC3, "hh:mm:ss")</f>
        <v>00:02:12</v>
      </c>
    </row>
    <row r="8" spans="2:33" ht="15" x14ac:dyDescent="0.3">
      <c r="B8" s="37"/>
      <c r="C8" s="38"/>
      <c r="D8" s="38"/>
      <c r="E8" s="38"/>
      <c r="F8" s="38"/>
      <c r="G8" s="38"/>
      <c r="H8" s="38"/>
      <c r="I8" s="38"/>
      <c r="J8" s="79" t="str">
        <f>_xlfn.CONCAT("This Week's Production (", IF(ISBLANK($S$6),"",$S$6), ")")</f>
        <v>This Week's Production (SF)</v>
      </c>
      <c r="K8" s="79"/>
      <c r="L8" s="79"/>
      <c r="M8" s="79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62</v>
      </c>
      <c r="S8" s="26" t="s">
        <v>93</v>
      </c>
      <c r="T8" s="24" t="s">
        <v>77</v>
      </c>
      <c r="U8" s="34" t="b">
        <v>0</v>
      </c>
    </row>
    <row r="9" spans="2:33" ht="15" x14ac:dyDescent="0.3">
      <c r="B9" s="37"/>
      <c r="C9" s="38"/>
      <c r="D9" s="38"/>
      <c r="E9" s="38"/>
      <c r="F9" s="38"/>
      <c r="G9" s="38"/>
      <c r="H9" s="38"/>
      <c r="I9" s="38"/>
      <c r="J9" s="79" t="str">
        <f>_xlfn.CONCAT("Weekly Average (", IF(ISBLANK($S$6),"",$S$6), ")")</f>
        <v>Weekly Average (SF)</v>
      </c>
      <c r="K9" s="79"/>
      <c r="L9" s="79"/>
      <c r="M9" s="79"/>
      <c r="N9" s="39" t="e">
        <f ca="1">AVERAGE(INDIRECT("Output_"&amp;$S$2&amp;"[Weekly Plan]"))</f>
        <v>#REF!</v>
      </c>
      <c r="O9" s="40" t="e">
        <f ca="1">AVERAGE(INDIRECT("AD14:AD" &amp;MATCH($S$3,INDIRECT("Output_"&amp;$S$2&amp;"[Date]"),0)+14))</f>
        <v>#N/A</v>
      </c>
      <c r="T9" s="24" t="s">
        <v>130</v>
      </c>
      <c r="U9" s="34"/>
    </row>
    <row r="10" spans="2:33" ht="15" x14ac:dyDescent="0.3">
      <c r="B10" s="37"/>
      <c r="C10" s="38"/>
      <c r="D10" s="38"/>
      <c r="E10" s="38"/>
      <c r="F10" s="38"/>
      <c r="G10" s="38"/>
      <c r="H10" s="38"/>
      <c r="I10" s="38"/>
      <c r="J10" s="79" t="str">
        <f>_xlfn.CONCAT("Average Past 4 Weeks (", IF(ISBLANK($S$6),"",$S$6), ")")</f>
        <v>Average Past 4 Weeks (SF)</v>
      </c>
      <c r="K10" s="79"/>
      <c r="L10" s="79"/>
      <c r="M10" s="79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131</v>
      </c>
      <c r="U10" s="92"/>
    </row>
    <row r="11" spans="2:33" ht="15" x14ac:dyDescent="0.3">
      <c r="B11" s="37"/>
      <c r="C11" s="38"/>
      <c r="D11" s="38"/>
      <c r="E11" s="38"/>
      <c r="F11" s="38"/>
      <c r="G11" s="38"/>
      <c r="H11" s="38"/>
      <c r="I11" s="38"/>
      <c r="J11" s="79" t="str">
        <f>_xlfn.CONCAT("On Schedule Average (", IF(ISBLANK($S$6),"",$S$6), ")")</f>
        <v>On Schedule Average (SF)</v>
      </c>
      <c r="K11" s="79"/>
      <c r="L11" s="79"/>
      <c r="M11" s="79"/>
      <c r="N11" s="39" t="e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#N/A</v>
      </c>
      <c r="O11" s="40"/>
      <c r="AC11" s="93"/>
      <c r="AD11" s="93"/>
    </row>
    <row r="12" spans="2:33" ht="15" x14ac:dyDescent="0.3">
      <c r="B12" s="37"/>
      <c r="C12" s="38"/>
      <c r="D12" s="38"/>
      <c r="E12" s="38"/>
      <c r="F12" s="38"/>
      <c r="G12" s="38"/>
      <c r="H12" s="38"/>
      <c r="I12" s="38"/>
      <c r="J12" s="71" t="s">
        <v>57</v>
      </c>
      <c r="K12" s="71"/>
      <c r="L12" s="71"/>
      <c r="M12" s="71"/>
      <c r="N12" s="72">
        <f ca="1">MAX(INDIRECT("Input_"&amp;$S$2&amp;"[Finish Date]"))</f>
        <v>44105</v>
      </c>
      <c r="O12" s="73"/>
    </row>
    <row r="13" spans="2:33" ht="15.5" x14ac:dyDescent="0.35">
      <c r="B13" s="37"/>
      <c r="C13" s="38"/>
      <c r="D13" s="38"/>
      <c r="E13" s="38"/>
      <c r="F13" s="38"/>
      <c r="G13" s="38"/>
      <c r="H13" s="38"/>
      <c r="I13" s="38"/>
      <c r="J13" s="71" t="s">
        <v>58</v>
      </c>
      <c r="K13" s="71"/>
      <c r="L13" s="71"/>
      <c r="M13" s="71"/>
      <c r="N13" s="72"/>
      <c r="O13" s="74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6" t="s">
        <v>84</v>
      </c>
      <c r="AC13" t="s">
        <v>80</v>
      </c>
      <c r="AD13" t="s">
        <v>81</v>
      </c>
      <c r="AE13" t="s">
        <v>82</v>
      </c>
      <c r="AF13" t="s">
        <v>83</v>
      </c>
      <c r="AG13" s="55"/>
    </row>
    <row r="14" spans="2:33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5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5"/>
      <c r="N14" s="75"/>
      <c r="O14" s="76"/>
      <c r="R14" s="43" t="s">
        <v>88</v>
      </c>
      <c r="S14" s="44"/>
      <c r="T14" s="44" t="s">
        <v>85</v>
      </c>
      <c r="U14" s="45">
        <v>43905</v>
      </c>
      <c r="V14" s="45">
        <v>43983</v>
      </c>
      <c r="W14" s="8">
        <v>3000</v>
      </c>
      <c r="X14" s="8">
        <v>2900</v>
      </c>
      <c r="AA14" s="54">
        <f t="shared" ref="AA14:AA15" si="0">IF(AA13 = "Date", $S$4, AA13+7)</f>
        <v>43907</v>
      </c>
      <c r="AB14" s="56">
        <f ca="1">PrimaryAreas(3)</f>
        <v>0</v>
      </c>
      <c r="AC14" s="58" t="e">
        <f>IF(#REF!="", 0, #REF!)+IF(#REF!="", 0, #REF!)+IF(#REF!="", 0, #REF!)</f>
        <v>#REF!</v>
      </c>
      <c r="AD14" s="58" t="e">
        <f>IF(AND(ISBLANK(#REF!),ISBLANK(#REF!),ISBLANK(#REF!)),"", #REF!+#REF!+#REF!)</f>
        <v>#REF!</v>
      </c>
      <c r="AE14" s="58" t="e">
        <f>SUM($AC$14:AC14)</f>
        <v>#REF!</v>
      </c>
      <c r="AF14" s="58" t="e">
        <f>IF(AD14="",NA(),SUM($AD$14:AD14))</f>
        <v>#REF!</v>
      </c>
    </row>
    <row r="15" spans="2:33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7"/>
      <c r="M15" s="77"/>
      <c r="N15" s="77"/>
      <c r="O15" s="78"/>
      <c r="R15" s="43" t="s">
        <v>89</v>
      </c>
      <c r="S15" s="44"/>
      <c r="T15" s="44" t="s">
        <v>86</v>
      </c>
      <c r="U15" s="45">
        <v>43966</v>
      </c>
      <c r="V15" s="45">
        <v>44044</v>
      </c>
      <c r="W15" s="8">
        <v>3000</v>
      </c>
      <c r="X15" s="8">
        <v>750</v>
      </c>
      <c r="AA15" s="54">
        <f t="shared" si="0"/>
        <v>43914</v>
      </c>
      <c r="AB15" s="56">
        <f ca="1">PrimaryAreas(3)</f>
        <v>0</v>
      </c>
      <c r="AC15" s="58" t="e">
        <f>IF(#REF!="", 0, #REF!)+IF(#REF!="", 0, #REF!)+IF(#REF!="", 0, #REF!)</f>
        <v>#REF!</v>
      </c>
      <c r="AD15" s="58" t="e">
        <f>IF(AND(ISBLANK(#REF!),ISBLANK(#REF!),ISBLANK(#REF!)),"", #REF!+#REF!+#REF!)</f>
        <v>#REF!</v>
      </c>
      <c r="AE15" s="58" t="e">
        <f>SUM($AC$14:AC15)</f>
        <v>#REF!</v>
      </c>
      <c r="AF15" s="58" t="e">
        <f>IF(AD15="",NA(),SUM($AD$14:AD15))</f>
        <v>#REF!</v>
      </c>
    </row>
    <row r="16" spans="2:33" ht="15" x14ac:dyDescent="0.3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90</v>
      </c>
      <c r="S16" s="44"/>
      <c r="T16" s="44" t="s">
        <v>87</v>
      </c>
      <c r="U16" s="45">
        <v>44027</v>
      </c>
      <c r="V16" s="45">
        <v>44105</v>
      </c>
      <c r="W16" s="8">
        <v>3000</v>
      </c>
    </row>
    <row r="17" spans="2:22" ht="15" x14ac:dyDescent="0.3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</row>
    <row r="18" spans="2:22" ht="15" x14ac:dyDescent="0.3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</row>
    <row r="19" spans="2:22" ht="15" x14ac:dyDescent="0.3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</row>
    <row r="20" spans="2:22" ht="15" x14ac:dyDescent="0.3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</row>
    <row r="21" spans="2:22" ht="15" x14ac:dyDescent="0.3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</row>
    <row r="22" spans="2:22" ht="15" x14ac:dyDescent="0.3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</row>
    <row r="23" spans="2:22" ht="15" x14ac:dyDescent="0.3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</row>
    <row r="24" spans="2:22" ht="15" x14ac:dyDescent="0.3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</row>
    <row r="25" spans="2:22" ht="15" x14ac:dyDescent="0.3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</row>
    <row r="26" spans="2:22" ht="15" x14ac:dyDescent="0.3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</row>
    <row r="27" spans="2:22" ht="15" x14ac:dyDescent="0.3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</row>
    <row r="28" spans="2:22" ht="15" x14ac:dyDescent="0.3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</row>
    <row r="29" spans="2:22" ht="15" x14ac:dyDescent="0.3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</row>
    <row r="30" spans="2:22" ht="15" x14ac:dyDescent="0.3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</row>
    <row r="31" spans="2:22" ht="15" x14ac:dyDescent="0.3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</row>
    <row r="32" spans="2:22" ht="15" x14ac:dyDescent="0.3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</row>
    <row r="33" spans="2:15" ht="15" x14ac:dyDescent="0.3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</row>
    <row r="34" spans="2:15" ht="15" x14ac:dyDescent="0.3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</row>
    <row r="35" spans="2:15" ht="15" x14ac:dyDescent="0.3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</row>
    <row r="36" spans="2:15" ht="15" x14ac:dyDescent="0.3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</row>
    <row r="37" spans="2:15" ht="15" x14ac:dyDescent="0.3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</row>
    <row r="38" spans="2:15" ht="15" x14ac:dyDescent="0.3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</row>
    <row r="39" spans="2:15" ht="15" x14ac:dyDescent="0.3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</row>
    <row r="40" spans="2:15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</mergeCells>
  <phoneticPr fontId="6" type="noConversion"/>
  <conditionalFormatting sqref="AF14:AF15">
    <cfRule type="containsErrors" dxfId="15" priority="10">
      <formula>ISERROR(AF14)</formula>
    </cfRule>
  </conditionalFormatting>
  <conditionalFormatting sqref="W13:X13">
    <cfRule type="expression" dxfId="14" priority="8">
      <formula>IF(OR($S$8 = "Assemble Addin", $S$8 = "Bluebeam QL"), TRUE, FALSE)</formula>
    </cfRule>
  </conditionalFormatting>
  <conditionalFormatting sqref="N6:O6">
    <cfRule type="expression" dxfId="13" priority="7">
      <formula>IF($N$6=$O$6, FALSE, TRUE)</formula>
    </cfRule>
  </conditionalFormatting>
  <conditionalFormatting sqref="W14:X16">
    <cfRule type="expression" dxfId="12" priority="5">
      <formula>IF(OR($S$8 = "Assemble Addin", $S$8 = "Bluebeam QL"), TRUE, FALSE)</formula>
    </cfRule>
    <cfRule type="expression" dxfId="11" priority="6">
      <formula>IF(OR($S$8 = "Assemble Addin", $S$8 = "Bluebeam QL"), MOD(ROW(), 2)=0, FALSE)</formula>
    </cfRule>
  </conditionalFormatting>
  <conditionalFormatting sqref="R13">
    <cfRule type="expression" dxfId="10" priority="2">
      <formula>IF($S$8 = "Assemble Addin", TRUE, FALSE)</formula>
    </cfRule>
  </conditionalFormatting>
  <conditionalFormatting sqref="R14:R16">
    <cfRule type="expression" dxfId="9" priority="1">
      <formula>IF($S$8 = "Assemble Addin", MOD(ROW(), 2)=0, FALSE)</formula>
    </cfRule>
  </conditionalFormatting>
  <dataValidations disablePrompts="1"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10" sqref="H10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10" width="2.54296875" customWidth="1"/>
    <col min="11" max="11" width="23.1796875" bestFit="1" customWidth="1"/>
    <col min="12" max="12" width="86.54296875" bestFit="1" customWidth="1"/>
  </cols>
  <sheetData>
    <row r="1" spans="2:12" ht="15.5" x14ac:dyDescent="0.35">
      <c r="E1" s="88" t="s">
        <v>5</v>
      </c>
      <c r="F1" s="88"/>
      <c r="H1" s="2" t="s">
        <v>9</v>
      </c>
      <c r="K1" s="5" t="s">
        <v>12</v>
      </c>
      <c r="L1" s="5" t="s">
        <v>17</v>
      </c>
    </row>
    <row r="2" spans="2:12" ht="15.5" x14ac:dyDescent="0.35">
      <c r="B2" s="89" t="s">
        <v>6</v>
      </c>
      <c r="C2" s="89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91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B11" t="s">
        <v>100</v>
      </c>
      <c r="C11" s="4" t="s">
        <v>105</v>
      </c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7" sqref="H7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91" t="str">
        <f>"PROGRESS REPORT "&amp; TEXT(Report_Date, "mm/dd/yyy")</f>
        <v>PROGRESS REPORT 05/26/2020</v>
      </c>
      <c r="C2" s="91"/>
      <c r="D2" s="91"/>
      <c r="E2" s="91"/>
    </row>
    <row r="3" spans="2:11" ht="8.25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43977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90" t="s">
        <v>31</v>
      </c>
      <c r="C11" s="90"/>
      <c r="D11" s="90"/>
      <c r="E11" s="90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90" t="s">
        <v>32</v>
      </c>
      <c r="C15" s="90"/>
      <c r="D15" s="90"/>
      <c r="E15" s="90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90" t="s">
        <v>33</v>
      </c>
      <c r="C18" s="90"/>
      <c r="D18" s="90"/>
      <c r="E18" s="90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90" t="s">
        <v>34</v>
      </c>
      <c r="C21" s="90"/>
      <c r="D21" s="90"/>
      <c r="E21" s="90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90" t="s">
        <v>35</v>
      </c>
      <c r="C24" s="90"/>
      <c r="D24" s="90"/>
      <c r="E24" s="90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8" priority="1">
      <formula>IF(ISBLANK($D12), FALSE, IF(RedGreen_Formatting = "Enabled", $D12 &lt;= $E12 + Percent_Error, FALSE))</formula>
    </cfRule>
    <cfRule type="expression" dxfId="7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ignoredErrors>
    <ignoredError sqref="H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zoomScale="85" zoomScaleNormal="85" workbookViewId="0">
      <selection activeCell="N11" sqref="N11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69" t="s">
        <v>94</v>
      </c>
      <c r="AB1" s="70"/>
    </row>
    <row r="2" spans="2:49" x14ac:dyDescent="0.3">
      <c r="B2" s="80" t="str">
        <f>_xlfn.CONCAT("PROGRESS REPORT ", TEXT(S3,"mm/dd/yyyy"))</f>
        <v>PROGRESS REPORT 05/26/2020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2"/>
      <c r="R2" s="24" t="s">
        <v>60</v>
      </c>
      <c r="S2" s="25" t="str">
        <f ca="1">MID(CELL("filename",B1),FIND("]",CELL("filename",B1))+1,LEN(CELL("filename",B1))-FIND("]",CELL("filename",B1)))</f>
        <v>0000</v>
      </c>
      <c r="T2" s="24" t="s">
        <v>71</v>
      </c>
      <c r="U2" s="34" t="b">
        <v>1</v>
      </c>
      <c r="AA2" s="60"/>
      <c r="AB2" s="61"/>
    </row>
    <row r="3" spans="2:49" x14ac:dyDescent="0.3">
      <c r="B3" s="83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5"/>
      <c r="R3" s="24" t="s">
        <v>18</v>
      </c>
      <c r="S3" s="27">
        <f>Report_Date</f>
        <v>43977</v>
      </c>
      <c r="T3" s="24" t="s">
        <v>72</v>
      </c>
      <c r="U3" s="34" t="b">
        <v>1</v>
      </c>
      <c r="AA3" s="60"/>
      <c r="AB3" s="61"/>
    </row>
    <row r="4" spans="2:49" ht="15" x14ac:dyDescent="0.3">
      <c r="B4" s="28" t="s">
        <v>49</v>
      </c>
      <c r="C4" s="86" t="str">
        <f>Project_Name</f>
        <v>Westland Super Cool Project</v>
      </c>
      <c r="D4" s="86"/>
      <c r="E4" s="86"/>
      <c r="F4" s="86"/>
      <c r="G4" s="86"/>
      <c r="H4" s="86"/>
      <c r="I4" s="86"/>
      <c r="J4" s="87" t="s">
        <v>50</v>
      </c>
      <c r="K4" s="87"/>
      <c r="L4" s="87"/>
      <c r="M4" s="87"/>
      <c r="N4" s="29" t="s">
        <v>51</v>
      </c>
      <c r="O4" s="30" t="s">
        <v>52</v>
      </c>
      <c r="R4" s="24" t="s">
        <v>61</v>
      </c>
      <c r="S4" s="27">
        <f>MIN(Input_0000[Start Date])+(7-WEEKDAY(MIN(Input_0000[Start Date]),2)+_xlfn.SWITCH(Reporting_Day, "Sunday", 7, "Monday", 1, "Tuesday", 2, "Wednesday", 3, "Thursday", 4, "Friday", 5, "Saturday", 6))</f>
        <v>44047</v>
      </c>
      <c r="T4" s="24" t="s">
        <v>73</v>
      </c>
      <c r="U4" s="34" t="b">
        <v>1</v>
      </c>
      <c r="AA4" s="60"/>
      <c r="AB4" s="61"/>
    </row>
    <row r="5" spans="2:49" ht="15" x14ac:dyDescent="0.3">
      <c r="B5" s="28" t="s">
        <v>53</v>
      </c>
      <c r="C5" s="86" t="str">
        <f>Project_Number</f>
        <v>S000</v>
      </c>
      <c r="D5" s="86"/>
      <c r="E5" s="86"/>
      <c r="F5" s="86"/>
      <c r="G5" s="86"/>
      <c r="H5" s="86"/>
      <c r="I5" s="86"/>
      <c r="J5" s="79" t="s">
        <v>54</v>
      </c>
      <c r="K5" s="79"/>
      <c r="L5" s="79"/>
      <c r="M5" s="79"/>
      <c r="N5" s="32">
        <f ca="1">IF(ISERROR(N7/N6), 0, N7/N6)</f>
        <v>0</v>
      </c>
      <c r="O5" s="33">
        <f ca="1">IF(ISERROR(O7/O6), 0, O7/O6)</f>
        <v>0</v>
      </c>
      <c r="R5" s="24" t="s">
        <v>92</v>
      </c>
      <c r="S5" s="31">
        <f>MAX(Input_0000[Finish Date])+(7-WEEKDAY(MAX(Input_0000[Finish Date]),2)+_xlfn.SWITCH(Reporting_Day, "Sunday", 7, "Monday", 1, "Tuesday", 2, "Wednesday", 3, "Thursday", 4, "Friday", 5, "Saturday", 6))</f>
        <v>44201</v>
      </c>
      <c r="T5" s="24" t="s">
        <v>74</v>
      </c>
      <c r="U5" s="34" t="b">
        <v>1</v>
      </c>
      <c r="AA5" s="60"/>
      <c r="AB5" s="61"/>
    </row>
    <row r="6" spans="2:49" ht="15" x14ac:dyDescent="0.3">
      <c r="B6" s="28" t="s">
        <v>55</v>
      </c>
      <c r="C6" s="86" t="str">
        <f>Main!C12</f>
        <v>XYZ Corp</v>
      </c>
      <c r="D6" s="86"/>
      <c r="E6" s="86"/>
      <c r="F6" s="86"/>
      <c r="G6" s="86"/>
      <c r="H6" s="86"/>
      <c r="I6" s="86"/>
      <c r="J6" s="79" t="str">
        <f>_xlfn.CONCAT("Overall Totals (", IF(ISBLANK($S$6),"",$S$6), ")")</f>
        <v>Overall Totals (Count)</v>
      </c>
      <c r="K6" s="79"/>
      <c r="L6" s="79"/>
      <c r="M6" s="79"/>
      <c r="N6" s="35">
        <f ca="1">SUM(INDIRECT("Input_"&amp;$S$2&amp;"[Total]"))</f>
        <v>1068</v>
      </c>
      <c r="O6" s="36">
        <f ca="1">SUM(INDIRECT("Output_"&amp;$S$2&amp;"[Weekly Plan]"))</f>
        <v>1068</v>
      </c>
      <c r="R6" s="24" t="s">
        <v>63</v>
      </c>
      <c r="S6" s="26" t="s">
        <v>104</v>
      </c>
      <c r="T6" s="24" t="s">
        <v>75</v>
      </c>
      <c r="U6" s="34" t="b">
        <v>1</v>
      </c>
      <c r="AA6" s="60"/>
      <c r="AB6" s="61"/>
      <c r="AD6" s="45"/>
    </row>
    <row r="7" spans="2:49" ht="15.5" thickBot="1" x14ac:dyDescent="0.35">
      <c r="B7" s="28" t="s">
        <v>56</v>
      </c>
      <c r="C7" s="86" t="str">
        <f>RIGHT(Main!B13, LEN(Main!B13) - 4)</f>
        <v>Foundation Walls</v>
      </c>
      <c r="D7" s="86"/>
      <c r="E7" s="86"/>
      <c r="F7" s="86"/>
      <c r="G7" s="86"/>
      <c r="H7" s="86"/>
      <c r="I7" s="86"/>
      <c r="J7" s="79" t="str">
        <f>_xlfn.CONCAT("Overall Completed Totals (", IF(ISBLANK($S$6),"",$S$6), ")")</f>
        <v>Overall Completed Totals (Count)</v>
      </c>
      <c r="K7" s="79"/>
      <c r="L7" s="79"/>
      <c r="M7" s="79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62"/>
      <c r="AB7" s="63"/>
    </row>
    <row r="8" spans="2:49" ht="15" x14ac:dyDescent="0.3">
      <c r="B8" s="37"/>
      <c r="C8" s="59"/>
      <c r="D8" s="59"/>
      <c r="E8" s="59"/>
      <c r="F8" s="59"/>
      <c r="G8" s="59"/>
      <c r="H8" s="59"/>
      <c r="I8" s="59"/>
      <c r="J8" s="79" t="str">
        <f>_xlfn.CONCAT("This Week's Production (", IF(ISBLANK($S$6),"",$S$6), ")")</f>
        <v>This Week's Production (Count)</v>
      </c>
      <c r="K8" s="79"/>
      <c r="L8" s="79"/>
      <c r="M8" s="79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62</v>
      </c>
      <c r="S8" s="26" t="s">
        <v>100</v>
      </c>
      <c r="T8" s="24" t="s">
        <v>77</v>
      </c>
      <c r="U8" s="34" t="b">
        <v>0</v>
      </c>
    </row>
    <row r="9" spans="2:49" ht="15" x14ac:dyDescent="0.3">
      <c r="B9" s="37"/>
      <c r="C9" s="59"/>
      <c r="D9" s="59"/>
      <c r="E9" s="59"/>
      <c r="F9" s="59"/>
      <c r="G9" s="59"/>
      <c r="H9" s="59"/>
      <c r="I9" s="59"/>
      <c r="J9" s="79" t="str">
        <f>_xlfn.CONCAT("Weekly Average (", IF(ISBLANK($S$6),"",$S$6), ")")</f>
        <v>Weekly Average (Count)</v>
      </c>
      <c r="K9" s="79"/>
      <c r="L9" s="79"/>
      <c r="M9" s="79"/>
      <c r="N9" s="39">
        <f ca="1">AVERAGE(INDIRECT("Output_"&amp;$S$2&amp;"[Weekly Plan]"))</f>
        <v>46.434782608695649</v>
      </c>
      <c r="O9" s="40" t="e">
        <f ca="1">AVERAGE(INDIRECT("AD14:AD" &amp;MATCH($S$3,INDIRECT("Output_"&amp;$S$2&amp;"[Date]"),0)+13))</f>
        <v>#N/A</v>
      </c>
      <c r="T9" s="24" t="s">
        <v>130</v>
      </c>
      <c r="U9" s="34"/>
    </row>
    <row r="10" spans="2:49" ht="15" x14ac:dyDescent="0.3">
      <c r="B10" s="37"/>
      <c r="C10" s="59"/>
      <c r="D10" s="59"/>
      <c r="E10" s="59"/>
      <c r="F10" s="59"/>
      <c r="G10" s="59"/>
      <c r="H10" s="59"/>
      <c r="I10" s="59"/>
      <c r="J10" s="79" t="str">
        <f>_xlfn.CONCAT("Average Past 4 Weeks (", IF(ISBLANK($S$6),"",$S$6), ")")</f>
        <v>Average Past 4 Weeks (Count)</v>
      </c>
      <c r="K10" s="79"/>
      <c r="L10" s="79"/>
      <c r="M10" s="79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131</v>
      </c>
      <c r="U10" s="92"/>
    </row>
    <row r="11" spans="2:49" ht="15" x14ac:dyDescent="0.3">
      <c r="B11" s="37"/>
      <c r="C11" s="59"/>
      <c r="D11" s="59"/>
      <c r="E11" s="59"/>
      <c r="F11" s="59"/>
      <c r="G11" s="59"/>
      <c r="H11" s="59"/>
      <c r="I11" s="59"/>
      <c r="J11" s="79" t="str">
        <f>_xlfn.CONCAT("On Schedule Average (", IF(ISBLANK($S$6),"",$S$6), ")")</f>
        <v>On Schedule Average (Count)</v>
      </c>
      <c r="K11" s="79"/>
      <c r="L11" s="79"/>
      <c r="M11" s="79"/>
      <c r="N11" s="39"/>
      <c r="O11" s="40"/>
    </row>
    <row r="12" spans="2:49" ht="15" x14ac:dyDescent="0.3">
      <c r="B12" s="37"/>
      <c r="C12" s="59"/>
      <c r="D12" s="59"/>
      <c r="E12" s="59"/>
      <c r="F12" s="59"/>
      <c r="G12" s="59"/>
      <c r="H12" s="59"/>
      <c r="I12" s="59"/>
      <c r="J12" s="71" t="s">
        <v>57</v>
      </c>
      <c r="K12" s="71"/>
      <c r="L12" s="71"/>
      <c r="M12" s="71"/>
      <c r="N12" s="72">
        <f ca="1">MAX(INDIRECT("Input_"&amp;$S$2&amp;"[Finish Date]"))</f>
        <v>44195</v>
      </c>
      <c r="O12" s="73"/>
    </row>
    <row r="13" spans="2:49" ht="15.5" x14ac:dyDescent="0.35">
      <c r="B13" s="37"/>
      <c r="C13" s="59"/>
      <c r="D13" s="59"/>
      <c r="E13" s="59"/>
      <c r="F13" s="59"/>
      <c r="G13" s="59"/>
      <c r="H13" s="59"/>
      <c r="I13" s="59"/>
      <c r="J13" s="71" t="s">
        <v>58</v>
      </c>
      <c r="K13" s="71"/>
      <c r="L13" s="71"/>
      <c r="M13" s="71"/>
      <c r="N13" s="72"/>
      <c r="O13" s="74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6" t="s">
        <v>84</v>
      </c>
      <c r="AC13" t="s">
        <v>80</v>
      </c>
      <c r="AD13" t="s">
        <v>81</v>
      </c>
      <c r="AE13" t="s">
        <v>82</v>
      </c>
      <c r="AF13" t="s">
        <v>83</v>
      </c>
      <c r="AG13" s="64" t="s">
        <v>107</v>
      </c>
      <c r="AH13" s="64" t="s">
        <v>108</v>
      </c>
      <c r="AI13" s="64" t="s">
        <v>116</v>
      </c>
      <c r="AJ13" s="64" t="s">
        <v>117</v>
      </c>
      <c r="AK13" s="64" t="s">
        <v>118</v>
      </c>
      <c r="AL13" s="64" t="s">
        <v>119</v>
      </c>
      <c r="AM13" s="64" t="s">
        <v>120</v>
      </c>
      <c r="AN13" s="64" t="s">
        <v>121</v>
      </c>
      <c r="AO13" s="64" t="s">
        <v>122</v>
      </c>
      <c r="AP13" s="64" t="s">
        <v>123</v>
      </c>
      <c r="AQ13" s="64" t="s">
        <v>124</v>
      </c>
      <c r="AR13" s="64" t="s">
        <v>125</v>
      </c>
      <c r="AS13" s="64" t="s">
        <v>126</v>
      </c>
      <c r="AT13" s="64" t="s">
        <v>127</v>
      </c>
      <c r="AU13" s="64" t="s">
        <v>128</v>
      </c>
      <c r="AV13" s="64" t="s">
        <v>129</v>
      </c>
      <c r="AW13" s="55"/>
    </row>
    <row r="14" spans="2:49" ht="15.5" x14ac:dyDescent="0.35">
      <c r="B14" s="37"/>
      <c r="C14" s="59"/>
      <c r="D14" s="59"/>
      <c r="E14" s="59"/>
      <c r="F14" s="59"/>
      <c r="G14" s="59"/>
      <c r="H14" s="59"/>
      <c r="I14" s="59"/>
      <c r="J14" s="42"/>
      <c r="K14" s="42"/>
      <c r="L14" s="75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5"/>
      <c r="N14" s="75"/>
      <c r="O14" s="76"/>
      <c r="R14" s="43"/>
      <c r="S14" s="44" t="s">
        <v>95</v>
      </c>
      <c r="T14" s="44" t="s">
        <v>106</v>
      </c>
      <c r="U14" s="45">
        <v>44040</v>
      </c>
      <c r="V14" s="45">
        <v>44053</v>
      </c>
      <c r="W14" s="8">
        <v>148</v>
      </c>
      <c r="AA14" s="54">
        <f t="shared" ref="AA14" si="0">IF(AA13 = "Date", $S$4, AA13+7)</f>
        <v>44047</v>
      </c>
      <c r="AB14" s="56" t="str">
        <f ca="1">PrimaryAreas(8)</f>
        <v>ABC</v>
      </c>
      <c r="AC1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8">
        <f ca="1">SUM($AC$14:AC14)</f>
        <v>74</v>
      </c>
      <c r="AF14" s="58" t="e">
        <f>IF(AD14="",NA(),SUM($AD$14:AD14))</f>
        <v>#N/A</v>
      </c>
      <c r="AG14" s="58">
        <f ca="1">WeeklyPlanned(Output_0000[[#Headers],[WP_ABC]], Output_0000[[#This Row],[Date]])</f>
        <v>74</v>
      </c>
      <c r="AH14" s="58"/>
      <c r="AI14" s="58" t="str">
        <f ca="1">WeeklyPlanned(Output_0000[[#Headers],[WP_ACS]], Output_0000[[#This Row],[Date]])</f>
        <v/>
      </c>
      <c r="AJ14" s="58"/>
      <c r="AK14" s="58" t="str">
        <f ca="1">WeeklyPlanned(Output_0000[[#Headers],[WP_AL1]], Output_0000[[#This Row],[Date]])</f>
        <v/>
      </c>
      <c r="AL14" s="58"/>
      <c r="AM14" s="58" t="str">
        <f ca="1">WeeklyPlanned(Output_0000[[#Headers],[WP_HBase]], Output_0000[[#This Row],[Date]])</f>
        <v/>
      </c>
      <c r="AN14" s="58"/>
      <c r="AO14" s="58" t="str">
        <f ca="1">WeeklyPlanned(Output_0000[[#Headers],[WP_HWST]], Output_0000[[#This Row],[Date]])</f>
        <v/>
      </c>
      <c r="AP14" s="58"/>
      <c r="AQ14" s="58" t="str">
        <f ca="1">WeeklyPlanned(Output_0000[[#Headers],[WP_HWSR]], Output_0000[[#This Row],[Date]])</f>
        <v/>
      </c>
      <c r="AR14" s="58"/>
      <c r="AS14" s="58" t="str">
        <f ca="1">WeeklyPlanned(Output_0000[[#Headers],[WP_HL2]], Output_0000[[#This Row],[Date]])</f>
        <v/>
      </c>
      <c r="AT14" s="58"/>
      <c r="AU14" s="58" t="str">
        <f ca="1">WeeklyPlanned(Output_0000[[#Headers],[WP_HBCeil]], Output_0000[[#This Row],[Date]])</f>
        <v/>
      </c>
      <c r="AV14" s="58"/>
    </row>
    <row r="15" spans="2:49" ht="16" thickBot="1" x14ac:dyDescent="0.4">
      <c r="B15" s="37"/>
      <c r="C15" s="59"/>
      <c r="D15" s="59"/>
      <c r="E15" s="59"/>
      <c r="F15" s="59"/>
      <c r="G15" s="59"/>
      <c r="H15" s="59"/>
      <c r="I15" s="59"/>
      <c r="J15" s="46"/>
      <c r="K15" s="46"/>
      <c r="L15" s="77"/>
      <c r="M15" s="77"/>
      <c r="N15" s="77"/>
      <c r="O15" s="78"/>
      <c r="R15" s="43"/>
      <c r="S15" s="44" t="s">
        <v>96</v>
      </c>
      <c r="T15" s="44" t="s">
        <v>109</v>
      </c>
      <c r="U15" s="45">
        <v>44105</v>
      </c>
      <c r="V15" s="45">
        <v>44111</v>
      </c>
      <c r="W15" s="8">
        <v>102</v>
      </c>
      <c r="AA15" s="54">
        <f t="shared" ref="AA15:AA20" si="1">IF(AA14 = "Date", $S$4, AA14+7)</f>
        <v>44054</v>
      </c>
      <c r="AB15" s="56" t="str">
        <f ca="1">PrimaryAreas(8)</f>
        <v>ABC</v>
      </c>
      <c r="AC1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8">
        <f ca="1">SUM($AC$14:AC15)</f>
        <v>148</v>
      </c>
      <c r="AF15" s="58" t="e">
        <f>IF(AD15="",NA(),SUM($AD$14:AD15))</f>
        <v>#N/A</v>
      </c>
      <c r="AG15" s="58">
        <f ca="1">WeeklyPlanned(Output_0000[[#Headers],[WP_ABC]], Output_0000[[#This Row],[Date]])</f>
        <v>74</v>
      </c>
      <c r="AH15" s="58"/>
      <c r="AI15" s="58" t="str">
        <f ca="1">WeeklyPlanned(Output_0000[[#Headers],[WP_ACS]], Output_0000[[#This Row],[Date]])</f>
        <v/>
      </c>
      <c r="AJ15" s="58"/>
      <c r="AK15" s="58" t="str">
        <f ca="1">WeeklyPlanned(Output_0000[[#Headers],[WP_AL1]], Output_0000[[#This Row],[Date]])</f>
        <v/>
      </c>
      <c r="AL15" s="58"/>
      <c r="AM15" s="58" t="str">
        <f ca="1">WeeklyPlanned(Output_0000[[#Headers],[WP_HBase]], Output_0000[[#This Row],[Date]])</f>
        <v/>
      </c>
      <c r="AN15" s="58"/>
      <c r="AO15" s="58" t="str">
        <f ca="1">WeeklyPlanned(Output_0000[[#Headers],[WP_HWST]], Output_0000[[#This Row],[Date]])</f>
        <v/>
      </c>
      <c r="AP15" s="58"/>
      <c r="AQ15" s="58" t="str">
        <f ca="1">WeeklyPlanned(Output_0000[[#Headers],[WP_HWSR]], Output_0000[[#This Row],[Date]])</f>
        <v/>
      </c>
      <c r="AR15" s="58"/>
      <c r="AS15" s="58" t="str">
        <f ca="1">WeeklyPlanned(Output_0000[[#Headers],[WP_HL2]], Output_0000[[#This Row],[Date]])</f>
        <v/>
      </c>
      <c r="AT15" s="58"/>
      <c r="AU15" s="58" t="str">
        <f ca="1">WeeklyPlanned(Output_0000[[#Headers],[WP_HBCeil]], Output_0000[[#This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97</v>
      </c>
      <c r="T16" s="44" t="s">
        <v>110</v>
      </c>
      <c r="U16" s="45">
        <v>44133</v>
      </c>
      <c r="V16" s="45">
        <v>44146</v>
      </c>
      <c r="W16" s="8">
        <v>279</v>
      </c>
      <c r="AA16" s="54">
        <f t="shared" si="1"/>
        <v>44061</v>
      </c>
      <c r="AB16" s="56">
        <f ca="1">PrimaryAreas(8)</f>
        <v>0</v>
      </c>
      <c r="AC1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8">
        <f ca="1">SUM($AC$14:AC16)</f>
        <v>148</v>
      </c>
      <c r="AF16" s="58" t="e">
        <f>IF(AD16="",NA(),SUM($AD$14:AD16))</f>
        <v>#N/A</v>
      </c>
      <c r="AG16" s="58" t="str">
        <f ca="1">WeeklyPlanned(Output_0000[[#Headers],[WP_ABC]], Output_0000[[#This Row],[Date]])</f>
        <v/>
      </c>
      <c r="AH16" s="58"/>
      <c r="AI16" s="58" t="str">
        <f ca="1">WeeklyPlanned(Output_0000[[#Headers],[WP_ACS]], Output_0000[[#This Row],[Date]])</f>
        <v/>
      </c>
      <c r="AJ16" s="58"/>
      <c r="AK16" s="58" t="str">
        <f ca="1">WeeklyPlanned(Output_0000[[#Headers],[WP_AL1]], Output_0000[[#This Row],[Date]])</f>
        <v/>
      </c>
      <c r="AL16" s="58"/>
      <c r="AM16" s="58" t="str">
        <f ca="1">WeeklyPlanned(Output_0000[[#Headers],[WP_HBase]], Output_0000[[#This Row],[Date]])</f>
        <v/>
      </c>
      <c r="AN16" s="58"/>
      <c r="AO16" s="58" t="str">
        <f ca="1">WeeklyPlanned(Output_0000[[#Headers],[WP_HWST]], Output_0000[[#This Row],[Date]])</f>
        <v/>
      </c>
      <c r="AP16" s="58"/>
      <c r="AQ16" s="58" t="str">
        <f ca="1">WeeklyPlanned(Output_0000[[#Headers],[WP_HWSR]], Output_0000[[#This Row],[Date]])</f>
        <v/>
      </c>
      <c r="AR16" s="58"/>
      <c r="AS16" s="58" t="str">
        <f ca="1">WeeklyPlanned(Output_0000[[#Headers],[WP_HL2]], Output_0000[[#This Row],[Date]])</f>
        <v/>
      </c>
      <c r="AT16" s="58"/>
      <c r="AU16" s="58" t="str">
        <f ca="1">WeeklyPlanned(Output_0000[[#Headers],[WP_HBCeil]], Output_0000[[#This Row],[Date]])</f>
        <v/>
      </c>
      <c r="AV16" s="58"/>
    </row>
    <row r="17" spans="2:48" ht="15.5" x14ac:dyDescent="0.35">
      <c r="B17" s="37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0"/>
      <c r="R17" s="65"/>
      <c r="S17" s="66" t="s">
        <v>98</v>
      </c>
      <c r="T17" s="66" t="s">
        <v>111</v>
      </c>
      <c r="U17" s="67">
        <v>44131</v>
      </c>
      <c r="V17" s="67">
        <v>44140</v>
      </c>
      <c r="W17" s="68">
        <v>132</v>
      </c>
      <c r="X17" s="68"/>
      <c r="AA17" s="54">
        <f t="shared" si="1"/>
        <v>44068</v>
      </c>
      <c r="AB17" s="56">
        <f ca="1">PrimaryAreas(8)</f>
        <v>0</v>
      </c>
      <c r="AC1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8">
        <f ca="1">SUM($AC$14:AC17)</f>
        <v>148</v>
      </c>
      <c r="AF17" s="58" t="e">
        <f>IF(AD17="",NA(),SUM($AD$14:AD17))</f>
        <v>#N/A</v>
      </c>
      <c r="AG17" s="58" t="str">
        <f ca="1">WeeklyPlanned(Output_0000[[#Headers],[WP_ABC]], Output_0000[[#This Row],[Date]])</f>
        <v/>
      </c>
      <c r="AH17" s="58"/>
      <c r="AI17" s="58" t="str">
        <f ca="1">WeeklyPlanned(Output_0000[[#Headers],[WP_ACS]], Output_0000[[#This Row],[Date]])</f>
        <v/>
      </c>
      <c r="AJ17" s="58"/>
      <c r="AK17" s="58" t="str">
        <f ca="1">WeeklyPlanned(Output_0000[[#Headers],[WP_AL1]], Output_0000[[#This Row],[Date]])</f>
        <v/>
      </c>
      <c r="AL17" s="58"/>
      <c r="AM17" s="58" t="str">
        <f ca="1">WeeklyPlanned(Output_0000[[#Headers],[WP_HBase]], Output_0000[[#This Row],[Date]])</f>
        <v/>
      </c>
      <c r="AN17" s="58"/>
      <c r="AO17" s="58" t="str">
        <f ca="1">WeeklyPlanned(Output_0000[[#Headers],[WP_HWST]], Output_0000[[#This Row],[Date]])</f>
        <v/>
      </c>
      <c r="AP17" s="58"/>
      <c r="AQ17" s="58" t="str">
        <f ca="1">WeeklyPlanned(Output_0000[[#Headers],[WP_HWSR]], Output_0000[[#This Row],[Date]])</f>
        <v/>
      </c>
      <c r="AR17" s="58"/>
      <c r="AS17" s="58" t="str">
        <f ca="1">WeeklyPlanned(Output_0000[[#Headers],[WP_HL2]], Output_0000[[#This Row],[Date]])</f>
        <v/>
      </c>
      <c r="AT17" s="58"/>
      <c r="AU17" s="58" t="str">
        <f ca="1">WeeklyPlanned(Output_0000[[#Headers],[WP_HBCeil]], Output_0000[[#This Row],[Date]])</f>
        <v/>
      </c>
      <c r="AV17" s="58"/>
    </row>
    <row r="18" spans="2:48" ht="15.5" x14ac:dyDescent="0.35">
      <c r="B18" s="37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0"/>
      <c r="R18" s="65"/>
      <c r="S18" s="66" t="s">
        <v>99</v>
      </c>
      <c r="T18" s="66" t="s">
        <v>112</v>
      </c>
      <c r="U18" s="67">
        <v>44113</v>
      </c>
      <c r="V18" s="67">
        <v>44181</v>
      </c>
      <c r="W18" s="68">
        <v>103</v>
      </c>
      <c r="X18" s="68"/>
      <c r="AA18" s="54">
        <f t="shared" si="1"/>
        <v>44075</v>
      </c>
      <c r="AB18" s="56">
        <f ca="1">PrimaryAreas(8)</f>
        <v>0</v>
      </c>
      <c r="AC1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8">
        <f ca="1">SUM($AC$14:AC18)</f>
        <v>148</v>
      </c>
      <c r="AF18" s="58" t="e">
        <f>IF(AD18="",NA(),SUM($AD$14:AD18))</f>
        <v>#N/A</v>
      </c>
      <c r="AG18" s="58" t="str">
        <f ca="1">WeeklyPlanned(Output_0000[[#Headers],[WP_ABC]], Output_0000[[#This Row],[Date]])</f>
        <v/>
      </c>
      <c r="AH18" s="58"/>
      <c r="AI18" s="58" t="str">
        <f ca="1">WeeklyPlanned(Output_0000[[#Headers],[WP_ACS]], Output_0000[[#This Row],[Date]])</f>
        <v/>
      </c>
      <c r="AJ18" s="58"/>
      <c r="AK18" s="58" t="str">
        <f ca="1">WeeklyPlanned(Output_0000[[#Headers],[WP_AL1]], Output_0000[[#This Row],[Date]])</f>
        <v/>
      </c>
      <c r="AL18" s="58"/>
      <c r="AM18" s="58" t="str">
        <f ca="1">WeeklyPlanned(Output_0000[[#Headers],[WP_HBase]], Output_0000[[#This Row],[Date]])</f>
        <v/>
      </c>
      <c r="AN18" s="58"/>
      <c r="AO18" s="58" t="str">
        <f ca="1">WeeklyPlanned(Output_0000[[#Headers],[WP_HWST]], Output_0000[[#This Row],[Date]])</f>
        <v/>
      </c>
      <c r="AP18" s="58"/>
      <c r="AQ18" s="58" t="str">
        <f ca="1">WeeklyPlanned(Output_0000[[#Headers],[WP_HWSR]], Output_0000[[#This Row],[Date]])</f>
        <v/>
      </c>
      <c r="AR18" s="58"/>
      <c r="AS18" s="58" t="str">
        <f ca="1">WeeklyPlanned(Output_0000[[#Headers],[WP_HL2]], Output_0000[[#This Row],[Date]])</f>
        <v/>
      </c>
      <c r="AT18" s="58"/>
      <c r="AU18" s="58" t="str">
        <f ca="1">WeeklyPlanned(Output_0000[[#Headers],[WP_HBCeil]], Output_0000[[#This Row],[Date]])</f>
        <v/>
      </c>
      <c r="AV18" s="58"/>
    </row>
    <row r="19" spans="2:48" ht="15.5" x14ac:dyDescent="0.35">
      <c r="B19" s="37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0"/>
      <c r="R19" s="65"/>
      <c r="S19" s="66" t="s">
        <v>101</v>
      </c>
      <c r="T19" s="66" t="s">
        <v>113</v>
      </c>
      <c r="U19" s="67">
        <v>44182</v>
      </c>
      <c r="V19" s="67">
        <v>44195</v>
      </c>
      <c r="W19" s="68">
        <v>30</v>
      </c>
      <c r="X19" s="68"/>
      <c r="AA19" s="54">
        <f t="shared" si="1"/>
        <v>44082</v>
      </c>
      <c r="AB19" s="56">
        <f ca="1">PrimaryAreas(8)</f>
        <v>0</v>
      </c>
      <c r="AC1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8">
        <f ca="1">SUM($AC$14:AC19)</f>
        <v>148</v>
      </c>
      <c r="AF19" s="58" t="e">
        <f>IF(AD19="",NA(),SUM($AD$14:AD19))</f>
        <v>#N/A</v>
      </c>
      <c r="AG19" s="58" t="str">
        <f ca="1">WeeklyPlanned(Output_0000[[#Headers],[WP_ABC]], Output_0000[[#This Row],[Date]])</f>
        <v/>
      </c>
      <c r="AH19" s="58"/>
      <c r="AI19" s="58" t="str">
        <f ca="1">WeeklyPlanned(Output_0000[[#Headers],[WP_ACS]], Output_0000[[#This Row],[Date]])</f>
        <v/>
      </c>
      <c r="AJ19" s="58"/>
      <c r="AK19" s="58" t="str">
        <f ca="1">WeeklyPlanned(Output_0000[[#Headers],[WP_AL1]], Output_0000[[#This Row],[Date]])</f>
        <v/>
      </c>
      <c r="AL19" s="58"/>
      <c r="AM19" s="58" t="str">
        <f ca="1">WeeklyPlanned(Output_0000[[#Headers],[WP_HBase]], Output_0000[[#This Row],[Date]])</f>
        <v/>
      </c>
      <c r="AN19" s="58"/>
      <c r="AO19" s="58" t="str">
        <f ca="1">WeeklyPlanned(Output_0000[[#Headers],[WP_HWST]], Output_0000[[#This Row],[Date]])</f>
        <v/>
      </c>
      <c r="AP19" s="58"/>
      <c r="AQ19" s="58" t="str">
        <f ca="1">WeeklyPlanned(Output_0000[[#Headers],[WP_HWSR]], Output_0000[[#This Row],[Date]])</f>
        <v/>
      </c>
      <c r="AR19" s="58"/>
      <c r="AS19" s="58" t="str">
        <f ca="1">WeeklyPlanned(Output_0000[[#Headers],[WP_HL2]], Output_0000[[#This Row],[Date]])</f>
        <v/>
      </c>
      <c r="AT19" s="58"/>
      <c r="AU19" s="58" t="str">
        <f ca="1">WeeklyPlanned(Output_0000[[#Headers],[WP_HBCeil]], Output_0000[[#This Row],[Date]])</f>
        <v/>
      </c>
      <c r="AV19" s="58"/>
    </row>
    <row r="20" spans="2:48" ht="15.5" x14ac:dyDescent="0.35">
      <c r="B20" s="37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0"/>
      <c r="R20" s="65"/>
      <c r="S20" s="66" t="s">
        <v>102</v>
      </c>
      <c r="T20" s="66" t="s">
        <v>114</v>
      </c>
      <c r="U20" s="67">
        <v>44109</v>
      </c>
      <c r="V20" s="67">
        <v>44127</v>
      </c>
      <c r="W20" s="68">
        <v>245</v>
      </c>
      <c r="X20" s="68"/>
      <c r="AA20" s="54">
        <f t="shared" si="1"/>
        <v>44089</v>
      </c>
      <c r="AB20" s="56">
        <f ca="1">PrimaryAreas(8)</f>
        <v>0</v>
      </c>
      <c r="AC2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2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8">
        <f ca="1">SUM($AC$14:AC20)</f>
        <v>148</v>
      </c>
      <c r="AF20" s="58" t="e">
        <f>IF(AD20="",NA(),SUM($AD$14:AD20))</f>
        <v>#N/A</v>
      </c>
      <c r="AG20" s="58" t="str">
        <f ca="1">WeeklyPlanned(Output_0000[[#Headers],[WP_ABC]], Output_0000[[#This Row],[Date]])</f>
        <v/>
      </c>
      <c r="AH20" s="58"/>
      <c r="AI20" s="58" t="str">
        <f ca="1">WeeklyPlanned(Output_0000[[#Headers],[WP_ACS]], Output_0000[[#This Row],[Date]])</f>
        <v/>
      </c>
      <c r="AJ20" s="58"/>
      <c r="AK20" s="58" t="str">
        <f ca="1">WeeklyPlanned(Output_0000[[#Headers],[WP_AL1]], Output_0000[[#This Row],[Date]])</f>
        <v/>
      </c>
      <c r="AL20" s="58"/>
      <c r="AM20" s="58" t="str">
        <f ca="1">WeeklyPlanned(Output_0000[[#Headers],[WP_HBase]], Output_0000[[#This Row],[Date]])</f>
        <v/>
      </c>
      <c r="AN20" s="58"/>
      <c r="AO20" s="58" t="str">
        <f ca="1">WeeklyPlanned(Output_0000[[#Headers],[WP_HWST]], Output_0000[[#This Row],[Date]])</f>
        <v/>
      </c>
      <c r="AP20" s="58"/>
      <c r="AQ20" s="58" t="str">
        <f ca="1">WeeklyPlanned(Output_0000[[#Headers],[WP_HWSR]], Output_0000[[#This Row],[Date]])</f>
        <v/>
      </c>
      <c r="AR20" s="58"/>
      <c r="AS20" s="58" t="str">
        <f ca="1">WeeklyPlanned(Output_0000[[#Headers],[WP_HL2]], Output_0000[[#This Row],[Date]])</f>
        <v/>
      </c>
      <c r="AT20" s="58"/>
      <c r="AU20" s="58" t="str">
        <f ca="1">WeeklyPlanned(Output_0000[[#Headers],[WP_HBCeil]], Output_0000[[#This Row],[Date]])</f>
        <v/>
      </c>
      <c r="AV20" s="58"/>
    </row>
    <row r="21" spans="2:48" ht="15.5" x14ac:dyDescent="0.35">
      <c r="B21" s="37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0"/>
      <c r="R21" s="65"/>
      <c r="S21" s="66" t="s">
        <v>103</v>
      </c>
      <c r="T21" s="66" t="s">
        <v>115</v>
      </c>
      <c r="U21" s="67">
        <v>44089</v>
      </c>
      <c r="V21" s="67">
        <v>44104</v>
      </c>
      <c r="W21" s="68">
        <v>29</v>
      </c>
      <c r="X21" s="68"/>
      <c r="AA21" s="54">
        <f>IF(AA20 = "Date", $S$4, AA20+7)</f>
        <v>44096</v>
      </c>
      <c r="AB21" s="56" t="str">
        <f ca="1">PrimaryAreas(8)</f>
        <v>HBCeil</v>
      </c>
      <c r="AC2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8">
        <f ca="1">SUM($AC$14:AC21)</f>
        <v>160.08333333333334</v>
      </c>
      <c r="AF21" s="58" t="e">
        <f>IF(AD21="",NA(),SUM($AD$14:AD21))</f>
        <v>#N/A</v>
      </c>
      <c r="AG21" s="58" t="str">
        <f ca="1">WeeklyPlanned(Output_0000[[#Headers],[WP_ABC]], Output_0000[[#This Row],[Date]])</f>
        <v/>
      </c>
      <c r="AH21" s="58"/>
      <c r="AI21" s="58" t="str">
        <f ca="1">WeeklyPlanned(Output_0000[[#Headers],[WP_ACS]], Output_0000[[#This Row],[Date]])</f>
        <v/>
      </c>
      <c r="AJ21" s="58"/>
      <c r="AK21" s="58" t="str">
        <f ca="1">WeeklyPlanned(Output_0000[[#Headers],[WP_AL1]], Output_0000[[#This Row],[Date]])</f>
        <v/>
      </c>
      <c r="AL21" s="58"/>
      <c r="AM21" s="58" t="str">
        <f ca="1">WeeklyPlanned(Output_0000[[#Headers],[WP_HBase]], Output_0000[[#This Row],[Date]])</f>
        <v/>
      </c>
      <c r="AN21" s="58"/>
      <c r="AO21" s="58" t="str">
        <f ca="1">WeeklyPlanned(Output_0000[[#Headers],[WP_HWST]], Output_0000[[#This Row],[Date]])</f>
        <v/>
      </c>
      <c r="AP21" s="58"/>
      <c r="AQ21" s="58" t="str">
        <f ca="1">WeeklyPlanned(Output_0000[[#Headers],[WP_HWSR]], Output_0000[[#This Row],[Date]])</f>
        <v/>
      </c>
      <c r="AR21" s="58"/>
      <c r="AS21" s="58" t="str">
        <f ca="1">WeeklyPlanned(Output_0000[[#Headers],[WP_HL2]], Output_0000[[#This Row],[Date]])</f>
        <v/>
      </c>
      <c r="AT21" s="58"/>
      <c r="AU21" s="58">
        <f ca="1">WeeklyPlanned(Output_0000[[#Headers],[WP_HBCeil]], Output_0000[[#This Row],[Date]])</f>
        <v>12.083333333333332</v>
      </c>
      <c r="AV21" s="58"/>
    </row>
    <row r="22" spans="2:48" ht="15.5" x14ac:dyDescent="0.35">
      <c r="B22" s="37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0"/>
      <c r="AA22" s="54">
        <f>IF(AA21 = "Date", $S$4, AA21+7)</f>
        <v>44103</v>
      </c>
      <c r="AB22" s="56" t="str">
        <f ca="1">PrimaryAreas(8)</f>
        <v>HBCeil</v>
      </c>
      <c r="AC2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8">
        <f ca="1">SUM($AC$14:AC22)</f>
        <v>172.16666666666669</v>
      </c>
      <c r="AF22" s="58" t="e">
        <f>IF(AD22="",NA(),SUM($AD$14:AD22))</f>
        <v>#N/A</v>
      </c>
      <c r="AG22" s="58" t="str">
        <f ca="1">WeeklyPlanned(Output_0000[[#Headers],[WP_ABC]], Output_0000[[#This Row],[Date]])</f>
        <v/>
      </c>
      <c r="AH22" s="58"/>
      <c r="AI22" s="58" t="str">
        <f ca="1">WeeklyPlanned(Output_0000[[#Headers],[WP_ACS]], Output_0000[[#This Row],[Date]])</f>
        <v/>
      </c>
      <c r="AJ22" s="58"/>
      <c r="AK22" s="58" t="str">
        <f ca="1">WeeklyPlanned(Output_0000[[#Headers],[WP_AL1]], Output_0000[[#This Row],[Date]])</f>
        <v/>
      </c>
      <c r="AL22" s="58"/>
      <c r="AM22" s="58" t="str">
        <f ca="1">WeeklyPlanned(Output_0000[[#Headers],[WP_HBase]], Output_0000[[#This Row],[Date]])</f>
        <v/>
      </c>
      <c r="AN22" s="58"/>
      <c r="AO22" s="58" t="str">
        <f ca="1">WeeklyPlanned(Output_0000[[#Headers],[WP_HWST]], Output_0000[[#This Row],[Date]])</f>
        <v/>
      </c>
      <c r="AP22" s="58"/>
      <c r="AQ22" s="58" t="str">
        <f ca="1">WeeklyPlanned(Output_0000[[#Headers],[WP_HWSR]], Output_0000[[#This Row],[Date]])</f>
        <v/>
      </c>
      <c r="AR22" s="58"/>
      <c r="AS22" s="58" t="str">
        <f ca="1">WeeklyPlanned(Output_0000[[#Headers],[WP_HL2]], Output_0000[[#This Row],[Date]])</f>
        <v/>
      </c>
      <c r="AT22" s="58"/>
      <c r="AU22" s="58">
        <f ca="1">WeeklyPlanned(Output_0000[[#Headers],[WP_HBCeil]], Output_0000[[#This Row],[Date]])</f>
        <v>12.083333333333332</v>
      </c>
      <c r="AV22" s="58"/>
    </row>
    <row r="23" spans="2:48" ht="15.5" x14ac:dyDescent="0.35">
      <c r="B23" s="37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0"/>
      <c r="AA23" s="54">
        <f>IF(AA22 = "Date", $S$4, AA22+7)</f>
        <v>44110</v>
      </c>
      <c r="AB23" s="56" t="str">
        <f ca="1">PrimaryAreas(8)</f>
        <v>ACS, HL2, HBCeil</v>
      </c>
      <c r="AC2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82.36666666666666</v>
      </c>
      <c r="AD2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8">
        <f ca="1">SUM($AC$14:AC23)</f>
        <v>254.53333333333336</v>
      </c>
      <c r="AF23" s="58" t="e">
        <f>IF(AD23="",NA(),SUM($AD$14:AD23))</f>
        <v>#N/A</v>
      </c>
      <c r="AG23" s="58" t="str">
        <f ca="1">WeeklyPlanned(Output_0000[[#Headers],[WP_ABC]], Output_0000[[#This Row],[Date]])</f>
        <v/>
      </c>
      <c r="AH23" s="58"/>
      <c r="AI23" s="58">
        <f ca="1">WeeklyPlanned(Output_0000[[#Headers],[WP_ACS]], Output_0000[[#This Row],[Date]])</f>
        <v>61.199999999999996</v>
      </c>
      <c r="AJ23" s="58"/>
      <c r="AK23" s="58" t="str">
        <f ca="1">WeeklyPlanned(Output_0000[[#Headers],[WP_AL1]], Output_0000[[#This Row],[Date]])</f>
        <v/>
      </c>
      <c r="AL23" s="58"/>
      <c r="AM23" s="58" t="str">
        <f ca="1">WeeklyPlanned(Output_0000[[#Headers],[WP_HBase]], Output_0000[[#This Row],[Date]])</f>
        <v/>
      </c>
      <c r="AN23" s="58"/>
      <c r="AO23" s="58" t="str">
        <f ca="1">WeeklyPlanned(Output_0000[[#Headers],[WP_HWST]], Output_0000[[#This Row],[Date]])</f>
        <v/>
      </c>
      <c r="AP23" s="58"/>
      <c r="AQ23" s="58" t="str">
        <f ca="1">WeeklyPlanned(Output_0000[[#Headers],[WP_HWSR]], Output_0000[[#This Row],[Date]])</f>
        <v/>
      </c>
      <c r="AR23" s="58"/>
      <c r="AS23" s="58">
        <f ca="1">WeeklyPlanned(Output_0000[[#Headers],[WP_HL2]], Output_0000[[#This Row],[Date]])</f>
        <v>16.333333333333332</v>
      </c>
      <c r="AT23" s="58"/>
      <c r="AU23" s="58">
        <f ca="1">WeeklyPlanned(Output_0000[[#Headers],[WP_HBCeil]], Output_0000[[#This Row],[Date]])</f>
        <v>4.833333333333333</v>
      </c>
      <c r="AV23" s="58"/>
    </row>
    <row r="24" spans="2:48" ht="15.5" x14ac:dyDescent="0.35">
      <c r="B24" s="37"/>
      <c r="C24" s="59" t="s">
        <v>59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0"/>
      <c r="AA24" s="54">
        <f>IF(AA23 = "Date", $S$4, AA23+7)</f>
        <v>44117</v>
      </c>
      <c r="AB24" s="56" t="str">
        <f ca="1">PrimaryAreas(8)</f>
        <v>ACS, HWST, HL2</v>
      </c>
      <c r="AC2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126.67074829931971</v>
      </c>
      <c r="AD2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8">
        <f ca="1">SUM($AC$14:AC24)</f>
        <v>381.20408163265307</v>
      </c>
      <c r="AF24" s="58" t="e">
        <f>IF(AD24="",NA(),SUM($AD$14:AD24))</f>
        <v>#N/A</v>
      </c>
      <c r="AG24" s="58" t="str">
        <f ca="1">WeeklyPlanned(Output_0000[[#Headers],[WP_ABC]], Output_0000[[#This Row],[Date]])</f>
        <v/>
      </c>
      <c r="AH24" s="58"/>
      <c r="AI24" s="58">
        <f ca="1">WeeklyPlanned(Output_0000[[#Headers],[WP_ACS]], Output_0000[[#This Row],[Date]])</f>
        <v>40.799999999999997</v>
      </c>
      <c r="AJ24" s="58"/>
      <c r="AK24" s="58" t="str">
        <f ca="1">WeeklyPlanned(Output_0000[[#Headers],[WP_AL1]], Output_0000[[#This Row],[Date]])</f>
        <v/>
      </c>
      <c r="AL24" s="58"/>
      <c r="AM24" s="58" t="str">
        <f ca="1">WeeklyPlanned(Output_0000[[#Headers],[WP_HBase]], Output_0000[[#This Row],[Date]])</f>
        <v/>
      </c>
      <c r="AN24" s="58"/>
      <c r="AO24" s="58">
        <f ca="1">WeeklyPlanned(Output_0000[[#Headers],[WP_HWST]], Output_0000[[#This Row],[Date]])</f>
        <v>4.204081632653061</v>
      </c>
      <c r="AP24" s="58"/>
      <c r="AQ24" s="58" t="str">
        <f ca="1">WeeklyPlanned(Output_0000[[#Headers],[WP_HWSR]], Output_0000[[#This Row],[Date]])</f>
        <v/>
      </c>
      <c r="AR24" s="58"/>
      <c r="AS24" s="58">
        <f ca="1">WeeklyPlanned(Output_0000[[#Headers],[WP_HL2]], Output_0000[[#This Row],[Date]])</f>
        <v>81.666666666666657</v>
      </c>
      <c r="AT24" s="58"/>
      <c r="AU24" s="58" t="str">
        <f ca="1">WeeklyPlanned(Output_0000[[#Headers],[WP_HBCeil]], Output_0000[[#This Row],[Date]])</f>
        <v/>
      </c>
      <c r="AV24" s="58"/>
    </row>
    <row r="25" spans="2:48" ht="15.5" x14ac:dyDescent="0.35">
      <c r="B25" s="37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0"/>
      <c r="AA25" s="54">
        <f>IF(AA24 = "Date", $S$4, AA24+7)</f>
        <v>44124</v>
      </c>
      <c r="AB25" s="56" t="str">
        <f ca="1">PrimaryAreas(8)</f>
        <v>HWST, HL2</v>
      </c>
      <c r="AC2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8">
        <f ca="1">SUM($AC$14:AC25)</f>
        <v>473.38095238095241</v>
      </c>
      <c r="AF25" s="58" t="e">
        <f>IF(AD25="",NA(),SUM($AD$14:AD25))</f>
        <v>#N/A</v>
      </c>
      <c r="AG25" s="58" t="str">
        <f ca="1">WeeklyPlanned(Output_0000[[#Headers],[WP_ABC]], Output_0000[[#This Row],[Date]])</f>
        <v/>
      </c>
      <c r="AH25" s="58"/>
      <c r="AI25" s="58" t="str">
        <f ca="1">WeeklyPlanned(Output_0000[[#Headers],[WP_ACS]], Output_0000[[#This Row],[Date]])</f>
        <v/>
      </c>
      <c r="AJ25" s="58"/>
      <c r="AK25" s="58" t="str">
        <f ca="1">WeeklyPlanned(Output_0000[[#Headers],[WP_AL1]], Output_0000[[#This Row],[Date]])</f>
        <v/>
      </c>
      <c r="AL25" s="58"/>
      <c r="AM25" s="58" t="str">
        <f ca="1">WeeklyPlanned(Output_0000[[#Headers],[WP_HBase]], Output_0000[[#This Row],[Date]])</f>
        <v/>
      </c>
      <c r="AN25" s="58"/>
      <c r="AO25" s="58">
        <f ca="1">WeeklyPlanned(Output_0000[[#Headers],[WP_HWST]], Output_0000[[#This Row],[Date]])</f>
        <v>10.510204081632653</v>
      </c>
      <c r="AP25" s="58"/>
      <c r="AQ25" s="58" t="str">
        <f ca="1">WeeklyPlanned(Output_0000[[#Headers],[WP_HWSR]], Output_0000[[#This Row],[Date]])</f>
        <v/>
      </c>
      <c r="AR25" s="58"/>
      <c r="AS25" s="58">
        <f ca="1">WeeklyPlanned(Output_0000[[#Headers],[WP_HL2]], Output_0000[[#This Row],[Date]])</f>
        <v>81.666666666666657</v>
      </c>
      <c r="AT25" s="58"/>
      <c r="AU25" s="58" t="str">
        <f ca="1">WeeklyPlanned(Output_0000[[#Headers],[WP_HBCeil]], Output_0000[[#This Row],[Date]])</f>
        <v/>
      </c>
      <c r="AV25" s="58"/>
    </row>
    <row r="26" spans="2:48" ht="15.5" x14ac:dyDescent="0.35">
      <c r="B26" s="37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0"/>
      <c r="S26" s="44"/>
      <c r="AA26" s="54">
        <f>IF(AA25 = "Date", $S$4, AA25+7)</f>
        <v>44131</v>
      </c>
      <c r="AB26" s="56" t="str">
        <f ca="1">PrimaryAreas(8)</f>
        <v>HWST, HL2</v>
      </c>
      <c r="AC2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75.843537414965979</v>
      </c>
      <c r="AD2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8">
        <f ca="1">SUM($AC$14:AC26)</f>
        <v>549.22448979591843</v>
      </c>
      <c r="AF26" s="58" t="e">
        <f>IF(AD26="",NA(),SUM($AD$14:AD26))</f>
        <v>#N/A</v>
      </c>
      <c r="AG26" s="58" t="str">
        <f ca="1">WeeklyPlanned(Output_0000[[#Headers],[WP_ABC]], Output_0000[[#This Row],[Date]])</f>
        <v/>
      </c>
      <c r="AH26" s="58"/>
      <c r="AI26" s="58" t="str">
        <f ca="1">WeeklyPlanned(Output_0000[[#Headers],[WP_ACS]], Output_0000[[#This Row],[Date]])</f>
        <v/>
      </c>
      <c r="AJ26" s="58"/>
      <c r="AK26" s="58" t="str">
        <f ca="1">WeeklyPlanned(Output_0000[[#Headers],[WP_AL1]], Output_0000[[#This Row],[Date]])</f>
        <v/>
      </c>
      <c r="AL26" s="58"/>
      <c r="AM26" s="58" t="str">
        <f ca="1">WeeklyPlanned(Output_0000[[#Headers],[WP_HBase]], Output_0000[[#This Row],[Date]])</f>
        <v/>
      </c>
      <c r="AN26" s="58"/>
      <c r="AO26" s="58">
        <f ca="1">WeeklyPlanned(Output_0000[[#Headers],[WP_HWST]], Output_0000[[#This Row],[Date]])</f>
        <v>10.510204081632653</v>
      </c>
      <c r="AP26" s="58"/>
      <c r="AQ26" s="58" t="str">
        <f ca="1">WeeklyPlanned(Output_0000[[#Headers],[WP_HWSR]], Output_0000[[#This Row],[Date]])</f>
        <v/>
      </c>
      <c r="AR26" s="58"/>
      <c r="AS26" s="58">
        <f ca="1">WeeklyPlanned(Output_0000[[#Headers],[WP_HL2]], Output_0000[[#This Row],[Date]])</f>
        <v>65.333333333333329</v>
      </c>
      <c r="AT26" s="58"/>
      <c r="AU26" s="58" t="str">
        <f ca="1">WeeklyPlanned(Output_0000[[#Headers],[WP_HBCeil]], Output_0000[[#This Row],[Date]])</f>
        <v/>
      </c>
      <c r="AV26" s="58"/>
    </row>
    <row r="27" spans="2:48" ht="15.5" x14ac:dyDescent="0.35">
      <c r="B27" s="37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0"/>
      <c r="AA27" s="54">
        <f>IF(AA26 = "Date", $S$4, AA26+7)</f>
        <v>44138</v>
      </c>
      <c r="AB27" s="56" t="str">
        <f ca="1">PrimaryAreas(8)</f>
        <v>AL1, HBase, HWST</v>
      </c>
      <c r="AC2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176.71020408163264</v>
      </c>
      <c r="AD2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8">
        <f ca="1">SUM($AC$14:AC27)</f>
        <v>725.93469387755113</v>
      </c>
      <c r="AF27" s="58" t="e">
        <f>IF(AD27="",NA(),SUM($AD$14:AD27))</f>
        <v>#N/A</v>
      </c>
      <c r="AG27" s="58" t="str">
        <f ca="1">WeeklyPlanned(Output_0000[[#Headers],[WP_ABC]], Output_0000[[#This Row],[Date]])</f>
        <v/>
      </c>
      <c r="AH27" s="58"/>
      <c r="AI27" s="58" t="str">
        <f ca="1">WeeklyPlanned(Output_0000[[#Headers],[WP_ACS]], Output_0000[[#This Row],[Date]])</f>
        <v/>
      </c>
      <c r="AJ27" s="58"/>
      <c r="AK27" s="58">
        <f ca="1">WeeklyPlanned(Output_0000[[#Headers],[WP_AL1]], Output_0000[[#This Row],[Date]])</f>
        <v>83.699999999999989</v>
      </c>
      <c r="AL27" s="58"/>
      <c r="AM27" s="58">
        <f ca="1">WeeklyPlanned(Output_0000[[#Headers],[WP_HBase]], Output_0000[[#This Row],[Date]])</f>
        <v>82.5</v>
      </c>
      <c r="AN27" s="58"/>
      <c r="AO27" s="58">
        <f ca="1">WeeklyPlanned(Output_0000[[#Headers],[WP_HWST]], Output_0000[[#This Row],[Date]])</f>
        <v>10.510204081632653</v>
      </c>
      <c r="AP27" s="58"/>
      <c r="AQ27" s="58" t="str">
        <f ca="1">WeeklyPlanned(Output_0000[[#Headers],[WP_HWSR]], Output_0000[[#This Row],[Date]])</f>
        <v/>
      </c>
      <c r="AR27" s="58"/>
      <c r="AS27" s="58" t="str">
        <f ca="1">WeeklyPlanned(Output_0000[[#Headers],[WP_HL2]], Output_0000[[#This Row],[Date]])</f>
        <v/>
      </c>
      <c r="AT27" s="58"/>
      <c r="AU27" s="58" t="str">
        <f ca="1">WeeklyPlanned(Output_0000[[#Headers],[WP_HBCeil]], Output_0000[[#This Row],[Date]])</f>
        <v/>
      </c>
      <c r="AV27" s="58"/>
    </row>
    <row r="28" spans="2:48" ht="15.5" x14ac:dyDescent="0.35">
      <c r="B28" s="37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0"/>
      <c r="AA28" s="54">
        <f>IF(AA27 = "Date", $S$4, AA27+7)</f>
        <v>44145</v>
      </c>
      <c r="AB28" s="56" t="str">
        <f ca="1">PrimaryAreas(8)</f>
        <v>AL1, HBase, HWST</v>
      </c>
      <c r="AC2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199.51020408163265</v>
      </c>
      <c r="AD2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8">
        <f ca="1">SUM($AC$14:AC28)</f>
        <v>925.44489795918378</v>
      </c>
      <c r="AF28" s="58" t="e">
        <f>IF(AD28="",NA(),SUM($AD$14:AD28))</f>
        <v>#N/A</v>
      </c>
      <c r="AG28" s="58" t="str">
        <f ca="1">WeeklyPlanned(Output_0000[[#Headers],[WP_ABC]], Output_0000[[#This Row],[Date]])</f>
        <v/>
      </c>
      <c r="AH28" s="58"/>
      <c r="AI28" s="58" t="str">
        <f ca="1">WeeklyPlanned(Output_0000[[#Headers],[WP_ACS]], Output_0000[[#This Row],[Date]])</f>
        <v/>
      </c>
      <c r="AJ28" s="58"/>
      <c r="AK28" s="58">
        <f ca="1">WeeklyPlanned(Output_0000[[#Headers],[WP_AL1]], Output_0000[[#This Row],[Date]])</f>
        <v>139.5</v>
      </c>
      <c r="AL28" s="58"/>
      <c r="AM28" s="58">
        <f ca="1">WeeklyPlanned(Output_0000[[#Headers],[WP_HBase]], Output_0000[[#This Row],[Date]])</f>
        <v>49.5</v>
      </c>
      <c r="AN28" s="58"/>
      <c r="AO28" s="58">
        <f ca="1">WeeklyPlanned(Output_0000[[#Headers],[WP_HWST]], Output_0000[[#This Row],[Date]])</f>
        <v>10.510204081632653</v>
      </c>
      <c r="AP28" s="58"/>
      <c r="AQ28" s="58" t="str">
        <f ca="1">WeeklyPlanned(Output_0000[[#Headers],[WP_HWSR]], Output_0000[[#This Row],[Date]])</f>
        <v/>
      </c>
      <c r="AR28" s="58"/>
      <c r="AS28" s="58" t="str">
        <f ca="1">WeeklyPlanned(Output_0000[[#Headers],[WP_HL2]], Output_0000[[#This Row],[Date]])</f>
        <v/>
      </c>
      <c r="AT28" s="58"/>
      <c r="AU28" s="58" t="str">
        <f ca="1">WeeklyPlanned(Output_0000[[#Headers],[WP_HBCeil]], Output_0000[[#This Row],[Date]])</f>
        <v/>
      </c>
      <c r="AV28" s="58"/>
    </row>
    <row r="29" spans="2:48" ht="15.5" x14ac:dyDescent="0.35">
      <c r="B29" s="37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0"/>
      <c r="AA29" s="54">
        <f>IF(AA28 = "Date", $S$4, AA28+7)</f>
        <v>44152</v>
      </c>
      <c r="AB29" s="56" t="str">
        <f ca="1">PrimaryAreas(8)</f>
        <v>AL1, HWST</v>
      </c>
      <c r="AC2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66.310204081632648</v>
      </c>
      <c r="AD2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8">
        <f ca="1">SUM($AC$14:AC29)</f>
        <v>991.75510204081638</v>
      </c>
      <c r="AF29" s="58" t="e">
        <f>IF(AD29="",NA(),SUM($AD$14:AD29))</f>
        <v>#N/A</v>
      </c>
      <c r="AG29" s="58" t="str">
        <f ca="1">WeeklyPlanned(Output_0000[[#Headers],[WP_ABC]], Output_0000[[#This Row],[Date]])</f>
        <v/>
      </c>
      <c r="AH29" s="58"/>
      <c r="AI29" s="58" t="str">
        <f ca="1">WeeklyPlanned(Output_0000[[#Headers],[WP_ACS]], Output_0000[[#This Row],[Date]])</f>
        <v/>
      </c>
      <c r="AJ29" s="58"/>
      <c r="AK29" s="58">
        <f ca="1">WeeklyPlanned(Output_0000[[#Headers],[WP_AL1]], Output_0000[[#This Row],[Date]])</f>
        <v>55.8</v>
      </c>
      <c r="AL29" s="58"/>
      <c r="AM29" s="58" t="str">
        <f ca="1">WeeklyPlanned(Output_0000[[#Headers],[WP_HBase]], Output_0000[[#This Row],[Date]])</f>
        <v/>
      </c>
      <c r="AN29" s="58"/>
      <c r="AO29" s="58">
        <f ca="1">WeeklyPlanned(Output_0000[[#Headers],[WP_HWST]], Output_0000[[#This Row],[Date]])</f>
        <v>10.510204081632653</v>
      </c>
      <c r="AP29" s="58"/>
      <c r="AQ29" s="58" t="str">
        <f ca="1">WeeklyPlanned(Output_0000[[#Headers],[WP_HWSR]], Output_0000[[#This Row],[Date]])</f>
        <v/>
      </c>
      <c r="AR29" s="58"/>
      <c r="AS29" s="58" t="str">
        <f ca="1">WeeklyPlanned(Output_0000[[#Headers],[WP_HL2]], Output_0000[[#This Row],[Date]])</f>
        <v/>
      </c>
      <c r="AT29" s="58"/>
      <c r="AU29" s="58" t="str">
        <f ca="1">WeeklyPlanned(Output_0000[[#Headers],[WP_HBCeil]], Output_0000[[#This Row],[Date]])</f>
        <v/>
      </c>
      <c r="AV29" s="58"/>
    </row>
    <row r="30" spans="2:48" ht="15.5" x14ac:dyDescent="0.35">
      <c r="B30" s="37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0"/>
      <c r="AA30" s="54">
        <f>IF(AA29 = "Date", $S$4, AA29+7)</f>
        <v>44159</v>
      </c>
      <c r="AB30" s="56" t="str">
        <f ca="1">PrimaryAreas(8)</f>
        <v>HWST</v>
      </c>
      <c r="AC3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8">
        <f ca="1">SUM($AC$14:AC30)</f>
        <v>1002.265306122449</v>
      </c>
      <c r="AF30" s="58" t="e">
        <f>IF(AD30="",NA(),SUM($AD$14:AD30))</f>
        <v>#N/A</v>
      </c>
      <c r="AG30" s="58" t="str">
        <f ca="1">WeeklyPlanned(Output_0000[[#Headers],[WP_ABC]], Output_0000[[#This Row],[Date]])</f>
        <v/>
      </c>
      <c r="AH30" s="58"/>
      <c r="AI30" s="58" t="str">
        <f ca="1">WeeklyPlanned(Output_0000[[#Headers],[WP_ACS]], Output_0000[[#This Row],[Date]])</f>
        <v/>
      </c>
      <c r="AJ30" s="58"/>
      <c r="AK30" s="58" t="str">
        <f ca="1">WeeklyPlanned(Output_0000[[#Headers],[WP_AL1]], Output_0000[[#This Row],[Date]])</f>
        <v/>
      </c>
      <c r="AL30" s="58"/>
      <c r="AM30" s="58" t="str">
        <f ca="1">WeeklyPlanned(Output_0000[[#Headers],[WP_HBase]], Output_0000[[#This Row],[Date]])</f>
        <v/>
      </c>
      <c r="AN30" s="58"/>
      <c r="AO30" s="58">
        <f ca="1">WeeklyPlanned(Output_0000[[#Headers],[WP_HWST]], Output_0000[[#This Row],[Date]])</f>
        <v>10.510204081632653</v>
      </c>
      <c r="AP30" s="58"/>
      <c r="AQ30" s="58" t="str">
        <f ca="1">WeeklyPlanned(Output_0000[[#Headers],[WP_HWSR]], Output_0000[[#This Row],[Date]])</f>
        <v/>
      </c>
      <c r="AR30" s="58"/>
      <c r="AS30" s="58" t="str">
        <f ca="1">WeeklyPlanned(Output_0000[[#Headers],[WP_HL2]], Output_0000[[#This Row],[Date]])</f>
        <v/>
      </c>
      <c r="AT30" s="58"/>
      <c r="AU30" s="58" t="str">
        <f ca="1">WeeklyPlanned(Output_0000[[#Headers],[WP_HBCeil]], Output_0000[[#This Row],[Date]])</f>
        <v/>
      </c>
      <c r="AV30" s="58"/>
    </row>
    <row r="31" spans="2:48" ht="15.5" x14ac:dyDescent="0.35">
      <c r="B31" s="37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0"/>
      <c r="AA31" s="54">
        <f>IF(AA30 = "Date", $S$4, AA30+7)</f>
        <v>44166</v>
      </c>
      <c r="AB31" s="56" t="str">
        <f ca="1">PrimaryAreas(8)</f>
        <v>HWST</v>
      </c>
      <c r="AC3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8">
        <f ca="1">SUM($AC$14:AC31)</f>
        <v>1012.7755102040817</v>
      </c>
      <c r="AF31" s="58" t="e">
        <f>IF(AD31="",NA(),SUM($AD$14:AD31))</f>
        <v>#N/A</v>
      </c>
      <c r="AG31" s="58" t="str">
        <f ca="1">WeeklyPlanned(Output_0000[[#Headers],[WP_ABC]], Output_0000[[#This Row],[Date]])</f>
        <v/>
      </c>
      <c r="AH31" s="58"/>
      <c r="AI31" s="58" t="str">
        <f ca="1">WeeklyPlanned(Output_0000[[#Headers],[WP_ACS]], Output_0000[[#This Row],[Date]])</f>
        <v/>
      </c>
      <c r="AJ31" s="58"/>
      <c r="AK31" s="58" t="str">
        <f ca="1">WeeklyPlanned(Output_0000[[#Headers],[WP_AL1]], Output_0000[[#This Row],[Date]])</f>
        <v/>
      </c>
      <c r="AL31" s="58"/>
      <c r="AM31" s="58" t="str">
        <f ca="1">WeeklyPlanned(Output_0000[[#Headers],[WP_HBase]], Output_0000[[#This Row],[Date]])</f>
        <v/>
      </c>
      <c r="AN31" s="58"/>
      <c r="AO31" s="58">
        <f ca="1">WeeklyPlanned(Output_0000[[#Headers],[WP_HWST]], Output_0000[[#This Row],[Date]])</f>
        <v>10.510204081632653</v>
      </c>
      <c r="AP31" s="58"/>
      <c r="AQ31" s="58" t="str">
        <f ca="1">WeeklyPlanned(Output_0000[[#Headers],[WP_HWSR]], Output_0000[[#This Row],[Date]])</f>
        <v/>
      </c>
      <c r="AR31" s="58"/>
      <c r="AS31" s="58" t="str">
        <f ca="1">WeeklyPlanned(Output_0000[[#Headers],[WP_HL2]], Output_0000[[#This Row],[Date]])</f>
        <v/>
      </c>
      <c r="AT31" s="58"/>
      <c r="AU31" s="58" t="str">
        <f ca="1">WeeklyPlanned(Output_0000[[#Headers],[WP_HBCeil]], Output_0000[[#This Row],[Date]])</f>
        <v/>
      </c>
      <c r="AV31" s="58"/>
    </row>
    <row r="32" spans="2:48" ht="15.5" x14ac:dyDescent="0.35">
      <c r="B32" s="37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0"/>
      <c r="AA32" s="54">
        <f>IF(AA31 = "Date", $S$4, AA31+7)</f>
        <v>44173</v>
      </c>
      <c r="AB32" s="56" t="str">
        <f ca="1">PrimaryAreas(8)</f>
        <v>HWST</v>
      </c>
      <c r="AC3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8">
        <f ca="1">SUM($AC$14:AC32)</f>
        <v>1023.2857142857143</v>
      </c>
      <c r="AF32" s="58" t="e">
        <f>IF(AD32="",NA(),SUM($AD$14:AD32))</f>
        <v>#N/A</v>
      </c>
      <c r="AG32" s="58" t="str">
        <f ca="1">WeeklyPlanned(Output_0000[[#Headers],[WP_ABC]], Output_0000[[#This Row],[Date]])</f>
        <v/>
      </c>
      <c r="AH32" s="58"/>
      <c r="AI32" s="58" t="str">
        <f ca="1">WeeklyPlanned(Output_0000[[#Headers],[WP_ACS]], Output_0000[[#This Row],[Date]])</f>
        <v/>
      </c>
      <c r="AJ32" s="58"/>
      <c r="AK32" s="58" t="str">
        <f ca="1">WeeklyPlanned(Output_0000[[#Headers],[WP_AL1]], Output_0000[[#This Row],[Date]])</f>
        <v/>
      </c>
      <c r="AL32" s="58"/>
      <c r="AM32" s="58" t="str">
        <f ca="1">WeeklyPlanned(Output_0000[[#Headers],[WP_HBase]], Output_0000[[#This Row],[Date]])</f>
        <v/>
      </c>
      <c r="AN32" s="58"/>
      <c r="AO32" s="58">
        <f ca="1">WeeklyPlanned(Output_0000[[#Headers],[WP_HWST]], Output_0000[[#This Row],[Date]])</f>
        <v>10.510204081632653</v>
      </c>
      <c r="AP32" s="58"/>
      <c r="AQ32" s="58" t="str">
        <f ca="1">WeeklyPlanned(Output_0000[[#Headers],[WP_HWSR]], Output_0000[[#This Row],[Date]])</f>
        <v/>
      </c>
      <c r="AR32" s="58"/>
      <c r="AS32" s="58" t="str">
        <f ca="1">WeeklyPlanned(Output_0000[[#Headers],[WP_HL2]], Output_0000[[#This Row],[Date]])</f>
        <v/>
      </c>
      <c r="AT32" s="58"/>
      <c r="AU32" s="58" t="str">
        <f ca="1">WeeklyPlanned(Output_0000[[#Headers],[WP_HBCeil]], Output_0000[[#This Row],[Date]])</f>
        <v/>
      </c>
      <c r="AV32" s="58"/>
    </row>
    <row r="33" spans="2:48" ht="15.5" x14ac:dyDescent="0.35">
      <c r="B33" s="37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0"/>
      <c r="AA33" s="54">
        <f>IF(AA32 = "Date", $S$4, AA32+7)</f>
        <v>44180</v>
      </c>
      <c r="AB33" s="56" t="str">
        <f ca="1">PrimaryAreas(8)</f>
        <v>HWST</v>
      </c>
      <c r="AC3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8">
        <f ca="1">SUM($AC$14:AC33)</f>
        <v>1033.795918367347</v>
      </c>
      <c r="AF33" s="58" t="e">
        <f>IF(AD33="",NA(),SUM($AD$14:AD33))</f>
        <v>#N/A</v>
      </c>
      <c r="AG33" s="58" t="str">
        <f ca="1">WeeklyPlanned(Output_0000[[#Headers],[WP_ABC]], Output_0000[[#This Row],[Date]])</f>
        <v/>
      </c>
      <c r="AH33" s="58"/>
      <c r="AI33" s="58" t="str">
        <f ca="1">WeeklyPlanned(Output_0000[[#Headers],[WP_ACS]], Output_0000[[#This Row],[Date]])</f>
        <v/>
      </c>
      <c r="AJ33" s="58"/>
      <c r="AK33" s="58" t="str">
        <f ca="1">WeeklyPlanned(Output_0000[[#Headers],[WP_AL1]], Output_0000[[#This Row],[Date]])</f>
        <v/>
      </c>
      <c r="AL33" s="58"/>
      <c r="AM33" s="58" t="str">
        <f ca="1">WeeklyPlanned(Output_0000[[#Headers],[WP_HBase]], Output_0000[[#This Row],[Date]])</f>
        <v/>
      </c>
      <c r="AN33" s="58"/>
      <c r="AO33" s="58">
        <f ca="1">WeeklyPlanned(Output_0000[[#Headers],[WP_HWST]], Output_0000[[#This Row],[Date]])</f>
        <v>10.510204081632653</v>
      </c>
      <c r="AP33" s="58"/>
      <c r="AQ33" s="58" t="str">
        <f ca="1">WeeklyPlanned(Output_0000[[#Headers],[WP_HWSR]], Output_0000[[#This Row],[Date]])</f>
        <v/>
      </c>
      <c r="AR33" s="58"/>
      <c r="AS33" s="58" t="str">
        <f ca="1">WeeklyPlanned(Output_0000[[#Headers],[WP_HL2]], Output_0000[[#This Row],[Date]])</f>
        <v/>
      </c>
      <c r="AT33" s="58"/>
      <c r="AU33" s="58" t="str">
        <f ca="1">WeeklyPlanned(Output_0000[[#Headers],[WP_HBCeil]], Output_0000[[#This Row],[Date]])</f>
        <v/>
      </c>
      <c r="AV33" s="58"/>
    </row>
    <row r="34" spans="2:48" ht="15.5" x14ac:dyDescent="0.35">
      <c r="B34" s="37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0"/>
      <c r="AA34" s="54">
        <f>IF(AA33 = "Date", $S$4, AA33+7)</f>
        <v>44187</v>
      </c>
      <c r="AB34" s="56" t="str">
        <f ca="1">PrimaryAreas(8)</f>
        <v>HWST, HWSR</v>
      </c>
      <c r="AC3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14.204081632653061</v>
      </c>
      <c r="AD3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8">
        <f ca="1">SUM($AC$14:AC34)</f>
        <v>1048</v>
      </c>
      <c r="AF34" s="58" t="e">
        <f>IF(AD34="",NA(),SUM($AD$14:AD34))</f>
        <v>#N/A</v>
      </c>
      <c r="AG34" s="58" t="str">
        <f ca="1">WeeklyPlanned(Output_0000[[#Headers],[WP_ABC]], Output_0000[[#This Row],[Date]])</f>
        <v/>
      </c>
      <c r="AH34" s="58"/>
      <c r="AI34" s="58" t="str">
        <f ca="1">WeeklyPlanned(Output_0000[[#Headers],[WP_ACS]], Output_0000[[#This Row],[Date]])</f>
        <v/>
      </c>
      <c r="AJ34" s="58"/>
      <c r="AK34" s="58" t="str">
        <f ca="1">WeeklyPlanned(Output_0000[[#Headers],[WP_AL1]], Output_0000[[#This Row],[Date]])</f>
        <v/>
      </c>
      <c r="AL34" s="58"/>
      <c r="AM34" s="58" t="str">
        <f ca="1">WeeklyPlanned(Output_0000[[#Headers],[WP_HBase]], Output_0000[[#This Row],[Date]])</f>
        <v/>
      </c>
      <c r="AN34" s="58"/>
      <c r="AO34" s="58">
        <f ca="1">WeeklyPlanned(Output_0000[[#Headers],[WP_HWST]], Output_0000[[#This Row],[Date]])</f>
        <v>4.204081632653061</v>
      </c>
      <c r="AP34" s="58"/>
      <c r="AQ34" s="58">
        <f ca="1">WeeklyPlanned(Output_0000[[#Headers],[WP_HWSR]], Output_0000[[#This Row],[Date]])</f>
        <v>10</v>
      </c>
      <c r="AR34" s="58"/>
      <c r="AS34" s="58" t="str">
        <f ca="1">WeeklyPlanned(Output_0000[[#Headers],[WP_HL2]], Output_0000[[#This Row],[Date]])</f>
        <v/>
      </c>
      <c r="AT34" s="58"/>
      <c r="AU34" s="58" t="str">
        <f ca="1">WeeklyPlanned(Output_0000[[#Headers],[WP_HBCeil]], Output_0000[[#This Row],[Date]])</f>
        <v/>
      </c>
      <c r="AV34" s="58"/>
    </row>
    <row r="35" spans="2:48" ht="15.5" x14ac:dyDescent="0.35">
      <c r="B35" s="37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0"/>
      <c r="AA35" s="54">
        <f>IF(AA34 = "Date", $S$4, AA34+7)</f>
        <v>44194</v>
      </c>
      <c r="AB35" s="56" t="str">
        <f ca="1">PrimaryAreas(8)</f>
        <v>HWSR</v>
      </c>
      <c r="AC3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8">
        <f ca="1">SUM($AC$14:AC35)</f>
        <v>1061.3333333333333</v>
      </c>
      <c r="AF35" s="58" t="e">
        <f>IF(AD35="",NA(),SUM($AD$14:AD35))</f>
        <v>#N/A</v>
      </c>
      <c r="AG35" s="58" t="str">
        <f ca="1">WeeklyPlanned(Output_0000[[#Headers],[WP_ABC]], Output_0000[[#This Row],[Date]])</f>
        <v/>
      </c>
      <c r="AH35" s="58"/>
      <c r="AI35" s="58" t="str">
        <f ca="1">WeeklyPlanned(Output_0000[[#Headers],[WP_ACS]], Output_0000[[#This Row],[Date]])</f>
        <v/>
      </c>
      <c r="AJ35" s="58"/>
      <c r="AK35" s="58" t="str">
        <f ca="1">WeeklyPlanned(Output_0000[[#Headers],[WP_AL1]], Output_0000[[#This Row],[Date]])</f>
        <v/>
      </c>
      <c r="AL35" s="58"/>
      <c r="AM35" s="58" t="str">
        <f ca="1">WeeklyPlanned(Output_0000[[#Headers],[WP_HBase]], Output_0000[[#This Row],[Date]])</f>
        <v/>
      </c>
      <c r="AN35" s="58"/>
      <c r="AO35" s="58" t="str">
        <f ca="1">WeeklyPlanned(Output_0000[[#Headers],[WP_HWST]], Output_0000[[#This Row],[Date]])</f>
        <v/>
      </c>
      <c r="AP35" s="58"/>
      <c r="AQ35" s="58">
        <f ca="1">WeeklyPlanned(Output_0000[[#Headers],[WP_HWSR]], Output_0000[[#This Row],[Date]])</f>
        <v>13.333333333333334</v>
      </c>
      <c r="AR35" s="58"/>
      <c r="AS35" s="58" t="str">
        <f ca="1">WeeklyPlanned(Output_0000[[#Headers],[WP_HL2]], Output_0000[[#This Row],[Date]])</f>
        <v/>
      </c>
      <c r="AT35" s="58"/>
      <c r="AU35" s="58" t="str">
        <f ca="1">WeeklyPlanned(Output_0000[[#Headers],[WP_HBCeil]], Output_0000[[#This Row],[Date]])</f>
        <v/>
      </c>
      <c r="AV35" s="58"/>
    </row>
    <row r="36" spans="2:48" ht="15.5" x14ac:dyDescent="0.35">
      <c r="B36" s="37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0"/>
      <c r="AA36" s="54">
        <f>IF(AA35 = "Date", $S$4, AA35+7)</f>
        <v>44201</v>
      </c>
      <c r="AB36" s="56" t="str">
        <f ca="1">PrimaryAreas(8)</f>
        <v>HWSR</v>
      </c>
      <c r="AC3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6.666666666666667</v>
      </c>
      <c r="AD3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8">
        <f ca="1">SUM($AC$14:AC36)</f>
        <v>1068</v>
      </c>
      <c r="AF36" s="58" t="e">
        <f>IF(AD36="",NA(),SUM($AD$14:AD36))</f>
        <v>#N/A</v>
      </c>
      <c r="AG36" s="58" t="str">
        <f ca="1">WeeklyPlanned(Output_0000[[#Headers],[WP_ABC]], Output_0000[[#This Row],[Date]])</f>
        <v/>
      </c>
      <c r="AH36" s="58"/>
      <c r="AI36" s="58" t="str">
        <f ca="1">WeeklyPlanned(Output_0000[[#Headers],[WP_ACS]], Output_0000[[#This Row],[Date]])</f>
        <v/>
      </c>
      <c r="AJ36" s="58"/>
      <c r="AK36" s="58" t="str">
        <f ca="1">WeeklyPlanned(Output_0000[[#Headers],[WP_AL1]], Output_0000[[#This Row],[Date]])</f>
        <v/>
      </c>
      <c r="AL36" s="58"/>
      <c r="AM36" s="58" t="str">
        <f ca="1">WeeklyPlanned(Output_0000[[#Headers],[WP_HBase]], Output_0000[[#This Row],[Date]])</f>
        <v/>
      </c>
      <c r="AN36" s="58"/>
      <c r="AO36" s="58" t="str">
        <f ca="1">WeeklyPlanned(Output_0000[[#Headers],[WP_HWST]], Output_0000[[#This Row],[Date]])</f>
        <v/>
      </c>
      <c r="AP36" s="58"/>
      <c r="AQ36" s="58">
        <f ca="1">WeeklyPlanned(Output_0000[[#Headers],[WP_HWSR]], Output_0000[[#This Row],[Date]])</f>
        <v>6.666666666666667</v>
      </c>
      <c r="AR36" s="58"/>
      <c r="AS36" s="58" t="str">
        <f ca="1">WeeklyPlanned(Output_0000[[#Headers],[WP_HL2]], Output_0000[[#This Row],[Date]])</f>
        <v/>
      </c>
      <c r="AT36" s="58"/>
      <c r="AU36" s="58" t="str">
        <f ca="1">WeeklyPlanned(Output_0000[[#Headers],[WP_HBCeil]], Output_0000[[#This Row],[Date]])</f>
        <v/>
      </c>
      <c r="AV36" s="58"/>
    </row>
    <row r="37" spans="2:48" ht="15" x14ac:dyDescent="0.3">
      <c r="B37" s="37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0"/>
    </row>
    <row r="38" spans="2:48" ht="15" x14ac:dyDescent="0.3">
      <c r="B38" s="37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0"/>
    </row>
    <row r="39" spans="2:48" ht="15" x14ac:dyDescent="0.3">
      <c r="B39" s="37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0"/>
    </row>
    <row r="40" spans="2:48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L14:O15"/>
    <mergeCell ref="J10:M10"/>
    <mergeCell ref="J11:M11"/>
    <mergeCell ref="J12:M12"/>
    <mergeCell ref="N12:O12"/>
    <mergeCell ref="J13:M13"/>
    <mergeCell ref="N13:O13"/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</mergeCells>
  <phoneticPr fontId="6" type="noConversion"/>
  <conditionalFormatting sqref="AF14:AV36">
    <cfRule type="containsErrors" dxfId="6" priority="7">
      <formula>ISERROR(AF14)</formula>
    </cfRule>
  </conditionalFormatting>
  <conditionalFormatting sqref="W13:X13">
    <cfRule type="expression" dxfId="5" priority="6">
      <formula>IF(OR($S$8 = "Assemble Addin", $S$8 = "Bluebeam QL"), TRUE, FALSE)</formula>
    </cfRule>
  </conditionalFormatting>
  <conditionalFormatting sqref="N6:O6">
    <cfRule type="expression" dxfId="4" priority="5">
      <formula>IF($N$6=$O$6, FALSE, TRUE)</formula>
    </cfRule>
  </conditionalFormatting>
  <conditionalFormatting sqref="W14:X21">
    <cfRule type="expression" dxfId="3" priority="3">
      <formula>IF(OR($S$8 = "Assemble Addin", $S$8 = "Bluebeam QL"), TRUE, FALSE)</formula>
    </cfRule>
    <cfRule type="expression" dxfId="2" priority="4">
      <formula>IF(OR($S$8 = "Assemble Addin", $S$8 = "Bluebeam QL"), MOD(ROW(), 2)=0, FALSE)</formula>
    </cfRule>
  </conditionalFormatting>
  <conditionalFormatting sqref="R13">
    <cfRule type="expression" dxfId="1" priority="2">
      <formula>IF($S$8 = "Assemble Addin", TRUE, FALSE)</formula>
    </cfRule>
  </conditionalFormatting>
  <conditionalFormatting sqref="R14:R21">
    <cfRule type="expression" dxfId="0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Template</vt:lpstr>
      <vt:lpstr>Settings</vt:lpstr>
      <vt:lpstr>Main</vt:lpstr>
      <vt:lpstr>0000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2020-06-11T20:46:31Z</cp:lastPrinted>
  <dcterms:created xsi:type="dcterms:W3CDTF">2019-04-09T17:53:55Z</dcterms:created>
  <dcterms:modified xsi:type="dcterms:W3CDTF">2020-06-11T23:25:28Z</dcterms:modified>
</cp:coreProperties>
</file>