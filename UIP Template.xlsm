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365CF65F-50E1-41FD-A1A4-8BE89655D8B4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2" i="3" l="1"/>
  <c r="AD40" i="3"/>
  <c r="AD41" i="3"/>
  <c r="AD42" i="3"/>
  <c r="AD43" i="3"/>
  <c r="AC40" i="3"/>
  <c r="AC41" i="3"/>
  <c r="AC42" i="3"/>
  <c r="AC43" i="3"/>
  <c r="AD39" i="3" l="1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S5" i="3"/>
  <c r="S4" i="3"/>
  <c r="AF37" i="3" l="1"/>
  <c r="AF38" i="3"/>
  <c r="AF40" i="3"/>
  <c r="AF39" i="3"/>
  <c r="AE40" i="3"/>
  <c r="AE41" i="3"/>
  <c r="AE42" i="3"/>
  <c r="AE37" i="3"/>
  <c r="AE43" i="3"/>
  <c r="AE38" i="3"/>
  <c r="AE39" i="3"/>
  <c r="AF41" i="3"/>
  <c r="AF43" i="3"/>
  <c r="AF42" i="3"/>
  <c r="AF15" i="3"/>
  <c r="AF16" i="3"/>
  <c r="AF28" i="3"/>
  <c r="AF29" i="3"/>
  <c r="AF18" i="3"/>
  <c r="AF19" i="3"/>
  <c r="AF31" i="3"/>
  <c r="AE15" i="3"/>
  <c r="AF20" i="3"/>
  <c r="AF32" i="3"/>
  <c r="AF33" i="3"/>
  <c r="AF22" i="3"/>
  <c r="AF21" i="3"/>
  <c r="AF23" i="3"/>
  <c r="AF34" i="3"/>
  <c r="AF35" i="3"/>
  <c r="AF24" i="3"/>
  <c r="AF36" i="3"/>
  <c r="AF25" i="3"/>
  <c r="AF26" i="3"/>
  <c r="AF27" i="3"/>
  <c r="AF17" i="3"/>
  <c r="AF30" i="3"/>
  <c r="AE26" i="3"/>
  <c r="AE25" i="3"/>
  <c r="AE36" i="3"/>
  <c r="AE24" i="3"/>
  <c r="AE35" i="3"/>
  <c r="AE23" i="3"/>
  <c r="AE34" i="3"/>
  <c r="AE22" i="3"/>
  <c r="AE33" i="3"/>
  <c r="AE21" i="3"/>
  <c r="AE32" i="3"/>
  <c r="AE20" i="3"/>
  <c r="AE31" i="3"/>
  <c r="AE19" i="3"/>
  <c r="AE30" i="3"/>
  <c r="AE18" i="3"/>
  <c r="AE29" i="3"/>
  <c r="AE17" i="3"/>
  <c r="AE28" i="3"/>
  <c r="AE16" i="3"/>
  <c r="AE27" i="3"/>
  <c r="AF14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AE14" i="3" l="1"/>
  <c r="N6" i="3" l="1"/>
  <c r="S7" i="3" l="1"/>
  <c r="L14" i="3" s="1"/>
  <c r="S3" i="3"/>
  <c r="B2" i="3" s="1"/>
  <c r="S2" i="3"/>
  <c r="AB14" i="3"/>
  <c r="AB19" i="3"/>
  <c r="AB30" i="3"/>
  <c r="AB41" i="3"/>
  <c r="AB29" i="3"/>
  <c r="AB17" i="3"/>
  <c r="AB40" i="3"/>
  <c r="AB16" i="3"/>
  <c r="AB39" i="3"/>
  <c r="AB27" i="3"/>
  <c r="AB15" i="3"/>
  <c r="AB38" i="3"/>
  <c r="AB26" i="3"/>
  <c r="AB37" i="3"/>
  <c r="AB25" i="3"/>
  <c r="AB43" i="3"/>
  <c r="AB18" i="3"/>
  <c r="AB28" i="3"/>
  <c r="AB36" i="3"/>
  <c r="AB24" i="3"/>
  <c r="AB31" i="3"/>
  <c r="AB42" i="3"/>
  <c r="AB35" i="3"/>
  <c r="AB23" i="3"/>
  <c r="AB34" i="3"/>
  <c r="AB22" i="3"/>
  <c r="AB33" i="3"/>
  <c r="AB21" i="3"/>
  <c r="AB32" i="3"/>
  <c r="AB20" i="3"/>
  <c r="C7" i="3" l="1"/>
  <c r="C6" i="3"/>
  <c r="C5" i="3"/>
  <c r="C4" i="3"/>
  <c r="N12" i="3"/>
  <c r="O11" i="3"/>
  <c r="O8" i="3"/>
  <c r="N8" i="3"/>
  <c r="O7" i="3"/>
  <c r="N7" i="3"/>
  <c r="N5" i="3" s="1"/>
  <c r="O6" i="3"/>
  <c r="N9" i="3"/>
  <c r="O10" i="3"/>
  <c r="O9" i="3"/>
  <c r="N11" i="3"/>
  <c r="N10" i="3"/>
  <c r="O5" i="3" l="1"/>
  <c r="N13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<sst xmlns="http://schemas.openxmlformats.org/spreadsheetml/2006/main" count="102" uniqueCount="100">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</sst>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6"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ED4645-1BAA-4EE7-B996-F94A906533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69761B-6776-4B17-9AC2-E567EB501A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95F071-C915-406E-A47A-2DB37204A2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161D65-D343-4EEA-B18B-CEF721969D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5AC948-D2A5-4535-B5A6-68DE5789EC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70E9D8-4CD9-4E81-8356-05537016B7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75AC85-A288-43EC-89DA-3355F9B7E2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93A904-D5BB-46A5-A949-962511A18C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46EA18-925A-476A-B738-E80AB539FD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E22FD4-B34A-4491-A773-EA1E3E581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414707-9AE8-4041-9BE0-6C3C997FBC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D44A30-62F3-46EB-800C-58D100B25F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95AE47-8441-46CD-92B3-32872ADBA4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6F01FE-4038-4B19-82FA-9E80ACEC4C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92F9B7-2257-4407-B916-6DB369DF8D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FC5F04-6A7D-46AB-A901-2811179633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8D96F6-A50D-455B-8C55-8116DA4280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801CA3-70FC-422F-9430-FB98FEC7A8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3B763C-AF2D-432D-BF74-A6B78990CE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513392-1212-45E7-8B2B-3947897E26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226213-1725-48A1-8864-9C3EDF1A08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77DB05-9A90-4667-94C1-00FB9C89A1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181C17-4082-4116-A0E4-113D8FE849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D391E8-3EB4-4681-9CD6-646593720A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4FC5D7-EDC2-4AD4-A6CB-BA19EC09EC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CEC956-5A96-418F-BDA8-13C01556FB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2EF933-369F-4BBC-930F-A9F76238C8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450BAB-C0B3-48FB-BF09-FC2F71D7F9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3C60D1-387D-45F2-A35F-297672D3AA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D9D312-62F3-4BEE-A451-77A41347A0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General</c:formatCode>
                <c:ptCount val="3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150</c:v>
                </c:pt>
                <c:pt idx="21">
                  <c:v>150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77</c:v>
                </c:pt>
                <c:pt idx="28">
                  <c:v>55</c:v>
                </c:pt>
                <c:pt idx="29">
                  <c:v>75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</c:v>
                  </c:pt>
                  <c:pt idx="19">
                    <c:v>A2</c:v>
                  </c:pt>
                  <c:pt idx="20">
                    <c:v>A2, A3</c:v>
                  </c:pt>
                  <c:pt idx="21">
                    <c:v>A2, 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General</c:formatCode>
                <c:ptCount val="30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110</c:v>
                </c:pt>
                <c:pt idx="21">
                  <c:v>110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General</c:formatCode>
                <c:ptCount val="30"/>
                <c:pt idx="0">
                  <c:v>75</c:v>
                </c:pt>
                <c:pt idx="1">
                  <c:v>150</c:v>
                </c:pt>
                <c:pt idx="2">
                  <c:v>225</c:v>
                </c:pt>
                <c:pt idx="3">
                  <c:v>300</c:v>
                </c:pt>
                <c:pt idx="4">
                  <c:v>375</c:v>
                </c:pt>
                <c:pt idx="5">
                  <c:v>450</c:v>
                </c:pt>
                <c:pt idx="6">
                  <c:v>525</c:v>
                </c:pt>
                <c:pt idx="7">
                  <c:v>600</c:v>
                </c:pt>
                <c:pt idx="8">
                  <c:v>675</c:v>
                </c:pt>
                <c:pt idx="9">
                  <c:v>825</c:v>
                </c:pt>
                <c:pt idx="10">
                  <c:v>975</c:v>
                </c:pt>
                <c:pt idx="11">
                  <c:v>1125</c:v>
                </c:pt>
                <c:pt idx="12">
                  <c:v>1200</c:v>
                </c:pt>
                <c:pt idx="13">
                  <c:v>1275</c:v>
                </c:pt>
                <c:pt idx="14">
                  <c:v>1350</c:v>
                </c:pt>
                <c:pt idx="15">
                  <c:v>1425</c:v>
                </c:pt>
                <c:pt idx="16">
                  <c:v>1500</c:v>
                </c:pt>
                <c:pt idx="17">
                  <c:v>1575</c:v>
                </c:pt>
                <c:pt idx="18">
                  <c:v>1650</c:v>
                </c:pt>
                <c:pt idx="19">
                  <c:v>1725</c:v>
                </c:pt>
                <c:pt idx="20">
                  <c:v>1875</c:v>
                </c:pt>
                <c:pt idx="21">
                  <c:v>2025</c:v>
                </c:pt>
                <c:pt idx="22">
                  <c:v>2100</c:v>
                </c:pt>
                <c:pt idx="23">
                  <c:v>2175</c:v>
                </c:pt>
                <c:pt idx="24">
                  <c:v>2250</c:v>
                </c:pt>
                <c:pt idx="25">
                  <c:v>2325</c:v>
                </c:pt>
                <c:pt idx="26">
                  <c:v>2400</c:v>
                </c:pt>
                <c:pt idx="27">
                  <c:v>2477</c:v>
                </c:pt>
                <c:pt idx="28">
                  <c:v>2532</c:v>
                </c:pt>
                <c:pt idx="29">
                  <c:v>2607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General</c:formatCode>
                <c:ptCount val="30"/>
                <c:pt idx="0">
                  <c:v>55</c:v>
                </c:pt>
                <c:pt idx="1">
                  <c:v>110</c:v>
                </c:pt>
                <c:pt idx="2">
                  <c:v>165</c:v>
                </c:pt>
                <c:pt idx="3">
                  <c:v>220</c:v>
                </c:pt>
                <c:pt idx="4">
                  <c:v>275</c:v>
                </c:pt>
                <c:pt idx="5">
                  <c:v>330</c:v>
                </c:pt>
                <c:pt idx="6">
                  <c:v>385</c:v>
                </c:pt>
                <c:pt idx="7">
                  <c:v>440</c:v>
                </c:pt>
                <c:pt idx="8">
                  <c:v>495</c:v>
                </c:pt>
                <c:pt idx="9">
                  <c:v>605</c:v>
                </c:pt>
                <c:pt idx="10">
                  <c:v>715</c:v>
                </c:pt>
                <c:pt idx="11">
                  <c:v>825</c:v>
                </c:pt>
                <c:pt idx="12">
                  <c:v>935</c:v>
                </c:pt>
                <c:pt idx="13">
                  <c:v>1045</c:v>
                </c:pt>
                <c:pt idx="14">
                  <c:v>1100</c:v>
                </c:pt>
                <c:pt idx="15">
                  <c:v>1155</c:v>
                </c:pt>
                <c:pt idx="16">
                  <c:v>1210</c:v>
                </c:pt>
                <c:pt idx="17">
                  <c:v>1265</c:v>
                </c:pt>
                <c:pt idx="18">
                  <c:v>1320</c:v>
                </c:pt>
                <c:pt idx="19">
                  <c:v>1375</c:v>
                </c:pt>
                <c:pt idx="20">
                  <c:v>1485</c:v>
                </c:pt>
                <c:pt idx="21">
                  <c:v>1595</c:v>
                </c:pt>
                <c:pt idx="22">
                  <c:v>1650</c:v>
                </c:pt>
                <c:pt idx="23">
                  <c:v>1705</c:v>
                </c:pt>
                <c:pt idx="24">
                  <c:v>1760</c:v>
                </c:pt>
                <c:pt idx="25">
                  <c:v>1815</c:v>
                </c:pt>
                <c:pt idx="26">
                  <c:v>1870</c:v>
                </c:pt>
                <c:pt idx="27">
                  <c:v>1945</c:v>
                </c:pt>
                <c:pt idx="28">
                  <c:v>2020</c:v>
                </c:pt>
                <c:pt idx="29">
                  <c:v>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730251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5" dataDxfId="24">
  <autoFilter ref="R13:X16" xr:uid="{FF2C9E8B-1A62-479C-AF68-79B236C0B7BB}"/>
  <tableColumns count="7">
    <tableColumn id="1" xr3:uid="{727C6146-39EA-4E15-8783-53CAA87FAF36}" name="Zone ID" dataDxfId="23"/>
    <tableColumn id="2" xr3:uid="{2CA65110-6DD7-46D8-BFC2-5EB0C0E57567}" name="Description" dataDxfId="22"/>
    <tableColumn id="3" xr3:uid="{12D64F80-6A69-494F-BF8F-E326D34A185A}" name="Short Description" dataDxfId="21"/>
    <tableColumn id="4" xr3:uid="{71F3F5B2-8F6B-4985-B1FC-5A9D60095474}" name="Start Date" dataDxfId="20"/>
    <tableColumn id="5" xr3:uid="{57258378-8FED-4727-89AC-D938CB414B7B}" name="Finish Date" dataDxfId="19"/>
    <tableColumn id="6" xr3:uid="{ED4D3C9E-A6C7-420C-BE38-7AA6F80835A2}" name="Total" dataDxfId="18"/>
    <tableColumn id="7" xr3:uid="{AC25D65C-9FB4-4F8A-9A72-57F6F2EC5CEF}" name="Completed Tota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6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5">
      <calculatedColumnFormula>IF(AA13 = "Date", $S$4, AA13+7)</calculatedColumnFormula>
    </tableColumn>
    <tableColumn id="6" xr3:uid="{5740AC03-CF53-4345-8667-6AC0CA6843D0}" name="Primary Areas" dataDxfId="14">
      <calculatedColumnFormula>PrimaryAreas(3)</calculatedColumnFormula>
    </tableColumn>
    <tableColumn id="2" xr3:uid="{AF232D3D-EC3F-4232-BA5D-1427173C2D6A}" name="Weekly Plan">
      <calculatedColumnFormula>#REF!+#REF!+#REF!</calculatedColumnFormula>
    </tableColumn>
    <tableColumn id="3" xr3:uid="{B28103F6-7596-4848-9F0D-3E4A9E5CBEFE}" name="Weekly Actual" dataDxfId="13">
      <calculatedColumnFormula>IF(AND(ISBLANK(#REF!),ISBLANK(#REF!),ISBLANK(#REF!)), "",#REF! +#REF!+#REF!)</calculatedColumnFormula>
    </tableColumn>
    <tableColumn id="4" xr3:uid="{EF1C6009-71E6-491B-B64F-04049D2D9103}" name="Accumulated Plan" dataDxfId="12">
      <calculatedColumnFormula>SUM($AC$14:AC14)</calculatedColumnFormula>
    </tableColumn>
    <tableColumn id="5" xr3:uid="{442DAB73-1233-4C61-8DE9-3B44CE2C5D69}" name="Accumulated Actual" dataDxfId="11">
      <calculatedColumnFormula>IF(AD14="",NA(),SUM($AD$14:AD14))</calculatedColumnFormula>
    </tableColumn>
    <tableColumn id="73" xr3:uid="{19DEAF04-CF4F-47B3-9F12-A3511B46CD86}" name="WP_A1" dataDxfId="10"/>
    <tableColumn id="74" xr3:uid="{40AF4BA6-7EF3-458A-A686-B17DC1058FDC}" name="WA_A1" dataDxfId="9"/>
    <tableColumn id="75" xr3:uid="{D6846A3D-51F0-435C-AB01-61ADF80CA836}" name="WP_A2" dataDxfId="8"/>
    <tableColumn id="76" xr3:uid="{D93EF851-63E2-4A34-8872-23E6A1DC739D}" name="WA_A2" dataDxfId="7"/>
    <tableColumn id="77" xr3:uid="{583E983D-2328-495F-AA39-29E65C484A57}" name="WP_A3" dataDxfId="6"/>
    <tableColumn id="78" xr3:uid="{9B5C21C0-6C9C-460B-A46F-58C73220D30A}" name="WA_A3" dataDxfId="5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">
  <autoFilter ref="H2:H5" xr:uid="{1041DC80-58D6-4308-9DE1-A4EC8AAD3C20}"/>
  <tableColumns count="1">
    <tableColumn id="1" xr3:uid="{0E6D3E77-7CB7-40A1-BCA6-DDC8164AAEB9}" name="Holidays" dataDxfId="3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S1" zoomScale="85" zoomScaleNormal="85" workbookViewId="0">
      <selection activeCell="AD3" sqref="AD3"/>
    </sheetView>
  </sheetViews>
  <sheetFormatPr defaultColWidth="8.7265625"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8" t="str">
        <f>_xlfn.CONCAT("PROGRESS REPORT ", TEXT(S3,"mm/dd/yyyy"))</f>
        <v>PROGRESS REPORT 05/20/2020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  <c r="V2" s="8">
        <f>WEEKDAY(U14, 2)</f>
        <v>7</v>
      </c>
    </row>
    <row r="3" spans="2:39" x14ac:dyDescent="0.3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3"/>
      <c r="R3" s="24" t="s">
        <v>18</v>
      </c>
      <c r="S3" s="27">
        <f>Report_Date</f>
        <v>43971</v>
      </c>
      <c r="T3" s="24" t="s">
        <v>73</v>
      </c>
      <c r="U3" s="34" t="b">
        <v>1</v>
      </c>
    </row>
    <row r="4" spans="2:39" ht="15" x14ac:dyDescent="0.3">
      <c r="B4" s="28" t="s">
        <v>49</v>
      </c>
      <c r="C4" s="74" t="str">
        <f>Project_Name</f>
        <v>Westland Super Cool Project</v>
      </c>
      <c r="D4" s="74"/>
      <c r="E4" s="74"/>
      <c r="F4" s="74"/>
      <c r="G4" s="74"/>
      <c r="H4" s="74"/>
      <c r="I4" s="74"/>
      <c r="J4" s="75" t="s">
        <v>50</v>
      </c>
      <c r="K4" s="75"/>
      <c r="L4" s="75"/>
      <c r="M4" s="75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5" x14ac:dyDescent="0.3">
      <c r="B5" s="28" t="s">
        <v>53</v>
      </c>
      <c r="C5" s="74" t="str">
        <f>Project_Number</f>
        <v>S000</v>
      </c>
      <c r="D5" s="74"/>
      <c r="E5" s="74"/>
      <c r="F5" s="74"/>
      <c r="G5" s="74"/>
      <c r="H5" s="74"/>
      <c r="I5" s="74"/>
      <c r="J5" s="67" t="s">
        <v>54</v>
      </c>
      <c r="K5" s="67"/>
      <c r="L5" s="67"/>
      <c r="M5" s="67"/>
      <c r="N5" s="32">
        <f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5" x14ac:dyDescent="0.3">
      <c r="B6" s="28" t="s">
        <v>55</v>
      </c>
      <c r="C6" s="74" t="str">
        <f>Main!C12</f>
        <v>XYZ Corp</v>
      </c>
      <c r="D6" s="74"/>
      <c r="E6" s="74"/>
      <c r="F6" s="74"/>
      <c r="G6" s="74"/>
      <c r="H6" s="74"/>
      <c r="I6" s="74"/>
      <c r="J6" s="67" t="str">
        <f>_xlfn.CONCAT("Overall Totals (", IF(ISBLANK($S$6),"",$S$6), ")")</f>
        <v>Overall Totals (SF)</v>
      </c>
      <c r="K6" s="67"/>
      <c r="L6" s="67"/>
      <c r="M6" s="67"/>
      <c r="N6" s="35" t="str">
        <f>$R$7</f>
        <v>Schedule Run Date: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5" x14ac:dyDescent="0.3">
      <c r="B7" s="28" t="s">
        <v>56</v>
      </c>
      <c r="C7" s="74" t="str">
        <f>RIGHT(Main!B13, LEN(Main!B13) - 4)</f>
        <v>Foundation Walls</v>
      </c>
      <c r="D7" s="74"/>
      <c r="E7" s="74"/>
      <c r="F7" s="74"/>
      <c r="G7" s="74"/>
      <c r="H7" s="74"/>
      <c r="I7" s="74"/>
      <c r="J7" s="67" t="str">
        <f>_xlfn.CONCAT("Overall Completed Totals (", IF(ISBLANK($S$6),"",$S$6), ")")</f>
        <v>Overall Completed Totals (SF)</v>
      </c>
      <c r="K7" s="67"/>
      <c r="L7" s="67"/>
      <c r="M7" s="67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7" t="str">
        <f>_xlfn.CONCAT("This Week's Production (", IF(ISBLANK($S$6),"",$S$6), ")")</f>
        <v>This Week's Production (SF)</v>
      </c>
      <c r="K8" s="67"/>
      <c r="L8" s="67"/>
      <c r="M8" s="67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7" t="str">
        <f>_xlfn.CONCAT("Weekly Average (", IF(ISBLANK($S$6),"",$S$6), ")")</f>
        <v>Weekly Average (SF)</v>
      </c>
      <c r="K9" s="67"/>
      <c r="L9" s="67"/>
      <c r="M9" s="67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7" t="str">
        <f>_xlfn.CONCAT("Average Past 4 Weeks (", IF(ISBLANK($S$6),"",$S$6), ")")</f>
        <v>Average Past 4 Weeks (SF)</v>
      </c>
      <c r="K10" s="67"/>
      <c r="L10" s="67"/>
      <c r="M10" s="67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7" t="str">
        <f>_xlfn.CONCAT("On Schedule Average (", IF(ISBLANK($S$6),"",$S$6), ")")</f>
        <v>On Schedule Average (SF)</v>
      </c>
      <c r="K11" s="67"/>
      <c r="L11" s="67"/>
      <c r="M11" s="67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59" t="s">
        <v>57</v>
      </c>
      <c r="K12" s="59"/>
      <c r="L12" s="59"/>
      <c r="M12" s="59"/>
      <c r="N12" s="60" t="str">
        <f>$T$2</f>
        <v>Works Monday:</v>
      </c>
      <c r="O12" s="61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59" t="s">
        <v>58</v>
      </c>
      <c r="K13" s="59"/>
      <c r="L13" s="59"/>
      <c r="M13" s="59"/>
      <c r="N13" s="60" t="e">
        <f ca="1">$R$3+ROUNDUP(($R$7-$R$5)/($O$10/IF($T$4="NO", 5,6)),0)+(TRUNC(ROUNDUP(($R$7-$R$5)/($O$10/IF($T$4="NO", 5,6)),0)/7)*IF($T$4="NO",2,1))</f>
        <v>#VALUE!</v>
      </c>
      <c r="O13" s="62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3"/>
      <c r="N14" s="63"/>
      <c r="O14" s="64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</v>
      </c>
      <c r="AA14" s="54">
        <f>IF(AA13 = "Date", $S$4, AA13+7)</f>
        <v>43907</v>
      </c>
      <c r="AB14" s="57" t="str">
        <f ca="1">PrimaryAreas(3)</f>
        <v>A1</v>
      </c>
      <c r="AC14">
        <f>Output_Template[[#This Row],[WP_A1]]+Output_Template[[#This Row],[WP_A2]]+Output_Template[[#This Row],[WP_A3]]</f>
        <v>75</v>
      </c>
      <c r="AD1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4">
        <f>SUM($AC$14:AC14)</f>
        <v>75</v>
      </c>
      <c r="AF14">
        <f>IF(AD14="",NA(),SUM($AD$14:AD14))</f>
        <v>55</v>
      </c>
      <c r="AG14" s="19">
        <v>75</v>
      </c>
      <c r="AH14" s="19">
        <v>55</v>
      </c>
      <c r="AI14" s="19"/>
      <c r="AJ14" s="19"/>
      <c r="AK14" s="19"/>
      <c r="AL14" s="1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5"/>
      <c r="M15" s="65"/>
      <c r="N15" s="65"/>
      <c r="O15" s="66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</v>
      </c>
      <c r="AA15" s="54">
        <f>IF(AA14 = "Date", $S$4, AA14+7)</f>
        <v>43914</v>
      </c>
      <c r="AB15" s="57" t="str">
        <f t="shared" ref="AB15:AB43" ca="1" si="0">PrimaryAreas(3)</f>
        <v>A1</v>
      </c>
      <c r="AC15">
        <f>Output_Template[[#This Row],[WP_A1]]+Output_Template[[#This Row],[WP_A2]]+Output_Template[[#This Row],[WP_A3]]</f>
        <v>75</v>
      </c>
      <c r="AD1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5">
        <f>SUM($AC$14:AC15)</f>
        <v>150</v>
      </c>
      <c r="AF15">
        <f>IF(AD15="",NA(),SUM($AD$14:AD15))</f>
        <v>110</v>
      </c>
      <c r="AG15" s="19">
        <v>75</v>
      </c>
      <c r="AH15" s="19">
        <v>55</v>
      </c>
      <c r="AI15" s="19"/>
      <c r="AJ15" s="19"/>
      <c r="AK15" s="19"/>
      <c r="AL15" s="1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</v>
      </c>
      <c r="AA16" s="54">
        <f>IF(AA15 = "Date", $S$4, AA15+7)</f>
        <v>43921</v>
      </c>
      <c r="AB16" s="57" t="str">
        <f t="shared" ca="1" si="0"/>
        <v>A1</v>
      </c>
      <c r="AC16">
        <f>Output_Template[[#This Row],[WP_A1]]+Output_Template[[#This Row],[WP_A2]]+Output_Template[[#This Row],[WP_A3]]</f>
        <v>75</v>
      </c>
      <c r="AD16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6">
        <f>SUM($AC$14:AC16)</f>
        <v>225</v>
      </c>
      <c r="AF16">
        <f>IF(AD16="",NA(),SUM($AD$14:AD16))</f>
        <v>165</v>
      </c>
      <c r="AG16" s="19">
        <v>75</v>
      </c>
      <c r="AH16" s="19">
        <v>55</v>
      </c>
      <c r="AI16" s="19"/>
      <c r="AJ16" s="19"/>
      <c r="AK16" s="19"/>
      <c r="AL16" s="1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>IF(AA16 = "Date", $S$4, AA16+7)</f>
        <v>43928</v>
      </c>
      <c r="AB17" s="57" t="str">
        <f t="shared" ca="1" si="0"/>
        <v>A1</v>
      </c>
      <c r="AC17">
        <f>Output_Template[[#This Row],[WP_A1]]+Output_Template[[#This Row],[WP_A2]]+Output_Template[[#This Row],[WP_A3]]</f>
        <v>75</v>
      </c>
      <c r="AD17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7">
        <f>SUM($AC$14:AC17)</f>
        <v>300</v>
      </c>
      <c r="AF17">
        <f>IF(AD17="",NA(),SUM($AD$14:AD17))</f>
        <v>220</v>
      </c>
      <c r="AG17" s="19">
        <v>75</v>
      </c>
      <c r="AH17" s="19">
        <v>55</v>
      </c>
      <c r="AI17" s="19"/>
      <c r="AJ17" s="19"/>
      <c r="AK17" s="19"/>
      <c r="AL17" s="1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>IF(AA17 = "Date", $S$4, AA17+7)</f>
        <v>43935</v>
      </c>
      <c r="AB18" s="57" t="str">
        <f t="shared" ca="1" si="0"/>
        <v>A1</v>
      </c>
      <c r="AC18">
        <f>Output_Template[[#This Row],[WP_A1]]+Output_Template[[#This Row],[WP_A2]]+Output_Template[[#This Row],[WP_A3]]</f>
        <v>75</v>
      </c>
      <c r="AD18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8">
        <f>SUM($AC$14:AC18)</f>
        <v>375</v>
      </c>
      <c r="AF18">
        <f>IF(AD18="",NA(),SUM($AD$14:AD18))</f>
        <v>275</v>
      </c>
      <c r="AG18" s="19">
        <v>75</v>
      </c>
      <c r="AH18" s="19">
        <v>55</v>
      </c>
      <c r="AI18" s="19"/>
      <c r="AJ18" s="19"/>
      <c r="AK18" s="19"/>
      <c r="AL18" s="1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>IF(AA18 = "Date", $S$4, AA18+7)</f>
        <v>43942</v>
      </c>
      <c r="AB19" s="57" t="str">
        <f t="shared" ca="1" si="0"/>
        <v>A1</v>
      </c>
      <c r="AC19">
        <f>Output_Template[[#This Row],[WP_A1]]+Output_Template[[#This Row],[WP_A2]]+Output_Template[[#This Row],[WP_A3]]</f>
        <v>75</v>
      </c>
      <c r="AD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9">
        <f>SUM($AC$14:AC19)</f>
        <v>450</v>
      </c>
      <c r="AF19">
        <f>IF(AD19="",NA(),SUM($AD$14:AD19))</f>
        <v>330</v>
      </c>
      <c r="AG19" s="19">
        <v>75</v>
      </c>
      <c r="AH19" s="19">
        <v>55</v>
      </c>
      <c r="AI19" s="19"/>
      <c r="AJ19" s="19"/>
      <c r="AK19" s="19"/>
      <c r="AL19" s="1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>IF(AA19 = "Date", $S$4, AA19+7)</f>
        <v>43949</v>
      </c>
      <c r="AB20" s="57" t="str">
        <f t="shared" ca="1" si="0"/>
        <v>A1</v>
      </c>
      <c r="AC20">
        <f>Output_Template[[#This Row],[WP_A1]]+Output_Template[[#This Row],[WP_A2]]+Output_Template[[#This Row],[WP_A3]]</f>
        <v>75</v>
      </c>
      <c r="AD2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0">
        <f>SUM($AC$14:AC20)</f>
        <v>525</v>
      </c>
      <c r="AF20">
        <f>IF(AD20="",NA(),SUM($AD$14:AD20))</f>
        <v>385</v>
      </c>
      <c r="AG20" s="19">
        <v>75</v>
      </c>
      <c r="AH20" s="19">
        <v>55</v>
      </c>
      <c r="AI20" s="19"/>
      <c r="AJ20" s="19"/>
      <c r="AK20" s="19"/>
      <c r="AL20" s="1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>IF(AA20 = "Date", $S$4, AA20+7)</f>
        <v>43956</v>
      </c>
      <c r="AB21" s="57" t="str">
        <f t="shared" ca="1" si="0"/>
        <v>A1</v>
      </c>
      <c r="AC21">
        <f>Output_Template[[#This Row],[WP_A1]]+Output_Template[[#This Row],[WP_A2]]+Output_Template[[#This Row],[WP_A3]]</f>
        <v>75</v>
      </c>
      <c r="AD21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1">
        <f>SUM($AC$14:AC21)</f>
        <v>600</v>
      </c>
      <c r="AF21">
        <f>IF(AD21="",NA(),SUM($AD$14:AD21))</f>
        <v>440</v>
      </c>
      <c r="AG21" s="19">
        <v>75</v>
      </c>
      <c r="AH21" s="19">
        <v>55</v>
      </c>
      <c r="AI21" s="19"/>
      <c r="AJ21" s="19"/>
      <c r="AK21" s="19"/>
      <c r="AL21" s="1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>IF(AA21 = "Date", $S$4, AA21+7)</f>
        <v>43963</v>
      </c>
      <c r="AB22" s="57" t="str">
        <f t="shared" ca="1" si="0"/>
        <v>A1</v>
      </c>
      <c r="AC22">
        <f>Output_Template[[#This Row],[WP_A1]]+Output_Template[[#This Row],[WP_A2]]+Output_Template[[#This Row],[WP_A3]]</f>
        <v>75</v>
      </c>
      <c r="AD22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2">
        <f>SUM($AC$14:AC22)</f>
        <v>675</v>
      </c>
      <c r="AF22">
        <f>IF(AD22="",NA(),SUM($AD$14:AD22))</f>
        <v>495</v>
      </c>
      <c r="AG22" s="19">
        <v>75</v>
      </c>
      <c r="AH22" s="19">
        <v>55</v>
      </c>
      <c r="AI22" s="19"/>
      <c r="AJ22" s="19"/>
      <c r="AK22" s="19"/>
      <c r="AL22" s="1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>IF(AA22 = "Date", $S$4, AA22+7)</f>
        <v>43970</v>
      </c>
      <c r="AB23" s="57" t="str">
        <f t="shared" ca="1" si="0"/>
        <v>A1, A2</v>
      </c>
      <c r="AC23">
        <f>Output_Template[[#This Row],[WP_A1]]+Output_Template[[#This Row],[WP_A2]]+Output_Template[[#This Row],[WP_A3]]</f>
        <v>150</v>
      </c>
      <c r="AD23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3">
        <f>SUM($AC$14:AC23)</f>
        <v>825</v>
      </c>
      <c r="AF23">
        <f>IF(AD23="",NA(),SUM($AD$14:AD23))</f>
        <v>605</v>
      </c>
      <c r="AG23" s="19">
        <v>75</v>
      </c>
      <c r="AH23" s="19">
        <v>55</v>
      </c>
      <c r="AI23" s="19">
        <v>75</v>
      </c>
      <c r="AJ23" s="19">
        <v>55</v>
      </c>
      <c r="AK23" s="19"/>
      <c r="AL23" s="1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>IF(AA23 = "Date", $S$4, AA23+7)</f>
        <v>43977</v>
      </c>
      <c r="AB24" s="57" t="str">
        <f t="shared" ca="1" si="0"/>
        <v>A1, A2</v>
      </c>
      <c r="AC24">
        <f>Output_Template[[#This Row],[WP_A1]]+Output_Template[[#This Row],[WP_A2]]+Output_Template[[#This Row],[WP_A3]]</f>
        <v>150</v>
      </c>
      <c r="AD2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4">
        <f>SUM($AC$14:AC24)</f>
        <v>975</v>
      </c>
      <c r="AF24">
        <f>IF(AD24="",NA(),SUM($AD$14:AD24))</f>
        <v>715</v>
      </c>
      <c r="AG24" s="19">
        <v>75</v>
      </c>
      <c r="AH24" s="19">
        <v>55</v>
      </c>
      <c r="AI24" s="19">
        <v>75</v>
      </c>
      <c r="AJ24" s="19">
        <v>55</v>
      </c>
      <c r="AK24" s="19"/>
      <c r="AL24" s="1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>IF(AA24 = "Date", $S$4, AA24+7)</f>
        <v>43984</v>
      </c>
      <c r="AB25" s="57" t="str">
        <f t="shared" ca="1" si="0"/>
        <v>A1, A2</v>
      </c>
      <c r="AC25">
        <f>Output_Template[[#This Row],[WP_A1]]+Output_Template[[#This Row],[WP_A2]]+Output_Template[[#This Row],[WP_A3]]</f>
        <v>150</v>
      </c>
      <c r="AD2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5">
        <f>SUM($AC$14:AC25)</f>
        <v>1125</v>
      </c>
      <c r="AF25">
        <f>IF(AD25="",NA(),SUM($AD$14:AD25))</f>
        <v>825</v>
      </c>
      <c r="AG25" s="19">
        <v>75</v>
      </c>
      <c r="AH25" s="19">
        <v>55</v>
      </c>
      <c r="AI25" s="19">
        <v>75</v>
      </c>
      <c r="AJ25" s="19">
        <v>55</v>
      </c>
      <c r="AK25" s="19"/>
      <c r="AL25" s="1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>IF(AA25 = "Date", $S$4, AA25+7)</f>
        <v>43991</v>
      </c>
      <c r="AB26" s="57" t="str">
        <f t="shared" ca="1" si="0"/>
        <v>A2</v>
      </c>
      <c r="AC26">
        <f>Output_Template[[#This Row],[WP_A1]]+Output_Template[[#This Row],[WP_A2]]+Output_Template[[#This Row],[WP_A3]]</f>
        <v>75</v>
      </c>
      <c r="AD2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6">
        <f>SUM($AC$14:AC26)</f>
        <v>1200</v>
      </c>
      <c r="AF26">
        <f>IF(AD26="",NA(),SUM($AD$14:AD26))</f>
        <v>935</v>
      </c>
      <c r="AG26" s="19"/>
      <c r="AH26" s="19">
        <v>55</v>
      </c>
      <c r="AI26" s="19">
        <v>75</v>
      </c>
      <c r="AJ26" s="19">
        <v>55</v>
      </c>
      <c r="AK26" s="19"/>
      <c r="AL26" s="1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57" t="str">
        <f t="shared" ca="1" si="0"/>
        <v>A2</v>
      </c>
      <c r="AC27">
        <f>Output_Template[[#This Row],[WP_A1]]+Output_Template[[#This Row],[WP_A2]]+Output_Template[[#This Row],[WP_A3]]</f>
        <v>75</v>
      </c>
      <c r="AD2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7">
        <f>SUM($AC$14:AC27)</f>
        <v>1275</v>
      </c>
      <c r="AF27">
        <f>IF(AD27="",NA(),SUM($AD$14:AD27))</f>
        <v>1045</v>
      </c>
      <c r="AG27" s="19"/>
      <c r="AH27" s="19">
        <v>55</v>
      </c>
      <c r="AI27" s="19">
        <v>75</v>
      </c>
      <c r="AJ27" s="19">
        <v>55</v>
      </c>
      <c r="AK27" s="19"/>
      <c r="AL27" s="1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57" t="str">
        <f t="shared" ca="1" si="0"/>
        <v>A2</v>
      </c>
      <c r="AC28">
        <f>Output_Template[[#This Row],[WP_A1]]+Output_Template[[#This Row],[WP_A2]]+Output_Template[[#This Row],[WP_A3]]</f>
        <v>75</v>
      </c>
      <c r="AD2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8">
        <f>SUM($AC$14:AC28)</f>
        <v>1350</v>
      </c>
      <c r="AF28">
        <f>IF(AD28="",NA(),SUM($AD$14:AD28))</f>
        <v>1100</v>
      </c>
      <c r="AG28" s="19"/>
      <c r="AH28" s="19"/>
      <c r="AI28" s="19">
        <v>75</v>
      </c>
      <c r="AJ28" s="19">
        <v>55</v>
      </c>
      <c r="AK28" s="19"/>
      <c r="AL28" s="1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57" t="str">
        <f t="shared" ca="1" si="0"/>
        <v>A2</v>
      </c>
      <c r="AC29">
        <f>Output_Template[[#This Row],[WP_A1]]+Output_Template[[#This Row],[WP_A2]]+Output_Template[[#This Row],[WP_A3]]</f>
        <v>75</v>
      </c>
      <c r="AD2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9">
        <f>SUM($AC$14:AC29)</f>
        <v>1425</v>
      </c>
      <c r="AF29">
        <f>IF(AD29="",NA(),SUM($AD$14:AD29))</f>
        <v>1155</v>
      </c>
      <c r="AG29" s="19"/>
      <c r="AH29" s="19"/>
      <c r="AI29" s="19">
        <v>75</v>
      </c>
      <c r="AJ29" s="19">
        <v>55</v>
      </c>
      <c r="AK29" s="19"/>
      <c r="AL29" s="1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57" t="str">
        <f t="shared" ca="1" si="0"/>
        <v>A2</v>
      </c>
      <c r="AC30">
        <f>Output_Template[[#This Row],[WP_A1]]+Output_Template[[#This Row],[WP_A2]]+Output_Template[[#This Row],[WP_A3]]</f>
        <v>75</v>
      </c>
      <c r="AD3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0">
        <f>SUM($AC$14:AC30)</f>
        <v>1500</v>
      </c>
      <c r="AF30">
        <f>IF(AD30="",NA(),SUM($AD$14:AD30))</f>
        <v>1210</v>
      </c>
      <c r="AG30" s="19"/>
      <c r="AH30" s="19"/>
      <c r="AI30" s="19">
        <v>75</v>
      </c>
      <c r="AJ30" s="19">
        <v>55</v>
      </c>
      <c r="AK30" s="19"/>
      <c r="AL30" s="1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57" t="str">
        <f t="shared" ca="1" si="0"/>
        <v>A2</v>
      </c>
      <c r="AC31">
        <f>Output_Template[[#This Row],[WP_A1]]+Output_Template[[#This Row],[WP_A2]]+Output_Template[[#This Row],[WP_A3]]</f>
        <v>75</v>
      </c>
      <c r="AD3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1">
        <f>SUM($AC$14:AC31)</f>
        <v>1575</v>
      </c>
      <c r="AF31">
        <f>IF(AD31="",NA(),SUM($AD$14:AD31))</f>
        <v>1265</v>
      </c>
      <c r="AG31" s="19"/>
      <c r="AH31" s="19"/>
      <c r="AI31" s="19">
        <v>75</v>
      </c>
      <c r="AJ31" s="19">
        <v>55</v>
      </c>
      <c r="AK31" s="19"/>
      <c r="AL31" s="1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57" t="str">
        <f t="shared" ca="1" si="0"/>
        <v>A2</v>
      </c>
      <c r="AC32">
        <f>Output_Template[[#This Row],[WP_A1]]+Output_Template[[#This Row],[WP_A2]]+Output_Template[[#This Row],[WP_A3]]</f>
        <v>75</v>
      </c>
      <c r="AD3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2">
        <f>SUM($AC$14:AC32)</f>
        <v>1650</v>
      </c>
      <c r="AF32">
        <f>IF(AD32="",NA(),SUM($AD$14:AD32))</f>
        <v>1320</v>
      </c>
      <c r="AG32" s="19"/>
      <c r="AH32" s="19"/>
      <c r="AI32" s="19">
        <v>75</v>
      </c>
      <c r="AJ32" s="19">
        <v>55</v>
      </c>
      <c r="AK32" s="19"/>
      <c r="AL32" s="1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57" t="str">
        <f t="shared" ca="1" si="0"/>
        <v>A2</v>
      </c>
      <c r="AC33">
        <f>Output_Template[[#This Row],[WP_A1]]+Output_Template[[#This Row],[WP_A2]]+Output_Template[[#This Row],[WP_A3]]</f>
        <v>75</v>
      </c>
      <c r="AD3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3">
        <f>SUM($AC$14:AC33)</f>
        <v>1725</v>
      </c>
      <c r="AF33">
        <f>IF(AD33="",NA(),SUM($AD$14:AD33))</f>
        <v>1375</v>
      </c>
      <c r="AG33" s="19"/>
      <c r="AH33" s="19"/>
      <c r="AI33" s="19">
        <v>75</v>
      </c>
      <c r="AJ33" s="19">
        <v>55</v>
      </c>
      <c r="AK33" s="19"/>
      <c r="AL33" s="1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57" t="str">
        <f t="shared" ca="1" si="0"/>
        <v>A2, A3</v>
      </c>
      <c r="AC34">
        <f>Output_Template[[#This Row],[WP_A1]]+Output_Template[[#This Row],[WP_A2]]+Output_Template[[#This Row],[WP_A3]]</f>
        <v>150</v>
      </c>
      <c r="AD34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4">
        <f>SUM($AC$14:AC34)</f>
        <v>1875</v>
      </c>
      <c r="AF34">
        <f>IF(AD34="",NA(),SUM($AD$14:AD34))</f>
        <v>1485</v>
      </c>
      <c r="AG34" s="19"/>
      <c r="AH34" s="19"/>
      <c r="AI34" s="19">
        <v>75</v>
      </c>
      <c r="AJ34" s="19">
        <v>55</v>
      </c>
      <c r="AK34" s="19">
        <v>75</v>
      </c>
      <c r="AL34" s="19">
        <v>55</v>
      </c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57" t="str">
        <f t="shared" ca="1" si="0"/>
        <v>A2, A3</v>
      </c>
      <c r="AC35">
        <f>Output_Template[[#This Row],[WP_A1]]+Output_Template[[#This Row],[WP_A2]]+Output_Template[[#This Row],[WP_A3]]</f>
        <v>150</v>
      </c>
      <c r="AD35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5">
        <f>SUM($AC$14:AC35)</f>
        <v>2025</v>
      </c>
      <c r="AF35">
        <f>IF(AD35="",NA(),SUM($AD$14:AD35))</f>
        <v>1595</v>
      </c>
      <c r="AG35" s="19"/>
      <c r="AH35" s="19"/>
      <c r="AI35" s="19">
        <v>75</v>
      </c>
      <c r="AJ35" s="19">
        <v>55</v>
      </c>
      <c r="AK35" s="19">
        <v>75</v>
      </c>
      <c r="AL35" s="19">
        <v>55</v>
      </c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57" t="str">
        <f t="shared" ca="1" si="0"/>
        <v>A3</v>
      </c>
      <c r="AC36">
        <f>Output_Template[[#This Row],[WP_A1]]+Output_Template[[#This Row],[WP_A2]]+Output_Template[[#This Row],[WP_A3]]</f>
        <v>75</v>
      </c>
      <c r="AD3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6">
        <f>SUM($AC$14:AC36)</f>
        <v>2100</v>
      </c>
      <c r="AF36">
        <f>IF(AD36="",NA(),SUM($AD$14:AD36))</f>
        <v>1650</v>
      </c>
      <c r="AG36" s="19"/>
      <c r="AH36" s="19"/>
      <c r="AI36" s="19"/>
      <c r="AJ36" s="19"/>
      <c r="AK36" s="19">
        <v>75</v>
      </c>
      <c r="AL36" s="19">
        <v>55</v>
      </c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57" t="str">
        <f t="shared" ca="1" si="0"/>
        <v>A3</v>
      </c>
      <c r="AC37">
        <f>Output_Template[[#This Row],[WP_A1]]+Output_Template[[#This Row],[WP_A2]]+Output_Template[[#This Row],[WP_A3]]</f>
        <v>75</v>
      </c>
      <c r="AD3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7">
        <f>SUM($AC$14:AC37)</f>
        <v>2175</v>
      </c>
      <c r="AF37">
        <f>IF(AD37="",NA(),SUM($AD$14:AD37))</f>
        <v>1705</v>
      </c>
      <c r="AG37" s="19"/>
      <c r="AH37" s="19"/>
      <c r="AI37" s="19"/>
      <c r="AJ37" s="19"/>
      <c r="AK37" s="19">
        <v>75</v>
      </c>
      <c r="AL37" s="19">
        <v>55</v>
      </c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57" t="str">
        <f t="shared" ca="1" si="0"/>
        <v>A3</v>
      </c>
      <c r="AC38">
        <f>Output_Template[[#This Row],[WP_A1]]+Output_Template[[#This Row],[WP_A2]]+Output_Template[[#This Row],[WP_A3]]</f>
        <v>75</v>
      </c>
      <c r="AD3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8">
        <f>SUM($AC$14:AC38)</f>
        <v>2250</v>
      </c>
      <c r="AF38">
        <f>IF(AD38="",NA(),SUM($AD$14:AD38))</f>
        <v>1760</v>
      </c>
      <c r="AG38" s="19"/>
      <c r="AH38" s="19"/>
      <c r="AI38" s="19"/>
      <c r="AJ38" s="19"/>
      <c r="AK38" s="19">
        <v>75</v>
      </c>
      <c r="AL38" s="19">
        <v>55</v>
      </c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57" t="str">
        <f t="shared" ca="1" si="0"/>
        <v>A3</v>
      </c>
      <c r="AC39">
        <f>Output_Template[[#This Row],[WP_A1]]+Output_Template[[#This Row],[WP_A2]]+Output_Template[[#This Row],[WP_A3]]</f>
        <v>75</v>
      </c>
      <c r="AD3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9">
        <f>SUM($AC$14:AC39)</f>
        <v>2325</v>
      </c>
      <c r="AF39">
        <f>IF(AD39="",NA(),SUM($AD$14:AD39))</f>
        <v>1815</v>
      </c>
      <c r="AG39" s="19"/>
      <c r="AH39" s="19"/>
      <c r="AI39" s="19"/>
      <c r="AJ39" s="19"/>
      <c r="AK39" s="19">
        <v>75</v>
      </c>
      <c r="AL39" s="19">
        <v>55</v>
      </c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57" t="str">
        <f t="shared" ca="1" si="0"/>
        <v>A3</v>
      </c>
      <c r="AC40">
        <f>Output_Template[[#This Row],[WP_A1]]+Output_Template[[#This Row],[WP_A2]]+Output_Template[[#This Row],[WP_A3]]</f>
        <v>75</v>
      </c>
      <c r="AD4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0">
        <f>SUM($AC$14:AC40)</f>
        <v>2400</v>
      </c>
      <c r="AF40">
        <f>IF(AD40="",NA(),SUM($AD$14:AD40))</f>
        <v>1870</v>
      </c>
      <c r="AG40" s="19"/>
      <c r="AH40" s="19"/>
      <c r="AI40" s="19"/>
      <c r="AJ40" s="19"/>
      <c r="AK40" s="19">
        <v>75</v>
      </c>
      <c r="AL40" s="19">
        <v>55</v>
      </c>
    </row>
    <row r="41" spans="2:38" ht="14.5" x14ac:dyDescent="0.35">
      <c r="AA41" s="54">
        <f>IF(AA40 = "Date", $S$4, AA40+7)</f>
        <v>44096</v>
      </c>
      <c r="AB41" s="57" t="str">
        <f t="shared" ca="1" si="0"/>
        <v>A3</v>
      </c>
      <c r="AC41">
        <f>Output_Template[[#This Row],[WP_A1]]+Output_Template[[#This Row],[WP_A2]]+Output_Template[[#This Row],[WP_A3]]</f>
        <v>77</v>
      </c>
      <c r="AD4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1">
        <f>SUM($AC$14:AC41)</f>
        <v>2477</v>
      </c>
      <c r="AF41">
        <f>IF(AD41="",NA(),SUM($AD$14:AD41))</f>
        <v>1945</v>
      </c>
      <c r="AG41" s="19"/>
      <c r="AH41" s="19"/>
      <c r="AI41" s="19"/>
      <c r="AJ41" s="19"/>
      <c r="AK41" s="19">
        <v>77</v>
      </c>
      <c r="AL41" s="19">
        <v>75</v>
      </c>
    </row>
    <row r="42" spans="2:38" ht="14.5" x14ac:dyDescent="0.35">
      <c r="AA42" s="54">
        <f>IF(AA41 = "Date", $S$4, AA41+7)</f>
        <v>44103</v>
      </c>
      <c r="AB42" s="57" t="str">
        <f t="shared" ca="1" si="0"/>
        <v>A3</v>
      </c>
      <c r="AC42">
        <f>Output_Template[[#This Row],[WP_A1]]+Output_Template[[#This Row],[WP_A2]]+Output_Template[[#This Row],[WP_A3]]</f>
        <v>55</v>
      </c>
      <c r="AD4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2">
        <f>SUM($AC$14:AC42)</f>
        <v>2532</v>
      </c>
      <c r="AF42">
        <f>IF(AD42="",NA(),SUM($AD$14:AD42))</f>
        <v>2020</v>
      </c>
      <c r="AG42" s="19"/>
      <c r="AH42" s="19"/>
      <c r="AI42" s="19"/>
      <c r="AJ42" s="19"/>
      <c r="AK42" s="19">
        <v>55</v>
      </c>
      <c r="AL42" s="19">
        <v>75</v>
      </c>
    </row>
    <row r="43" spans="2:38" ht="14.5" x14ac:dyDescent="0.35">
      <c r="AA43" s="54">
        <f>IF(AA42 = "Date", $S$4, AA42+7)</f>
        <v>44110</v>
      </c>
      <c r="AB43" s="57" t="str">
        <f t="shared" ca="1" si="0"/>
        <v>A3</v>
      </c>
      <c r="AC43">
        <f>Output_Template[[#This Row],[WP_A1]]+Output_Template[[#This Row],[WP_A2]]+Output_Template[[#This Row],[WP_A3]]</f>
        <v>75</v>
      </c>
      <c r="AD4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3">
        <f>SUM($AC$14:AC43)</f>
        <v>2607</v>
      </c>
      <c r="AF43">
        <f>IF(AD43="",NA(),SUM($AD$14:AD43))</f>
        <v>2095</v>
      </c>
      <c r="AG43" s="19"/>
      <c r="AH43" s="19"/>
      <c r="AI43" s="19"/>
      <c r="AJ43" s="19"/>
      <c r="AK43" s="19">
        <v>75</v>
      </c>
      <c r="AL43" s="19">
        <v>75</v>
      </c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43">
    <cfRule type="containsErrors" dxfId="2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6" sqref="H6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6" t="s">
        <v>5</v>
      </c>
      <c r="F1" s="76"/>
      <c r="H1" s="2" t="s">
        <v>9</v>
      </c>
      <c r="K1" s="5" t="s">
        <v>12</v>
      </c>
      <c r="L1" s="5" t="s">
        <v>17</v>
      </c>
    </row>
    <row r="2" spans="2:12" ht="15.5" x14ac:dyDescent="0.35">
      <c r="B2" s="77" t="s">
        <v>6</v>
      </c>
      <c r="C2" s="77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98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G25" sqref="G25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9" t="str">
        <f>"PROGRESS REPORT "&amp; TEXT(Report_Date, "mm/dd/yyy")</f>
        <v>PROGRESS REPORT 05/20/2020</v>
      </c>
      <c r="C2" s="79"/>
      <c r="D2" s="79"/>
      <c r="E2" s="79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8" t="s">
        <v>31</v>
      </c>
      <c r="C11" s="78"/>
      <c r="D11" s="78"/>
      <c r="E11" s="78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8" t="s">
        <v>32</v>
      </c>
      <c r="C15" s="78"/>
      <c r="D15" s="78"/>
      <c r="E15" s="78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8" t="s">
        <v>33</v>
      </c>
      <c r="C18" s="78"/>
      <c r="D18" s="78"/>
      <c r="E18" s="78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8" t="s">
        <v>34</v>
      </c>
      <c r="C21" s="78"/>
      <c r="D21" s="78"/>
      <c r="E21" s="78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8" t="s">
        <v>35</v>
      </c>
      <c r="C24" s="78"/>
      <c r="D24" s="78"/>
      <c r="E24" s="78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2020-05-20T16:34:20Z</cp:lastPrinted>
  <dcterms:created xsi:type="dcterms:W3CDTF">2019-04-09T17:53:55Z</dcterms:created>
  <dcterms:modified xsi:type="dcterms:W3CDTF">2020-05-20T22:38:54Z</dcterms:modified>
</cp:coreProperties>
</file>