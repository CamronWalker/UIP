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8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omments4.xml" ContentType="application/vnd.openxmlformats-officedocument.spreadsheetml.comment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69AF60A9-332C-4DF7-8E57-B8E659EB5242}" xr6:coauthVersionLast="45" xr6:coauthVersionMax="45" xr10:uidLastSave="{00000000-0000-0000-0000-000000000000}"/>
  <bookViews>
    <workbookView xWindow="-28920" yWindow="14190" windowWidth="29040" windowHeight="17640" activeTab="5" xr2:uid="{791B15CC-68B2-4D54-B53E-4FED7E26F6F4}"/>
  </bookViews>
  <sheets>
    <sheet name="Sheet4" sheetId="8" r:id="rId1"/>
    <sheet name="BI_Export" sheetId="7" r:id="rId2"/>
    <sheet name="Template" sheetId="3" r:id="rId3"/>
    <sheet name="Assemb_Template" sheetId="9" r:id="rId4"/>
    <sheet name="Settings" sheetId="1" r:id="rId5"/>
    <sheet name="Main" sheetId="2" r:id="rId6"/>
    <sheet name="0501" sheetId="10" r:id="rId7"/>
    <sheet name="0001" sheetId="11" r:id="rId8"/>
  </sheets>
  <functionGroups builtInGroupCount="19"/>
  <definedNames>
    <definedName name="AssembleConnection">Settings!$C$11</definedName>
    <definedName name="Dev_Mode">Settings!$F$3</definedName>
    <definedName name="ExternalData_1" localSheetId="0" hidden="1">Sheet4!$A$1:$W$25</definedName>
    <definedName name="Half_After_Holiday">Settings!$F$5</definedName>
    <definedName name="Logging">Settings!$F$4</definedName>
    <definedName name="Percent_Error">Main!$H$8</definedName>
    <definedName name="Power_BI_Export_Folder">Settings!$M$1</definedName>
    <definedName name="Power_BI_Filename">Settings!$C$6</definedName>
    <definedName name="_xlnm.Print_Area" localSheetId="7">'0001'!$B$2:$O$40</definedName>
    <definedName name="_xlnm.Print_Area" localSheetId="6">'0501'!$B$2:$O$40</definedName>
    <definedName name="_xlnm.Print_Area" localSheetId="5">Main!$B$2:$E$34</definedName>
    <definedName name="_xlnm.Print_Area" localSheetId="2">Template!$B$2:$O$40</definedName>
    <definedName name="Project_Engineer">Settings!$C$9</definedName>
    <definedName name="Project_Manager">Settings!$C$8</definedName>
    <definedName name="Project_Name">Settings!$C$3</definedName>
    <definedName name="Project_Number">Settings!$C$4</definedName>
    <definedName name="RedGreen_Formatting">Main!$H$7</definedName>
    <definedName name="Report_Date">Main!$H$6</definedName>
    <definedName name="Reporting_Day">Settings!$C$7</definedName>
    <definedName name="Schedule_Run_Date">Settings!$C$5</definedName>
    <definedName name="Superintendent">Settings!$C$10</definedName>
  </definedNames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7" i="10" l="1"/>
  <c r="C6" i="10"/>
  <c r="I33" i="2"/>
  <c r="R1" i="3" l="1"/>
  <c r="R1" i="10"/>
  <c r="A1" i="9" l="1"/>
  <c r="J2" i="2" l="1"/>
  <c r="AD43" i="11"/>
  <c r="AF43" i="11" s="1"/>
  <c r="AD42" i="11"/>
  <c r="AF42" i="11" s="1"/>
  <c r="AD41" i="11"/>
  <c r="AF41" i="11" s="1"/>
  <c r="AD40" i="11"/>
  <c r="AF40" i="11" s="1"/>
  <c r="AD39" i="11"/>
  <c r="AF39" i="11" s="1"/>
  <c r="AD38" i="11"/>
  <c r="AF38" i="11" s="1"/>
  <c r="AD37" i="11"/>
  <c r="AF37" i="11" s="1"/>
  <c r="AD36" i="11"/>
  <c r="AF36" i="11" s="1"/>
  <c r="AD35" i="11"/>
  <c r="AF35" i="11" s="1"/>
  <c r="AD34" i="11"/>
  <c r="AF34" i="11" s="1"/>
  <c r="AD33" i="11"/>
  <c r="AF33" i="11" s="1"/>
  <c r="AD32" i="11"/>
  <c r="AF32" i="11" s="1"/>
  <c r="AD31" i="11"/>
  <c r="AF31" i="11" s="1"/>
  <c r="AD30" i="11"/>
  <c r="AF30" i="11" s="1"/>
  <c r="AD29" i="11"/>
  <c r="AD28" i="11"/>
  <c r="AD27" i="11"/>
  <c r="AD26" i="11"/>
  <c r="AD25" i="11"/>
  <c r="AD24" i="11"/>
  <c r="AD23" i="11"/>
  <c r="AF23" i="11" s="1"/>
  <c r="AD22" i="11"/>
  <c r="AD21" i="11"/>
  <c r="AF21" i="11" s="1"/>
  <c r="AD20" i="11"/>
  <c r="AF20" i="11" s="1"/>
  <c r="AD19" i="11"/>
  <c r="AD18" i="11"/>
  <c r="AD17" i="11"/>
  <c r="AD16" i="11"/>
  <c r="AF16" i="11" s="1"/>
  <c r="AD15" i="11"/>
  <c r="AF15" i="11" s="1"/>
  <c r="AD14" i="11"/>
  <c r="AF14" i="11" s="1"/>
  <c r="J11" i="11"/>
  <c r="J10" i="11"/>
  <c r="J9" i="11"/>
  <c r="J8" i="11"/>
  <c r="AC7" i="11"/>
  <c r="S7" i="11"/>
  <c r="L14" i="11" s="1"/>
  <c r="J7" i="11"/>
  <c r="C7" i="11"/>
  <c r="J6" i="11"/>
  <c r="C6" i="11"/>
  <c r="S5" i="11"/>
  <c r="C5" i="11"/>
  <c r="S4" i="11"/>
  <c r="AA14" i="11" s="1"/>
  <c r="AA15" i="11" s="1"/>
  <c r="AA16" i="11" s="1"/>
  <c r="AA17" i="11" s="1"/>
  <c r="AA18" i="11" s="1"/>
  <c r="AA19" i="11" s="1"/>
  <c r="AA20" i="11" s="1"/>
  <c r="AA21" i="11" s="1"/>
  <c r="AA22" i="11" s="1"/>
  <c r="AA23" i="11" s="1"/>
  <c r="AA24" i="11" s="1"/>
  <c r="AA25" i="11" s="1"/>
  <c r="AA26" i="11" s="1"/>
  <c r="AA27" i="11" s="1"/>
  <c r="AA28" i="11" s="1"/>
  <c r="AA29" i="11" s="1"/>
  <c r="AA30" i="11" s="1"/>
  <c r="AA31" i="11" s="1"/>
  <c r="AA32" i="11" s="1"/>
  <c r="AA33" i="11" s="1"/>
  <c r="AA34" i="11" s="1"/>
  <c r="AA35" i="11" s="1"/>
  <c r="AA36" i="11" s="1"/>
  <c r="AA37" i="11" s="1"/>
  <c r="AA38" i="11" s="1"/>
  <c r="AA39" i="11" s="1"/>
  <c r="AA40" i="11" s="1"/>
  <c r="AA41" i="11" s="1"/>
  <c r="AA42" i="11" s="1"/>
  <c r="AA43" i="11" s="1"/>
  <c r="C4" i="11"/>
  <c r="S3" i="11"/>
  <c r="S2" i="11"/>
  <c r="AK37" i="11"/>
  <c r="AI30" i="11"/>
  <c r="AG23" i="11"/>
  <c r="AK30" i="11"/>
  <c r="AG18" i="11"/>
  <c r="AK29" i="11"/>
  <c r="AK27" i="11"/>
  <c r="AK42" i="11"/>
  <c r="AI38" i="11"/>
  <c r="AK24" i="11"/>
  <c r="AK20" i="11"/>
  <c r="AG28" i="11"/>
  <c r="AK38" i="11"/>
  <c r="AI39" i="11"/>
  <c r="AI34" i="11"/>
  <c r="AI27" i="11"/>
  <c r="AG26" i="11"/>
  <c r="AI15" i="11"/>
  <c r="AG43" i="11"/>
  <c r="AK25" i="11"/>
  <c r="AI14" i="11"/>
  <c r="AG33" i="11"/>
  <c r="AI16" i="11"/>
  <c r="AG27" i="11"/>
  <c r="AG14" i="11"/>
  <c r="AG19" i="11"/>
  <c r="AI19" i="11"/>
  <c r="AI23" i="11"/>
  <c r="AK16" i="11"/>
  <c r="AK28" i="11"/>
  <c r="AG38" i="11"/>
  <c r="AK17" i="11"/>
  <c r="AG24" i="11"/>
  <c r="AI20" i="11"/>
  <c r="AG35" i="11"/>
  <c r="AK41" i="11"/>
  <c r="AI40" i="11"/>
  <c r="AI35" i="11"/>
  <c r="AK40" i="11"/>
  <c r="AK39" i="11"/>
  <c r="AK33" i="11"/>
  <c r="AI37" i="11"/>
  <c r="AK31" i="11"/>
  <c r="AG34" i="11"/>
  <c r="AG41" i="11"/>
  <c r="AI29" i="11"/>
  <c r="AK23" i="11"/>
  <c r="AG30" i="11"/>
  <c r="AI25" i="11"/>
  <c r="AI17" i="11"/>
  <c r="AG31" i="11"/>
  <c r="AK43" i="11"/>
  <c r="AI42" i="11"/>
  <c r="AG42" i="11"/>
  <c r="AI21" i="11"/>
  <c r="AG21" i="11"/>
  <c r="AG25" i="11"/>
  <c r="AI36" i="11"/>
  <c r="AK21" i="11"/>
  <c r="AK34" i="11"/>
  <c r="AI26" i="11"/>
  <c r="AG15" i="11"/>
  <c r="AI41" i="11"/>
  <c r="AG16" i="11"/>
  <c r="AG40" i="11"/>
  <c r="AG20" i="11"/>
  <c r="AI28" i="11"/>
  <c r="AI22" i="11"/>
  <c r="AK18" i="11"/>
  <c r="AK35" i="11"/>
  <c r="AI32" i="11"/>
  <c r="AG37" i="11"/>
  <c r="AI43" i="11"/>
  <c r="AK26" i="11"/>
  <c r="AI18" i="11"/>
  <c r="AG39" i="11"/>
  <c r="AK15" i="11"/>
  <c r="AG22" i="11"/>
  <c r="AI24" i="11"/>
  <c r="AG29" i="11"/>
  <c r="AK14" i="11"/>
  <c r="AK32" i="11"/>
  <c r="AK19" i="11"/>
  <c r="AG32" i="11"/>
  <c r="AK36" i="11"/>
  <c r="AG36" i="11"/>
  <c r="AK22" i="11"/>
  <c r="AG17" i="11"/>
  <c r="AI33" i="11"/>
  <c r="AI31" i="11"/>
  <c r="O10" i="11"/>
  <c r="AF22" i="11" l="1"/>
  <c r="AF24" i="11"/>
  <c r="AF25" i="11"/>
  <c r="AF26" i="11"/>
  <c r="AF27" i="11"/>
  <c r="AF28" i="11"/>
  <c r="AF17" i="11"/>
  <c r="AF29" i="11"/>
  <c r="AF18" i="11"/>
  <c r="AF19" i="11"/>
  <c r="AC14" i="11"/>
  <c r="AC18" i="11"/>
  <c r="AC22" i="11"/>
  <c r="AC26" i="11"/>
  <c r="AC30" i="11"/>
  <c r="AC34" i="11"/>
  <c r="AC38" i="11"/>
  <c r="AC42" i="11"/>
  <c r="AC27" i="11"/>
  <c r="AC39" i="11"/>
  <c r="AC43" i="11"/>
  <c r="AC29" i="11"/>
  <c r="AC33" i="11"/>
  <c r="AC37" i="11"/>
  <c r="AC41" i="11"/>
  <c r="AC17" i="11"/>
  <c r="AC21" i="11"/>
  <c r="AC35" i="11"/>
  <c r="AC25" i="11"/>
  <c r="AC16" i="11"/>
  <c r="AC20" i="11"/>
  <c r="AC24" i="11"/>
  <c r="AC28" i="11"/>
  <c r="AC32" i="11"/>
  <c r="AC36" i="11"/>
  <c r="AC40" i="11"/>
  <c r="AC19" i="11"/>
  <c r="AC23" i="11"/>
  <c r="AC31" i="11"/>
  <c r="AC15" i="11"/>
  <c r="B2" i="11"/>
  <c r="AB20" i="11"/>
  <c r="AB19" i="11"/>
  <c r="AB32" i="11"/>
  <c r="N8" i="11"/>
  <c r="O9" i="11"/>
  <c r="AB35" i="11"/>
  <c r="O6" i="11"/>
  <c r="AB39" i="11"/>
  <c r="AB27" i="11"/>
  <c r="AB38" i="11"/>
  <c r="O8" i="11"/>
  <c r="AB24" i="11"/>
  <c r="AB15" i="11"/>
  <c r="AB42" i="11"/>
  <c r="AB29" i="11"/>
  <c r="AB16" i="11"/>
  <c r="AB37" i="11"/>
  <c r="N10" i="11"/>
  <c r="AB22" i="11"/>
  <c r="AB40" i="11"/>
  <c r="AB23" i="11"/>
  <c r="AB30" i="11"/>
  <c r="AB31" i="11"/>
  <c r="AB41" i="11"/>
  <c r="N11" i="11"/>
  <c r="AB43" i="11"/>
  <c r="AB17" i="11"/>
  <c r="AB25" i="11"/>
  <c r="AB34" i="11"/>
  <c r="AB14" i="11"/>
  <c r="AB18" i="11"/>
  <c r="N9" i="11"/>
  <c r="AB21" i="11"/>
  <c r="AB28" i="11"/>
  <c r="AB36" i="11"/>
  <c r="N12" i="11"/>
  <c r="AG15" i="10"/>
  <c r="AB33" i="11"/>
  <c r="AB26" i="11"/>
  <c r="N6" i="11"/>
  <c r="O7" i="11"/>
  <c r="O5" i="11" l="1"/>
  <c r="AE42" i="11"/>
  <c r="AE38" i="11"/>
  <c r="AE34" i="11"/>
  <c r="AE30" i="11"/>
  <c r="AE26" i="11"/>
  <c r="AE14" i="11"/>
  <c r="AE43" i="11"/>
  <c r="AE39" i="11"/>
  <c r="AE35" i="11"/>
  <c r="AE31" i="11"/>
  <c r="AE27" i="11"/>
  <c r="AE23" i="11"/>
  <c r="AE19" i="11"/>
  <c r="AE15" i="11"/>
  <c r="AE28" i="11"/>
  <c r="AE24" i="11"/>
  <c r="AE20" i="11"/>
  <c r="AE40" i="11"/>
  <c r="AE36" i="11"/>
  <c r="AE32" i="11"/>
  <c r="AE16" i="11"/>
  <c r="AE22" i="11"/>
  <c r="AE18" i="11"/>
  <c r="AE41" i="11"/>
  <c r="AE37" i="11"/>
  <c r="AE33" i="11"/>
  <c r="AE29" i="11"/>
  <c r="AE25" i="11"/>
  <c r="AE21" i="11"/>
  <c r="AE17" i="11"/>
  <c r="C7" i="3"/>
  <c r="C6" i="3"/>
  <c r="AF42" i="10"/>
  <c r="AF30" i="10"/>
  <c r="AD45" i="10"/>
  <c r="AF45" i="10" s="1"/>
  <c r="AD44" i="10"/>
  <c r="AF44" i="10" s="1"/>
  <c r="AD43" i="10"/>
  <c r="AF43" i="10" s="1"/>
  <c r="AD42" i="10"/>
  <c r="AD41" i="10"/>
  <c r="AF41" i="10" s="1"/>
  <c r="AD40" i="10"/>
  <c r="AF40" i="10" s="1"/>
  <c r="AD39" i="10"/>
  <c r="AF39" i="10" s="1"/>
  <c r="AD38" i="10"/>
  <c r="AF38" i="10" s="1"/>
  <c r="AD37" i="10"/>
  <c r="AF37" i="10" s="1"/>
  <c r="AD36" i="10"/>
  <c r="AF36" i="10" s="1"/>
  <c r="AD35" i="10"/>
  <c r="AF35" i="10" s="1"/>
  <c r="AD34" i="10"/>
  <c r="AF34" i="10" s="1"/>
  <c r="AD33" i="10"/>
  <c r="AF33" i="10" s="1"/>
  <c r="AD32" i="10"/>
  <c r="AF32" i="10" s="1"/>
  <c r="AD31" i="10"/>
  <c r="AF31" i="10" s="1"/>
  <c r="AD30" i="10"/>
  <c r="AD29" i="10"/>
  <c r="AF29" i="10" s="1"/>
  <c r="AD28" i="10"/>
  <c r="AF28" i="10" s="1"/>
  <c r="AD27" i="10"/>
  <c r="AF27" i="10" s="1"/>
  <c r="AD26" i="10"/>
  <c r="AF26" i="10" s="1"/>
  <c r="AD25" i="10"/>
  <c r="AF25" i="10" s="1"/>
  <c r="AD24" i="10"/>
  <c r="AF24" i="10" s="1"/>
  <c r="AD23" i="10"/>
  <c r="AF23" i="10" s="1"/>
  <c r="AD22" i="10"/>
  <c r="AF22" i="10" s="1"/>
  <c r="AD21" i="10"/>
  <c r="AF21" i="10" s="1"/>
  <c r="AD20" i="10"/>
  <c r="AF20" i="10" s="1"/>
  <c r="AD19" i="10"/>
  <c r="AF19" i="10" s="1"/>
  <c r="AD18" i="10"/>
  <c r="AD17" i="10"/>
  <c r="AD16" i="10"/>
  <c r="AD15" i="10"/>
  <c r="AD14" i="10"/>
  <c r="AF14" i="10" s="1"/>
  <c r="J11" i="10"/>
  <c r="J10" i="10"/>
  <c r="J9" i="10"/>
  <c r="J8" i="10"/>
  <c r="AC7" i="10"/>
  <c r="L14" i="10"/>
  <c r="J7" i="10"/>
  <c r="J6" i="10"/>
  <c r="S5" i="10"/>
  <c r="C5" i="10"/>
  <c r="AA14" i="10"/>
  <c r="AA15" i="10" s="1"/>
  <c r="AA16" i="10" s="1"/>
  <c r="AA17" i="10" s="1"/>
  <c r="AA18" i="10" s="1"/>
  <c r="AA19" i="10" s="1"/>
  <c r="AA20" i="10" s="1"/>
  <c r="AA21" i="10" s="1"/>
  <c r="AA22" i="10" s="1"/>
  <c r="AA23" i="10" s="1"/>
  <c r="AA24" i="10" s="1"/>
  <c r="AA25" i="10" s="1"/>
  <c r="AA26" i="10" s="1"/>
  <c r="AA27" i="10" s="1"/>
  <c r="AA28" i="10" s="1"/>
  <c r="AA29" i="10" s="1"/>
  <c r="AA30" i="10" s="1"/>
  <c r="AA31" i="10" s="1"/>
  <c r="AA32" i="10" s="1"/>
  <c r="AA33" i="10" s="1"/>
  <c r="AA34" i="10" s="1"/>
  <c r="AA35" i="10" s="1"/>
  <c r="AA36" i="10" s="1"/>
  <c r="AA37" i="10" s="1"/>
  <c r="AA38" i="10" s="1"/>
  <c r="AA39" i="10" s="1"/>
  <c r="AA40" i="10" s="1"/>
  <c r="AA41" i="10" s="1"/>
  <c r="AA42" i="10" s="1"/>
  <c r="AA43" i="10" s="1"/>
  <c r="AA44" i="10" s="1"/>
  <c r="AA45" i="10" s="1"/>
  <c r="C4" i="10"/>
  <c r="S3" i="10"/>
  <c r="S2" i="10"/>
  <c r="AU35" i="10"/>
  <c r="AU44" i="10"/>
  <c r="AI27" i="10"/>
  <c r="AI22" i="10"/>
  <c r="AM28" i="10"/>
  <c r="AK26" i="10"/>
  <c r="AU20" i="10"/>
  <c r="AO39" i="10"/>
  <c r="AS26" i="10"/>
  <c r="AG21" i="10"/>
  <c r="AG29" i="10"/>
  <c r="AK24" i="10"/>
  <c r="AQ26" i="10"/>
  <c r="AM25" i="10"/>
  <c r="AQ40" i="10"/>
  <c r="AQ21" i="10"/>
  <c r="AM44" i="10"/>
  <c r="AG16" i="10"/>
  <c r="AI34" i="10"/>
  <c r="AO38" i="10"/>
  <c r="AG23" i="10"/>
  <c r="AG30" i="10"/>
  <c r="AG18" i="10"/>
  <c r="AG19" i="10"/>
  <c r="AS38" i="10"/>
  <c r="AO27" i="10"/>
  <c r="AS15" i="10"/>
  <c r="AU36" i="10"/>
  <c r="AG27" i="10"/>
  <c r="AS35" i="10"/>
  <c r="AU31" i="10"/>
  <c r="AU29" i="10"/>
  <c r="AO29" i="10"/>
  <c r="AK28" i="10"/>
  <c r="AM41" i="10"/>
  <c r="AQ29" i="10"/>
  <c r="AI42" i="10"/>
  <c r="AS28" i="10"/>
  <c r="AI18" i="10"/>
  <c r="AK37" i="10"/>
  <c r="AK27" i="10"/>
  <c r="AO40" i="10"/>
  <c r="AK41" i="10"/>
  <c r="AQ19" i="10"/>
  <c r="AI43" i="10"/>
  <c r="AG20" i="10"/>
  <c r="AQ33" i="10"/>
  <c r="AI39" i="10"/>
  <c r="AS19" i="10"/>
  <c r="AM30" i="10"/>
  <c r="N13" i="11"/>
  <c r="AM37" i="10"/>
  <c r="AO24" i="10"/>
  <c r="AS29" i="10"/>
  <c r="AK33" i="10"/>
  <c r="AU37" i="10"/>
  <c r="AI40" i="10"/>
  <c r="AG38" i="10"/>
  <c r="AO42" i="10"/>
  <c r="AG25" i="10"/>
  <c r="AM35" i="10"/>
  <c r="AQ14" i="10"/>
  <c r="AI24" i="10"/>
  <c r="AG37" i="10"/>
  <c r="AK34" i="10"/>
  <c r="AI15" i="10"/>
  <c r="AU25" i="10"/>
  <c r="AS45" i="10"/>
  <c r="AK18" i="10"/>
  <c r="AQ34" i="10"/>
  <c r="AI37" i="10"/>
  <c r="AS44" i="10"/>
  <c r="AI20" i="10"/>
  <c r="AM24" i="10"/>
  <c r="AI17" i="10"/>
  <c r="AI14" i="10"/>
  <c r="AG40" i="10"/>
  <c r="AO21" i="10"/>
  <c r="AO22" i="10"/>
  <c r="AI35" i="10"/>
  <c r="AK35" i="10"/>
  <c r="AQ38" i="10"/>
  <c r="AU32" i="10"/>
  <c r="AS25" i="10"/>
  <c r="AI45" i="10"/>
  <c r="N7" i="11"/>
  <c r="AU42" i="10"/>
  <c r="AI32" i="10"/>
  <c r="AK19" i="10"/>
  <c r="AU14" i="10"/>
  <c r="AS24" i="10"/>
  <c r="AI31" i="10"/>
  <c r="AO44" i="10"/>
  <c r="AO32" i="10"/>
  <c r="AS27" i="10"/>
  <c r="AS18" i="10"/>
  <c r="AO43" i="10"/>
  <c r="AO45" i="10"/>
  <c r="AK29" i="10"/>
  <c r="AI26" i="10"/>
  <c r="AO30" i="10"/>
  <c r="AM26" i="10"/>
  <c r="AQ24" i="10"/>
  <c r="AO41" i="10"/>
  <c r="AK14" i="10"/>
  <c r="AQ25" i="10"/>
  <c r="AQ30" i="10"/>
  <c r="AG24" i="10"/>
  <c r="AG35" i="10"/>
  <c r="AQ35" i="10"/>
  <c r="AI28" i="10"/>
  <c r="AU15" i="10"/>
  <c r="AM20" i="10"/>
  <c r="AG36" i="10"/>
  <c r="AU34" i="10"/>
  <c r="AG42" i="10"/>
  <c r="AU23" i="10"/>
  <c r="AO33" i="10"/>
  <c r="AO23" i="10"/>
  <c r="AS40" i="10"/>
  <c r="AM19" i="10"/>
  <c r="AQ41" i="10"/>
  <c r="AG22" i="10"/>
  <c r="AI16" i="10"/>
  <c r="AO18" i="10"/>
  <c r="AK36" i="10"/>
  <c r="AS30" i="10"/>
  <c r="AO25" i="10"/>
  <c r="AQ42" i="10"/>
  <c r="AM17" i="10"/>
  <c r="AU45" i="10"/>
  <c r="AI29" i="10"/>
  <c r="AO20" i="10"/>
  <c r="AU39" i="10"/>
  <c r="AS34" i="10"/>
  <c r="AM43" i="10"/>
  <c r="AO37" i="10"/>
  <c r="AM40" i="10"/>
  <c r="AK23" i="10"/>
  <c r="AK42" i="10"/>
  <c r="AM39" i="10"/>
  <c r="AO16" i="10"/>
  <c r="AK25" i="10"/>
  <c r="AI36" i="10"/>
  <c r="AU24" i="10"/>
  <c r="AQ44" i="10"/>
  <c r="AS20" i="10"/>
  <c r="AU40" i="10"/>
  <c r="AK44" i="10"/>
  <c r="AK20" i="10"/>
  <c r="AU43" i="10"/>
  <c r="AM45" i="10"/>
  <c r="AI19" i="10"/>
  <c r="AS14" i="10"/>
  <c r="AU22" i="10"/>
  <c r="AM16" i="10"/>
  <c r="AK38" i="10"/>
  <c r="AK21" i="10"/>
  <c r="AM36" i="10"/>
  <c r="AI30" i="10"/>
  <c r="AQ37" i="10"/>
  <c r="AM29" i="10"/>
  <c r="AG28" i="10"/>
  <c r="AU16" i="10"/>
  <c r="AS16" i="10"/>
  <c r="AS31" i="10"/>
  <c r="AQ27" i="10"/>
  <c r="AQ17" i="10"/>
  <c r="AI25" i="10"/>
  <c r="AO36" i="10"/>
  <c r="AS41" i="10"/>
  <c r="AM22" i="10"/>
  <c r="AU27" i="10"/>
  <c r="AU17" i="10"/>
  <c r="AO17" i="10"/>
  <c r="AK22" i="10"/>
  <c r="AS22" i="10"/>
  <c r="AS33" i="10"/>
  <c r="AI41" i="10"/>
  <c r="AQ43" i="10"/>
  <c r="AG14" i="10"/>
  <c r="AU33" i="10"/>
  <c r="AS43" i="10"/>
  <c r="AS21" i="10"/>
  <c r="AO31" i="10"/>
  <c r="AQ39" i="10"/>
  <c r="AO28" i="10"/>
  <c r="AK39" i="10"/>
  <c r="AS23" i="10"/>
  <c r="AG39" i="10"/>
  <c r="AU41" i="10"/>
  <c r="AG43" i="10"/>
  <c r="AQ18" i="10"/>
  <c r="AU19" i="10"/>
  <c r="AU26" i="10"/>
  <c r="AU21" i="10"/>
  <c r="AM14" i="10"/>
  <c r="AO26" i="10"/>
  <c r="AQ16" i="10"/>
  <c r="AG33" i="10"/>
  <c r="AI23" i="10"/>
  <c r="AQ45" i="10"/>
  <c r="AO15" i="10"/>
  <c r="AO19" i="10"/>
  <c r="AM34" i="10"/>
  <c r="AG45" i="10"/>
  <c r="AG17" i="10"/>
  <c r="AG44" i="10"/>
  <c r="AM23" i="10"/>
  <c r="AI33" i="10"/>
  <c r="AQ23" i="10"/>
  <c r="AQ31" i="10"/>
  <c r="AM42" i="10"/>
  <c r="AK17" i="10"/>
  <c r="AI44" i="10"/>
  <c r="AK40" i="10"/>
  <c r="AM38" i="10"/>
  <c r="AS17" i="10"/>
  <c r="AK45" i="10"/>
  <c r="AM18" i="10"/>
  <c r="AK43" i="10"/>
  <c r="AO14" i="10"/>
  <c r="AK16" i="10"/>
  <c r="AK31" i="10"/>
  <c r="AO34" i="10"/>
  <c r="AG32" i="10"/>
  <c r="AG41" i="10"/>
  <c r="AS32" i="10"/>
  <c r="AQ22" i="10"/>
  <c r="AG31" i="10"/>
  <c r="AM32" i="10"/>
  <c r="AO35" i="10"/>
  <c r="AU30" i="10"/>
  <c r="AS39" i="10"/>
  <c r="AQ20" i="10"/>
  <c r="AQ15" i="10"/>
  <c r="AG34" i="10"/>
  <c r="AM15" i="10"/>
  <c r="AK15" i="10"/>
  <c r="AQ28" i="10"/>
  <c r="AI21" i="10"/>
  <c r="AS37" i="10"/>
  <c r="AS36" i="10"/>
  <c r="AK32" i="10"/>
  <c r="AG26" i="10"/>
  <c r="AQ32" i="10"/>
  <c r="AM21" i="10"/>
  <c r="AU28" i="10"/>
  <c r="AI38" i="10"/>
  <c r="AM31" i="10"/>
  <c r="AU18" i="10"/>
  <c r="AU38" i="10"/>
  <c r="AQ36" i="10"/>
  <c r="AS42" i="10"/>
  <c r="AK30" i="10"/>
  <c r="AM27" i="10"/>
  <c r="AM33" i="10"/>
  <c r="O10" i="10"/>
  <c r="AF16" i="10" l="1"/>
  <c r="AF17" i="10"/>
  <c r="AF18" i="10"/>
  <c r="N5" i="11"/>
  <c r="V2" i="11" s="1"/>
  <c r="V3" i="11"/>
  <c r="AC14" i="10"/>
  <c r="AF15" i="10"/>
  <c r="AC22" i="10"/>
  <c r="AC34" i="10"/>
  <c r="AC23" i="10"/>
  <c r="AC35" i="10"/>
  <c r="AC24" i="10"/>
  <c r="AC36" i="10"/>
  <c r="AC25" i="10"/>
  <c r="AC37" i="10"/>
  <c r="AC38" i="10"/>
  <c r="AC26" i="10"/>
  <c r="AC15" i="10"/>
  <c r="AC27" i="10"/>
  <c r="AC39" i="10"/>
  <c r="AC16" i="10"/>
  <c r="AC28" i="10"/>
  <c r="AC40" i="10"/>
  <c r="AC17" i="10"/>
  <c r="AC29" i="10"/>
  <c r="AC41" i="10"/>
  <c r="AC18" i="10"/>
  <c r="AC30" i="10"/>
  <c r="AC42" i="10"/>
  <c r="AC19" i="10"/>
  <c r="AC31" i="10"/>
  <c r="AC43" i="10"/>
  <c r="AC20" i="10"/>
  <c r="AC32" i="10"/>
  <c r="AC44" i="10"/>
  <c r="AC21" i="10"/>
  <c r="AC33" i="10"/>
  <c r="AC45" i="10"/>
  <c r="B2" i="10"/>
  <c r="AB26" i="10"/>
  <c r="AB32" i="10"/>
  <c r="AB19" i="10"/>
  <c r="N9" i="10"/>
  <c r="O7" i="10"/>
  <c r="AB42" i="10"/>
  <c r="AB31" i="10"/>
  <c r="AB29" i="10"/>
  <c r="N8" i="10"/>
  <c r="AB39" i="10"/>
  <c r="N11" i="10"/>
  <c r="AB21" i="10"/>
  <c r="AB45" i="10"/>
  <c r="AB23" i="10"/>
  <c r="AB35" i="10"/>
  <c r="AB30" i="10"/>
  <c r="AB14" i="10"/>
  <c r="N10" i="10"/>
  <c r="AB33" i="10"/>
  <c r="O9" i="10"/>
  <c r="AB22" i="10"/>
  <c r="AB16" i="10"/>
  <c r="AB24" i="10"/>
  <c r="AB27" i="10"/>
  <c r="AB15" i="10"/>
  <c r="AB43" i="10"/>
  <c r="AB44" i="10"/>
  <c r="AB41" i="10"/>
  <c r="N12" i="10"/>
  <c r="AB25" i="10"/>
  <c r="O8" i="10"/>
  <c r="AB34" i="10"/>
  <c r="O6" i="10"/>
  <c r="AB36" i="10"/>
  <c r="AB37" i="10"/>
  <c r="N6" i="10"/>
  <c r="AB28" i="10"/>
  <c r="O11" i="11"/>
  <c r="AB20" i="10"/>
  <c r="AB40" i="10"/>
  <c r="AB38" i="10"/>
  <c r="AB18" i="10"/>
  <c r="AB17" i="10"/>
  <c r="AE15" i="10" l="1"/>
  <c r="O5" i="10"/>
  <c r="E16" i="2" s="1"/>
  <c r="AE41" i="10"/>
  <c r="AE29" i="10"/>
  <c r="AE17" i="10"/>
  <c r="AE40" i="10"/>
  <c r="AE28" i="10"/>
  <c r="AE16" i="10"/>
  <c r="AE39" i="10"/>
  <c r="AE27" i="10"/>
  <c r="AE38" i="10"/>
  <c r="AE26" i="10"/>
  <c r="AE14" i="10"/>
  <c r="AE37" i="10"/>
  <c r="AE25" i="10"/>
  <c r="AE36" i="10"/>
  <c r="AE24" i="10"/>
  <c r="AE35" i="10"/>
  <c r="AE23" i="10"/>
  <c r="AE34" i="10"/>
  <c r="AE22" i="10"/>
  <c r="AE45" i="10"/>
  <c r="AE33" i="10"/>
  <c r="AE21" i="10"/>
  <c r="AE44" i="10"/>
  <c r="AE32" i="10"/>
  <c r="AE20" i="10"/>
  <c r="AE43" i="10"/>
  <c r="AE31" i="10"/>
  <c r="AE19" i="10"/>
  <c r="AE42" i="10"/>
  <c r="AE30" i="10"/>
  <c r="AE18" i="10"/>
  <c r="AD43" i="3"/>
  <c r="AF43" i="3" s="1"/>
  <c r="AD42" i="3"/>
  <c r="AF42" i="3" s="1"/>
  <c r="AD41" i="3"/>
  <c r="AF41" i="3" s="1"/>
  <c r="AD40" i="3"/>
  <c r="AF40" i="3" s="1"/>
  <c r="AD39" i="3"/>
  <c r="AF39" i="3" s="1"/>
  <c r="AD38" i="3"/>
  <c r="AF38" i="3" s="1"/>
  <c r="AD37" i="3"/>
  <c r="AF37" i="3" s="1"/>
  <c r="AD36" i="3"/>
  <c r="AF36" i="3" s="1"/>
  <c r="AD35" i="3"/>
  <c r="AF35" i="3" s="1"/>
  <c r="AD34" i="3"/>
  <c r="AF34" i="3" s="1"/>
  <c r="AD33" i="3"/>
  <c r="AF33" i="3" s="1"/>
  <c r="AD32" i="3"/>
  <c r="AF32" i="3" s="1"/>
  <c r="AD31" i="3"/>
  <c r="AF31" i="3" s="1"/>
  <c r="AD30" i="3"/>
  <c r="AF30" i="3" s="1"/>
  <c r="AD29" i="3"/>
  <c r="AD28" i="3"/>
  <c r="AD27" i="3"/>
  <c r="AD26" i="3"/>
  <c r="AD25" i="3"/>
  <c r="AD24" i="3"/>
  <c r="AD23" i="3"/>
  <c r="AD22" i="3"/>
  <c r="AD21" i="3"/>
  <c r="AD20" i="3"/>
  <c r="AD19" i="3"/>
  <c r="AD18" i="3"/>
  <c r="AD17" i="3"/>
  <c r="AD16" i="3"/>
  <c r="AD15" i="3"/>
  <c r="AD14" i="3"/>
  <c r="AF14" i="3" s="1"/>
  <c r="AC7" i="3"/>
  <c r="N7" i="10"/>
  <c r="AF25" i="3" l="1"/>
  <c r="AF27" i="3"/>
  <c r="AF26" i="3"/>
  <c r="AF28" i="3"/>
  <c r="AF29" i="3"/>
  <c r="V3" i="10"/>
  <c r="N5" i="10"/>
  <c r="D16" i="2" s="1"/>
  <c r="AF15" i="3"/>
  <c r="AF16" i="3"/>
  <c r="AF18" i="3"/>
  <c r="AF19" i="3"/>
  <c r="AF17" i="3"/>
  <c r="AF20" i="3"/>
  <c r="AF21" i="3"/>
  <c r="AF22" i="3"/>
  <c r="AF23" i="3"/>
  <c r="AF24" i="3"/>
  <c r="O11" i="10"/>
  <c r="N13" i="10"/>
  <c r="V2" i="10" l="1"/>
  <c r="S4" i="3" l="1"/>
  <c r="S5" i="3" l="1"/>
  <c r="AA14" i="3" l="1"/>
  <c r="J11" i="3"/>
  <c r="J10" i="3"/>
  <c r="J9" i="3"/>
  <c r="J8" i="3"/>
  <c r="J7" i="3"/>
  <c r="J6" i="3"/>
  <c r="AI14" i="3"/>
  <c r="AG14" i="3"/>
  <c r="AK14" i="3"/>
  <c r="AC14" i="3" l="1"/>
  <c r="AA15" i="3"/>
  <c r="S7" i="3"/>
  <c r="L14" i="3" s="1"/>
  <c r="S3" i="3"/>
  <c r="S2" i="3"/>
  <c r="AB14" i="3"/>
  <c r="AI15" i="3"/>
  <c r="AG15" i="3"/>
  <c r="AK15" i="3"/>
  <c r="N12" i="3"/>
  <c r="AC15" i="3" l="1"/>
  <c r="AE15" i="3" s="1"/>
  <c r="AE14" i="3"/>
  <c r="AA16" i="3"/>
  <c r="B2" i="3"/>
  <c r="C5" i="3"/>
  <c r="C4" i="3"/>
  <c r="AB15" i="3"/>
  <c r="AI16" i="3"/>
  <c r="N6" i="3"/>
  <c r="AK16" i="3"/>
  <c r="AG16" i="3"/>
  <c r="AC16" i="3" l="1"/>
  <c r="AA17" i="3"/>
  <c r="AG17" i="3"/>
  <c r="AI17" i="3"/>
  <c r="AB16" i="3"/>
  <c r="AK17" i="3"/>
  <c r="AC17" i="3" l="1"/>
  <c r="AE16" i="3"/>
  <c r="AA18" i="3"/>
  <c r="B8" i="2"/>
  <c r="B7" i="2"/>
  <c r="B6" i="2"/>
  <c r="AI18" i="3"/>
  <c r="AB17" i="3"/>
  <c r="AK18" i="3"/>
  <c r="AG18" i="3"/>
  <c r="AC18" i="3" l="1"/>
  <c r="AA19" i="3"/>
  <c r="AE17" i="3"/>
  <c r="B2" i="2"/>
  <c r="B4" i="2"/>
  <c r="AI19" i="3"/>
  <c r="AB18" i="3"/>
  <c r="AK19" i="3"/>
  <c r="AG19" i="3"/>
  <c r="AC19" i="3" l="1"/>
  <c r="AE18" i="3"/>
  <c r="AA20" i="3"/>
  <c r="C6" i="1"/>
  <c r="AK20" i="3"/>
  <c r="AI20" i="3"/>
  <c r="AB19" i="3"/>
  <c r="AG20" i="3"/>
  <c r="AC20" i="3" l="1"/>
  <c r="AE20" i="3" s="1"/>
  <c r="AA21" i="3"/>
  <c r="AE19" i="3"/>
  <c r="AG21" i="3"/>
  <c r="AB20" i="3"/>
  <c r="AK21" i="3"/>
  <c r="AI21" i="3"/>
  <c r="AC21" i="3" l="1"/>
  <c r="AA22" i="3"/>
  <c r="AB21" i="3"/>
  <c r="AK22" i="3"/>
  <c r="AI22" i="3"/>
  <c r="AG22" i="3"/>
  <c r="AC22" i="3" l="1"/>
  <c r="AE22" i="3" s="1"/>
  <c r="AA23" i="3"/>
  <c r="AE21" i="3"/>
  <c r="AK23" i="3"/>
  <c r="AI23" i="3"/>
  <c r="AB22" i="3"/>
  <c r="AG23" i="3"/>
  <c r="AC23" i="3" l="1"/>
  <c r="AA24" i="3"/>
  <c r="AK24" i="3"/>
  <c r="AB23" i="3"/>
  <c r="AI24" i="3"/>
  <c r="AG24" i="3"/>
  <c r="AC24" i="3" l="1"/>
  <c r="AE23" i="3"/>
  <c r="AA25" i="3"/>
  <c r="AG25" i="3"/>
  <c r="AB24" i="3"/>
  <c r="AI25" i="3"/>
  <c r="AK25" i="3"/>
  <c r="AC25" i="3" l="1"/>
  <c r="AA26" i="3"/>
  <c r="AE24" i="3"/>
  <c r="AB25" i="3"/>
  <c r="AG26" i="3"/>
  <c r="AI26" i="3"/>
  <c r="AK26" i="3"/>
  <c r="AC26" i="3" l="1"/>
  <c r="AA27" i="3"/>
  <c r="AE25" i="3"/>
  <c r="AI27" i="3"/>
  <c r="AB26" i="3"/>
  <c r="AG27" i="3"/>
  <c r="AK27" i="3"/>
  <c r="AC27" i="3" l="1"/>
  <c r="AA28" i="3"/>
  <c r="AE26" i="3"/>
  <c r="AI28" i="3"/>
  <c r="AB27" i="3"/>
  <c r="AK28" i="3"/>
  <c r="AG28" i="3"/>
  <c r="AC28" i="3" l="1"/>
  <c r="AA29" i="3"/>
  <c r="AE27" i="3"/>
  <c r="AI29" i="3"/>
  <c r="AB28" i="3"/>
  <c r="AK29" i="3"/>
  <c r="AG29" i="3"/>
  <c r="AC29" i="3" l="1"/>
  <c r="AA30" i="3"/>
  <c r="AE28" i="3"/>
  <c r="AI30" i="3"/>
  <c r="AG30" i="3"/>
  <c r="AB29" i="3"/>
  <c r="AK30" i="3"/>
  <c r="AC30" i="3" l="1"/>
  <c r="AA31" i="3"/>
  <c r="AE29" i="3"/>
  <c r="AB30" i="3"/>
  <c r="AK31" i="3"/>
  <c r="AG31" i="3"/>
  <c r="AI31" i="3"/>
  <c r="AC31" i="3" l="1"/>
  <c r="AA32" i="3"/>
  <c r="AE30" i="3"/>
  <c r="AK32" i="3"/>
  <c r="AI32" i="3"/>
  <c r="AG32" i="3"/>
  <c r="AB31" i="3"/>
  <c r="AC32" i="3" l="1"/>
  <c r="AA33" i="3"/>
  <c r="AE31" i="3"/>
  <c r="AI33" i="3"/>
  <c r="AB32" i="3"/>
  <c r="AG33" i="3"/>
  <c r="AK33" i="3"/>
  <c r="AC33" i="3" l="1"/>
  <c r="AA34" i="3"/>
  <c r="AE32" i="3"/>
  <c r="AG34" i="3"/>
  <c r="AK34" i="3"/>
  <c r="AI34" i="3"/>
  <c r="AB33" i="3"/>
  <c r="AC34" i="3" l="1"/>
  <c r="AA35" i="3"/>
  <c r="AE33" i="3"/>
  <c r="AG35" i="3"/>
  <c r="AK35" i="3"/>
  <c r="AB34" i="3"/>
  <c r="AI35" i="3"/>
  <c r="AC35" i="3" l="1"/>
  <c r="AA36" i="3"/>
  <c r="AE34" i="3"/>
  <c r="AI36" i="3"/>
  <c r="AK36" i="3"/>
  <c r="AB35" i="3"/>
  <c r="AG36" i="3"/>
  <c r="AC36" i="3" l="1"/>
  <c r="AA37" i="3"/>
  <c r="AE35" i="3"/>
  <c r="AK37" i="3"/>
  <c r="AG37" i="3"/>
  <c r="AB36" i="3"/>
  <c r="AI37" i="3"/>
  <c r="AC37" i="3" l="1"/>
  <c r="AA38" i="3"/>
  <c r="AE36" i="3"/>
  <c r="AK38" i="3"/>
  <c r="AI38" i="3"/>
  <c r="AG38" i="3"/>
  <c r="AB37" i="3"/>
  <c r="AC38" i="3" l="1"/>
  <c r="AA39" i="3"/>
  <c r="AE37" i="3"/>
  <c r="AI39" i="3"/>
  <c r="AB38" i="3"/>
  <c r="AG39" i="3"/>
  <c r="AK39" i="3"/>
  <c r="AC39" i="3" l="1"/>
  <c r="AA40" i="3"/>
  <c r="AE38" i="3"/>
  <c r="AK40" i="3"/>
  <c r="AB39" i="3"/>
  <c r="AG40" i="3"/>
  <c r="AI40" i="3"/>
  <c r="AC40" i="3" l="1"/>
  <c r="AA41" i="3"/>
  <c r="AE39" i="3"/>
  <c r="AG41" i="3"/>
  <c r="AK41" i="3"/>
  <c r="AB40" i="3"/>
  <c r="AI41" i="3"/>
  <c r="AC41" i="3" l="1"/>
  <c r="AA42" i="3"/>
  <c r="AE40" i="3"/>
  <c r="AI42" i="3"/>
  <c r="AG42" i="3"/>
  <c r="AB41" i="3"/>
  <c r="AK42" i="3"/>
  <c r="AC42" i="3" l="1"/>
  <c r="AA43" i="3"/>
  <c r="AE41" i="3"/>
  <c r="AG43" i="3"/>
  <c r="N7" i="3"/>
  <c r="O10" i="3"/>
  <c r="N10" i="3"/>
  <c r="O7" i="3"/>
  <c r="O8" i="3"/>
  <c r="AB42" i="3"/>
  <c r="O9" i="3"/>
  <c r="N8" i="3"/>
  <c r="AK43" i="3"/>
  <c r="AI43" i="3"/>
  <c r="N5" i="3" l="1"/>
  <c r="V2" i="3" s="1"/>
  <c r="AC43" i="3"/>
  <c r="AE42" i="3"/>
  <c r="O6" i="3"/>
  <c r="AB43" i="3"/>
  <c r="N9" i="3"/>
  <c r="N11" i="3"/>
  <c r="O5" i="3" l="1"/>
  <c r="AE43" i="3"/>
  <c r="O11" i="3"/>
  <c r="V3" i="3" l="1"/>
  <c r="N13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685D44E6-CEC5-4B66-B18F-39540FFE66E8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CC56E1F3-6F66-4134-87BB-372357DAB40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L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  <comment ref="C11" authorId="0" shapeId="0" xr:uid="{B54D365C-D0FE-4F44-ABD2-3CE3C1552405}">
      <text>
        <r>
          <rPr>
            <b/>
            <sz val="9"/>
            <color indexed="81"/>
            <rFont val="Tahoma"/>
            <family val="2"/>
          </rPr>
          <t>{"URL":"https://westlandconstruction.tryassemble.com","ProjectID":4,"ViewID":-1,"ModelID":0,"UserName":"camron@westlandconstruction.com","Password":null,"VersionID":-3}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5B9BC357-7964-48B9-BC49-565DD06041AB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4FB3B0F1-C7AF-4826-987A-E60BC7D7B9C2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  <comment ref="W14" authorId="0" shapeId="0" xr:uid="{89DC96AC-2EB6-48A7-BD8E-9C8473846F61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Basement/Columns"]}]}</t>
        </r>
      </text>
    </comment>
    <comment ref="X14" authorId="0" shapeId="0" xr:uid="{01682518-9E52-44EC-97F8-48E5F01EA41F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Basement/Columns"]},{"FilterPropertyId":"InstallationStatus2_AssembleProperty","FilterValues":["Completed"]}]}</t>
        </r>
      </text>
    </comment>
    <comment ref="W15" authorId="0" shapeId="0" xr:uid="{6E8307DA-C492-495A-A201-211E39BFB7E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Story"]}]}</t>
        </r>
      </text>
    </comment>
    <comment ref="X15" authorId="0" shapeId="0" xr:uid="{C4D07DF0-F5DA-42FE-8968-7802FB34CF4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Clear Story"]},{"FilterPropertyId":"InstallationStatus2_AssembleProperty","FilterValues":["Completed"]}]}</t>
        </r>
      </text>
    </comment>
    <comment ref="W16" authorId="0" shapeId="0" xr:uid="{A30FBF73-6070-4203-9D1C-60C50BD28EE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1"]}]}</t>
        </r>
      </text>
    </comment>
    <comment ref="X16" authorId="0" shapeId="0" xr:uid="{F20C85D4-8103-4EB1-AA72-FCA50888C86A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Annex Level 1"]},{"FilterPropertyId":"InstallationStatus2_AssembleProperty","FilterValues":["Completed"]}]}</t>
        </r>
      </text>
    </comment>
    <comment ref="W17" authorId="0" shapeId="0" xr:uid="{6BEF04F3-8322-4FC0-A784-9705B644315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Basement"]}]}</t>
        </r>
      </text>
    </comment>
    <comment ref="X17" authorId="0" shapeId="0" xr:uid="{B58CE9AD-B833-4921-B015-BBCDA983E3B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0.5 Basement"]},{"FilterPropertyId":"InstallationStatus2_AssembleProperty","FilterValues":["Completed"]}]}</t>
        </r>
      </text>
    </comment>
    <comment ref="W18" authorId="0" shapeId="0" xr:uid="{738329FC-DF2A-49E9-B940-4C2098F37F03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Tower"]}]}</t>
        </r>
      </text>
    </comment>
    <comment ref="X18" authorId="0" shapeId="0" xr:uid="{7FB0217D-A24B-471C-BF4D-4ACD0F49522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Tower"]},{"FilterPropertyId":"InstallationStatus2_AssembleProperty","FilterValues":["Completed"]}]}</t>
        </r>
      </text>
    </comment>
    <comment ref="W19" authorId="0" shapeId="0" xr:uid="{85A5D1A8-CC7D-4C4B-82EE-7C1C3CA79DDE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Roof"]}]}</t>
        </r>
      </text>
    </comment>
    <comment ref="X19" authorId="0" shapeId="0" xr:uid="{164726B8-757C-408F-B93B-7B80DA7782F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West Stair Roof"]},{"FilterPropertyId":"InstallationStatus2_AssembleProperty","FilterValues":["Completed"]}]}</t>
        </r>
      </text>
    </comment>
    <comment ref="W20" authorId="0" shapeId="0" xr:uid="{6EDA4242-2291-4E0B-A78D-5B9CF853D88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2"]}]}</t>
        </r>
      </text>
    </comment>
    <comment ref="X20" authorId="0" shapeId="0" xr:uid="{662E69DE-65EC-4181-A9D7-FEEF43991550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Level 2"]},{"FilterPropertyId":"InstallationStatus2_AssembleProperty","FilterValues":["Completed"]}]}</t>
        </r>
      </text>
    </comment>
    <comment ref="W21" authorId="0" shapeId="0" xr:uid="{9A6F6ECC-E41B-4716-96A3-E2634370A175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Upgrade"]}]}</t>
        </r>
      </text>
    </comment>
    <comment ref="X21" authorId="0" shapeId="0" xr:uid="{81381898-B0E6-4239-A133-578B8BB503D9}">
      <text>
        <r>
          <rPr>
            <sz val="9"/>
            <color indexed="81"/>
            <rFont val="Tahoma"/>
            <family val="2"/>
          </rPr>
          <t>{"QuantityPropertyId":"Count","Filters":[{"FilterPropertyId":"ZoneArea_AssembleProperty","FilterValues":["Steel - Basement Ceiling Upgrade"]},{"FilterPropertyId":"InstallationStatus2_AssembleProperty","FilterValues":["Completed"]}]}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R13" authorId="0" shapeId="0" xr:uid="{2AB364A1-ED2D-4402-BB1C-E5DAB15AEF1D}">
      <text>
        <r>
          <rPr>
            <sz val="9"/>
            <color indexed="81"/>
            <rFont val="Tahoma"/>
            <family val="2"/>
          </rPr>
          <t xml:space="preserve">In a Bluebeam QL project you can have more than one Zone ID.  Seporate them with a semicolon.
</t>
        </r>
      </text>
    </comment>
    <comment ref="T13" authorId="0" shapeId="0" xr:uid="{5B3AE1EB-8C5B-4EAA-9BEE-F7C1B8508F39}">
      <text>
        <r>
          <rPr>
            <b/>
            <sz val="9"/>
            <color indexed="81"/>
            <rFont val="Tahoma"/>
            <family val="2"/>
          </rPr>
          <t>Must be a unique value within this table.
NOTE: NO SPECIAL CHARACTERS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2A7909FC-D478-46D6-BD3F-72BD7CA223F6}" keepAlive="1" name="Query - Append1" description="Connection to the 'Append1' query in the workbook." type="5" refreshedVersion="6" minRefreshableVersion="3" background="1" saveData="1">
    <dbPr connection="Provider=Microsoft.Mashup.OleDb.1;Data Source=$Workbook$;Location=Append1;Extended Properties=&quot;&quot;" command="SELECT * FROM [Append1]"/>
  </connection>
  <connection id="2" xr16:uid="{F10339F3-9097-4385-A485-50DAB0A066A6}" keepAlive="1" name="Query - BI_TempTable" description="Connection to the 'BI_TempTable' query in the workbook." type="5" refreshedVersion="0" background="1">
    <dbPr connection="Provider=Microsoft.Mashup.OleDb.1;Data Source=$Workbook$;Location=BI_TempTable;Extended Properties=&quot;&quot;" command="SELECT * FROM [BI_TempTable]"/>
  </connection>
  <connection id="3" xr16:uid="{1B1128D0-D267-4288-A439-2066C0215EC1}" name="Query - Output_0000" description="Connection to the 'Output_0000' query in the workbook." type="5" refreshedVersion="0" background="1">
    <dbPr connection="Provider=Microsoft.Mashup.OleDb.1;Data Source=$Workbook$;Location=Output_0000;Extended Properties=&quot;&quot;" command="SELECT * FROM [Output_0000]"/>
  </connection>
  <connection id="4" xr16:uid="{67FD3FB0-C57A-4C08-AAD6-E49839AA0D4B}" keepAlive="1" name="Query - Output_Template" description="Connection to the 'Output_Template' query in the workbook." type="5" refreshedVersion="0" background="1">
    <dbPr connection="Provider=Microsoft.Mashup.OleDb.1;Data Source=$Workbook$;Location=Output_Template;Extended Properties=&quot;&quot;" command="SELECT * FROM [Output_Template]"/>
  </connection>
</connections>
</file>

<file path=xl/sharedStrings.xml><?xml version="1.0" encoding="utf-8"?>
<sst xmlns="http://schemas.openxmlformats.org/spreadsheetml/2006/main" count="523" uniqueCount="163">
  <si>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</si>
  <si>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</si>
  <si>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</si>
  <si>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</si>
  <si>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</si>
  <si>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</si>
  <si>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</si>
  <si>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</si>
  <si>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</si>
  <si>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</si>
  <si>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</si>
  <si>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</si>
  <si>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</si>
  <si>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</si>
  <si>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</si>
  <si>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C:\Users\camron\OneDrive - Westland Construction\Projects\S590 - SGU Temple Remodel\UIP</t>
  </si>
  <si>
    <t>Report Date:</t>
  </si>
  <si>
    <t>Reporting Day</t>
  </si>
  <si>
    <t>Enabled</t>
  </si>
  <si>
    <t>Project Manager</t>
  </si>
  <si>
    <t>Project Engineer</t>
  </si>
  <si>
    <t>Superintendent</t>
  </si>
  <si>
    <t>Trade</t>
  </si>
  <si>
    <t>Subcontractor</t>
  </si>
  <si>
    <t>Plan %</t>
  </si>
  <si>
    <t>Actual %</t>
  </si>
  <si>
    <t>03 Concrete</t>
  </si>
  <si>
    <t>04 Masonry</t>
  </si>
  <si>
    <t>05 Metals</t>
  </si>
  <si>
    <t>06 Woods, Plastics, and Composites</t>
  </si>
  <si>
    <t>07 Thermal and Moisture Protection</t>
  </si>
  <si>
    <t>RedGreen Formatting:</t>
  </si>
  <si>
    <t>Percent Error:</t>
  </si>
  <si>
    <t>Trade ID</t>
  </si>
  <si>
    <t>Power BI</t>
  </si>
  <si>
    <t>Reported</t>
  </si>
  <si>
    <t>Completed Date</t>
  </si>
  <si>
    <t>Project:</t>
  </si>
  <si>
    <t>Description</t>
  </si>
  <si>
    <t>Plan</t>
  </si>
  <si>
    <t>Actual</t>
  </si>
  <si>
    <t>Project ID:</t>
  </si>
  <si>
    <t>Overall Progress (%)</t>
  </si>
  <si>
    <t>Subcontractor:</t>
  </si>
  <si>
    <t>Trade:</t>
  </si>
  <si>
    <t>Scheduled Finish Date</t>
  </si>
  <si>
    <t>Projected Finish Date</t>
  </si>
  <si>
    <t>NORMAL GRAPH</t>
  </si>
  <si>
    <t>Sheet Name:</t>
  </si>
  <si>
    <t>1st Report Date:</t>
  </si>
  <si>
    <t>Update Method:</t>
  </si>
  <si>
    <t>Units:</t>
  </si>
  <si>
    <t>SF</t>
  </si>
  <si>
    <t>Zone ID</t>
  </si>
  <si>
    <t>Short Description</t>
  </si>
  <si>
    <t>Start Date</t>
  </si>
  <si>
    <t>Finish Date</t>
  </si>
  <si>
    <t>Total</t>
  </si>
  <si>
    <t>Completed Total</t>
  </si>
  <si>
    <t>Works Monday:</t>
  </si>
  <si>
    <t>Works Tuesday:</t>
  </si>
  <si>
    <t>Works Wednesday:</t>
  </si>
  <si>
    <t>Works Thursday:</t>
  </si>
  <si>
    <t>Works Friday:</t>
  </si>
  <si>
    <t>Works Saturday:</t>
  </si>
  <si>
    <t>Works Sunday:</t>
  </si>
  <si>
    <t>Schedule Run Date:</t>
  </si>
  <si>
    <t>Date</t>
  </si>
  <si>
    <t>Weekly Plan</t>
  </si>
  <si>
    <t>Weekly Actual</t>
  </si>
  <si>
    <t>Accumulated Plan</t>
  </si>
  <si>
    <t>Accumulated Actual</t>
  </si>
  <si>
    <t>Primary Areas</t>
  </si>
  <si>
    <t>A1</t>
  </si>
  <si>
    <t>A2</t>
  </si>
  <si>
    <t>A3</t>
  </si>
  <si>
    <t>L4</t>
  </si>
  <si>
    <t>L5</t>
  </si>
  <si>
    <t>L6</t>
  </si>
  <si>
    <t>Last Report Date:</t>
  </si>
  <si>
    <t>DANGER ZONE</t>
  </si>
  <si>
    <t>WP_A1</t>
  </si>
  <si>
    <t>WP_A2</t>
  </si>
  <si>
    <t>WA_A1</t>
  </si>
  <si>
    <t>WA_A2</t>
  </si>
  <si>
    <t>WP_A3</t>
  </si>
  <si>
    <t>WA_A3</t>
  </si>
  <si>
    <t>Assemble Addin</t>
  </si>
  <si>
    <t>Count</t>
  </si>
  <si>
    <t>AssembleConnection</t>
  </si>
  <si>
    <t>ABC</t>
  </si>
  <si>
    <t>WP_ABC</t>
  </si>
  <si>
    <t>WA_ABC</t>
  </si>
  <si>
    <t>ACS</t>
  </si>
  <si>
    <t>AL1</t>
  </si>
  <si>
    <t>HBase</t>
  </si>
  <si>
    <t>HWST</t>
  </si>
  <si>
    <t>HWSR</t>
  </si>
  <si>
    <t>HL2</t>
  </si>
  <si>
    <t>HBCeil</t>
  </si>
  <si>
    <t>WP_ACS</t>
  </si>
  <si>
    <t>WA_ACS</t>
  </si>
  <si>
    <t>WP_AL1</t>
  </si>
  <si>
    <t>WA_AL1</t>
  </si>
  <si>
    <t>WP_HBase</t>
  </si>
  <si>
    <t>WA_HBase</t>
  </si>
  <si>
    <t>WP_HWST</t>
  </si>
  <si>
    <t>WA_HWST</t>
  </si>
  <si>
    <t>WP_HWSR</t>
  </si>
  <si>
    <t>WA_HWSR</t>
  </si>
  <si>
    <t>WP_HL2</t>
  </si>
  <si>
    <t>WA_HL2</t>
  </si>
  <si>
    <t>WP_HBCeil</t>
  </si>
  <si>
    <t>WA_HBCeil</t>
  </si>
  <si>
    <t>Assemble View Link:</t>
  </si>
  <si>
    <t>Takeoff File Locations:</t>
  </si>
  <si>
    <t>https://westlandconstruction.tryassemble.com/projects/4#views/6</t>
  </si>
  <si>
    <t>Trade Name</t>
  </si>
  <si>
    <t>&lt; ----  I need this for reasons don't delete it.</t>
  </si>
  <si>
    <t>OutputTable_0000</t>
  </si>
  <si>
    <t/>
  </si>
  <si>
    <t>ACS, HL2, HBCeil</t>
  </si>
  <si>
    <t>ACS, HWST, HL2</t>
  </si>
  <si>
    <t>HWST, HL2</t>
  </si>
  <si>
    <t>AL1, HBase, HWST</t>
  </si>
  <si>
    <t>AL1, HWST</t>
  </si>
  <si>
    <t>HWST, HWSR</t>
  </si>
  <si>
    <t>09 Finishes</t>
  </si>
  <si>
    <t>22 Plumbing</t>
  </si>
  <si>
    <t>23 Mechanical</t>
  </si>
  <si>
    <t>26 Electrical</t>
  </si>
  <si>
    <t>32 Exterior Improvements</t>
  </si>
  <si>
    <t>00 Other</t>
  </si>
  <si>
    <t>Sample Sub</t>
  </si>
  <si>
    <t>0001</t>
  </si>
  <si>
    <t>Divisions</t>
  </si>
  <si>
    <t>Steel - Annex Basement/Columns</t>
  </si>
  <si>
    <t>Steel - Annex Clear Story</t>
  </si>
  <si>
    <t>Steel - Annex Level 1</t>
  </si>
  <si>
    <t>Steel - Level 0.5 Basement</t>
  </si>
  <si>
    <t>Steel - Basement Ceiling Upgrade</t>
  </si>
  <si>
    <t>Steel - Level 2</t>
  </si>
  <si>
    <t>Steel - West Stair Roof</t>
  </si>
  <si>
    <t>Steel - West Stair Tower</t>
  </si>
  <si>
    <t>This should not be edited without talking to Camron First.</t>
  </si>
  <si>
    <t>Ryan Thomas</t>
  </si>
  <si>
    <t>Jay W. (North Add), Dion G. (Historic), Jason F. (MEP) &amp; Zac G. (Site)</t>
  </si>
  <si>
    <t>Camron Walker (North Add &amp; Site) &amp; David Adams (Historic)</t>
  </si>
  <si>
    <t>Glassey Steel Works</t>
  </si>
  <si>
    <t>0501</t>
  </si>
  <si>
    <t>01  Structural Steel</t>
  </si>
  <si>
    <t>S590</t>
  </si>
  <si>
    <t>Wednesday</t>
  </si>
  <si>
    <t>01  Sample</t>
  </si>
  <si>
    <t>St. George Temple Major Renovation 2019</t>
  </si>
  <si>
    <t>Bluebeam QL</t>
  </si>
  <si>
    <t>\\westland.local\dfs\users\camron\Desktop\Test\Test 1.pdf</t>
  </si>
  <si>
    <t>Ready to Report</t>
  </si>
  <si>
    <t>Last Reported:</t>
  </si>
  <si>
    <t>Yes</t>
  </si>
  <si>
    <t>No</t>
  </si>
  <si>
    <t>&lt;-- Hide Don't Delete Division Header &amp; The Trade Rows Below</t>
  </si>
  <si>
    <t>Ready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</si>
</sst>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"/>
    <numFmt numFmtId="165" formatCode="yyyy\-mm\-dd"/>
  </numFmts>
  <fonts count="2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  <font>
      <sz val="11"/>
      <color theme="1"/>
      <name val="Interstate-Light"/>
    </font>
    <font>
      <sz val="12"/>
      <color theme="1"/>
      <name val="Interstate-Light"/>
    </font>
    <font>
      <b/>
      <sz val="11"/>
      <color rgb="FFFA7D00"/>
      <name val="Calibri"/>
      <family val="2"/>
      <scheme val="minor"/>
    </font>
    <font>
      <sz val="13"/>
      <color theme="1"/>
      <name val="Interstate-Light"/>
    </font>
    <font>
      <b/>
      <sz val="11"/>
      <color rgb="FFFA7D00"/>
      <name val="Interstate-Light"/>
    </font>
    <font>
      <sz val="11"/>
      <color rgb="FF3F3F76"/>
      <name val="Interstate-Light"/>
    </font>
    <font>
      <b/>
      <sz val="12"/>
      <color theme="1"/>
      <name val="Interstate-Light"/>
    </font>
    <font>
      <sz val="7"/>
      <color theme="1"/>
      <name val="Interstate-Light"/>
    </font>
    <font>
      <sz val="9"/>
      <color indexed="81"/>
      <name val="Tahoma"/>
      <family val="2"/>
    </font>
    <font>
      <b/>
      <sz val="11"/>
      <color theme="1"/>
      <name val="Interstate-Light"/>
    </font>
    <font>
      <sz val="8"/>
      <color rgb="FF3F3F76"/>
      <name val="Interstate-Light"/>
    </font>
    <font>
      <b/>
      <sz val="8"/>
      <color rgb="FFFA7D00"/>
      <name val="Interstate-Light"/>
    </font>
    <font>
      <u/>
      <sz val="11"/>
      <color theme="10"/>
      <name val="Calibri"/>
      <family val="2"/>
      <scheme val="minor"/>
    </font>
    <font>
      <sz val="24"/>
      <color theme="1"/>
      <name val="Interstate-Light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</patternFill>
    </fill>
  </fills>
  <borders count="2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medium">
        <color indexed="64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/>
      <diagonal/>
    </border>
    <border>
      <left/>
      <right style="medium">
        <color indexed="64"/>
      </right>
      <top style="thin">
        <color theme="0" tint="-0.249977111117893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0" fontId="11" fillId="6" borderId="1" applyNumberFormat="0" applyAlignment="0" applyProtection="0"/>
    <xf numFmtId="0" fontId="21" fillId="0" borderId="0" applyNumberFormat="0" applyFill="0" applyBorder="0" applyAlignment="0" applyProtection="0"/>
  </cellStyleXfs>
  <cellXfs count="109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0" fontId="8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left" indent="1"/>
    </xf>
    <xf numFmtId="164" fontId="9" fillId="0" borderId="0" xfId="0" applyNumberFormat="1" applyFont="1"/>
    <xf numFmtId="0" fontId="12" fillId="4" borderId="0" xfId="0" applyFont="1" applyFill="1"/>
    <xf numFmtId="164" fontId="12" fillId="4" borderId="0" xfId="0" applyNumberFormat="1" applyFont="1" applyFill="1"/>
    <xf numFmtId="0" fontId="9" fillId="0" borderId="0" xfId="0" applyFont="1" applyAlignment="1">
      <alignment horizontal="left" indent="2"/>
    </xf>
    <xf numFmtId="49" fontId="12" fillId="4" borderId="0" xfId="0" applyNumberFormat="1" applyFont="1" applyFill="1"/>
    <xf numFmtId="0" fontId="12" fillId="4" borderId="0" xfId="0" applyNumberFormat="1" applyFont="1" applyFill="1"/>
    <xf numFmtId="0" fontId="10" fillId="5" borderId="0" xfId="0" applyFont="1" applyFill="1" applyAlignment="1">
      <alignment vertical="center"/>
    </xf>
    <xf numFmtId="0" fontId="9" fillId="0" borderId="0" xfId="0" applyFont="1" applyAlignment="1">
      <alignment horizontal="right"/>
    </xf>
    <xf numFmtId="0" fontId="13" fillId="6" borderId="1" xfId="2" applyFont="1" applyAlignment="1">
      <alignment horizontal="center"/>
    </xf>
    <xf numFmtId="0" fontId="14" fillId="2" borderId="1" xfId="1" applyFont="1" applyAlignment="1">
      <alignment horizontal="center"/>
    </xf>
    <xf numFmtId="14" fontId="13" fillId="6" borderId="1" xfId="2" applyNumberFormat="1" applyFont="1" applyAlignment="1">
      <alignment horizontal="center"/>
    </xf>
    <xf numFmtId="0" fontId="10" fillId="0" borderId="8" xfId="0" applyFont="1" applyBorder="1" applyAlignment="1">
      <alignment horizontal="right" vertical="center" indent="1"/>
    </xf>
    <xf numFmtId="10" fontId="15" fillId="0" borderId="9" xfId="0" applyNumberFormat="1" applyFont="1" applyBorder="1" applyAlignment="1">
      <alignment horizontal="center" vertical="center"/>
    </xf>
    <xf numFmtId="10" fontId="15" fillId="0" borderId="10" xfId="0" applyNumberFormat="1" applyFont="1" applyBorder="1" applyAlignment="1">
      <alignment horizontal="center" vertical="center"/>
    </xf>
    <xf numFmtId="14" fontId="14" fillId="2" borderId="1" xfId="1" applyNumberFormat="1" applyFont="1" applyAlignment="1">
      <alignment horizontal="center"/>
    </xf>
    <xf numFmtId="164" fontId="10" fillId="0" borderId="11" xfId="0" applyNumberFormat="1" applyFont="1" applyBorder="1" applyAlignment="1">
      <alignment horizontal="center" vertical="center"/>
    </xf>
    <xf numFmtId="164" fontId="10" fillId="0" borderId="12" xfId="0" applyNumberFormat="1" applyFont="1" applyBorder="1" applyAlignment="1">
      <alignment horizontal="center" vertical="center"/>
    </xf>
    <xf numFmtId="0" fontId="14" fillId="2" borderId="1" xfId="1" applyFont="1"/>
    <xf numFmtId="3" fontId="10" fillId="0" borderId="11" xfId="0" applyNumberFormat="1" applyFont="1" applyBorder="1" applyAlignment="1">
      <alignment horizontal="center" vertical="center"/>
    </xf>
    <xf numFmtId="3" fontId="10" fillId="0" borderId="12" xfId="0" applyNumberFormat="1" applyFont="1" applyBorder="1" applyAlignment="1">
      <alignment horizontal="center" vertical="center"/>
    </xf>
    <xf numFmtId="0" fontId="10" fillId="0" borderId="8" xfId="0" applyFont="1" applyBorder="1"/>
    <xf numFmtId="0" fontId="10" fillId="0" borderId="0" xfId="0" applyFont="1"/>
    <xf numFmtId="1" fontId="10" fillId="0" borderId="11" xfId="0" applyNumberFormat="1" applyFont="1" applyBorder="1" applyAlignment="1">
      <alignment horizontal="center" vertical="center"/>
    </xf>
    <xf numFmtId="1" fontId="10" fillId="0" borderId="12" xfId="0" applyNumberFormat="1" applyFont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16" fillId="0" borderId="13" xfId="0" applyFont="1" applyBorder="1"/>
    <xf numFmtId="49" fontId="9" fillId="0" borderId="0" xfId="0" applyNumberFormat="1" applyFont="1" applyAlignment="1">
      <alignment horizontal="right"/>
    </xf>
    <xf numFmtId="49" fontId="9" fillId="0" borderId="0" xfId="0" applyNumberFormat="1" applyFont="1"/>
    <xf numFmtId="14" fontId="9" fillId="0" borderId="0" xfId="0" applyNumberFormat="1" applyFont="1"/>
    <xf numFmtId="0" fontId="16" fillId="0" borderId="15" xfId="0" applyFont="1" applyBorder="1"/>
    <xf numFmtId="0" fontId="10" fillId="0" borderId="2" xfId="0" applyFont="1" applyBorder="1"/>
    <xf numFmtId="0" fontId="10" fillId="0" borderId="3" xfId="0" applyFont="1" applyBorder="1"/>
    <xf numFmtId="0" fontId="10" fillId="0" borderId="4" xfId="0" applyFont="1" applyBorder="1"/>
    <xf numFmtId="0" fontId="10" fillId="0" borderId="17" xfId="0" applyFont="1" applyBorder="1"/>
    <xf numFmtId="0" fontId="10" fillId="0" borderId="18" xfId="0" applyFont="1" applyBorder="1"/>
    <xf numFmtId="0" fontId="10" fillId="0" borderId="15" xfId="0" applyFont="1" applyBorder="1"/>
    <xf numFmtId="0" fontId="10" fillId="0" borderId="16" xfId="0" applyFont="1" applyBorder="1"/>
    <xf numFmtId="165" fontId="0" fillId="0" borderId="0" xfId="0" applyNumberFormat="1" applyAlignment="1">
      <alignment horizontal="left"/>
    </xf>
    <xf numFmtId="0" fontId="9" fillId="0" borderId="0" xfId="0" applyFont="1" applyFill="1"/>
    <xf numFmtId="0" fontId="0" fillId="0" borderId="0" xfId="0" applyNumberFormat="1" applyAlignment="1">
      <alignment horizontal="left"/>
    </xf>
    <xf numFmtId="0" fontId="9" fillId="0" borderId="0" xfId="0" applyNumberFormat="1" applyFont="1" applyAlignment="1">
      <alignment horizontal="left"/>
    </xf>
    <xf numFmtId="1" fontId="0" fillId="0" borderId="0" xfId="0" applyNumberFormat="1"/>
    <xf numFmtId="0" fontId="9" fillId="0" borderId="8" xfId="0" applyFont="1" applyBorder="1"/>
    <xf numFmtId="0" fontId="9" fillId="0" borderId="17" xfId="0" applyNumberFormat="1" applyFont="1" applyBorder="1" applyAlignment="1">
      <alignment horizontal="left"/>
    </xf>
    <xf numFmtId="0" fontId="9" fillId="0" borderId="18" xfId="0" applyFont="1" applyBorder="1"/>
    <xf numFmtId="0" fontId="9" fillId="0" borderId="16" xfId="0" applyNumberFormat="1" applyFont="1" applyBorder="1" applyAlignment="1">
      <alignment horizontal="left"/>
    </xf>
    <xf numFmtId="0" fontId="0" fillId="0" borderId="0" xfId="0" applyFont="1" applyFill="1"/>
    <xf numFmtId="49" fontId="9" fillId="0" borderId="0" xfId="0" applyNumberFormat="1" applyFont="1" applyBorder="1"/>
    <xf numFmtId="14" fontId="9" fillId="0" borderId="0" xfId="0" applyNumberFormat="1" applyFont="1" applyBorder="1"/>
    <xf numFmtId="1" fontId="9" fillId="0" borderId="0" xfId="0" applyNumberFormat="1" applyFont="1"/>
    <xf numFmtId="22" fontId="9" fillId="0" borderId="0" xfId="0" applyNumberFormat="1" applyFont="1"/>
    <xf numFmtId="0" fontId="9" fillId="0" borderId="0" xfId="0" applyNumberFormat="1" applyFont="1"/>
    <xf numFmtId="1" fontId="9" fillId="0" borderId="0" xfId="0" applyNumberFormat="1" applyFont="1" applyAlignment="1">
      <alignment horizontal="left"/>
    </xf>
    <xf numFmtId="2" fontId="9" fillId="0" borderId="0" xfId="0" applyNumberFormat="1" applyFont="1" applyAlignment="1">
      <alignment horizontal="left"/>
    </xf>
    <xf numFmtId="0" fontId="10" fillId="0" borderId="0" xfId="0" applyFont="1"/>
    <xf numFmtId="0" fontId="9" fillId="0" borderId="0" xfId="0" applyFont="1"/>
    <xf numFmtId="164" fontId="13" fillId="6" borderId="1" xfId="2" applyNumberFormat="1" applyFont="1"/>
    <xf numFmtId="0" fontId="9" fillId="0" borderId="0" xfId="0" applyFont="1"/>
    <xf numFmtId="0" fontId="10" fillId="0" borderId="0" xfId="0" applyFont="1"/>
    <xf numFmtId="0" fontId="9" fillId="0" borderId="0" xfId="0" applyFont="1"/>
    <xf numFmtId="14" fontId="14" fillId="2" borderId="1" xfId="1" applyNumberFormat="1" applyFont="1" applyAlignment="1">
      <alignment horizontal="right"/>
    </xf>
    <xf numFmtId="0" fontId="14" fillId="2" borderId="1" xfId="1" applyFont="1" applyAlignment="1">
      <alignment horizontal="right"/>
    </xf>
    <xf numFmtId="10" fontId="14" fillId="2" borderId="1" xfId="1" applyNumberFormat="1" applyFont="1" applyAlignment="1">
      <alignment horizontal="right"/>
    </xf>
    <xf numFmtId="14" fontId="9" fillId="0" borderId="0" xfId="0" applyNumberFormat="1" applyFont="1" applyAlignment="1">
      <alignment horizontal="right"/>
    </xf>
    <xf numFmtId="0" fontId="9" fillId="0" borderId="0" xfId="0" applyFont="1" applyAlignment="1">
      <alignment horizontal="center" vertical="center"/>
    </xf>
    <xf numFmtId="0" fontId="9" fillId="0" borderId="0" xfId="0" applyNumberFormat="1" applyFont="1" applyAlignment="1">
      <alignment horizontal="right"/>
    </xf>
    <xf numFmtId="0" fontId="9" fillId="0" borderId="0" xfId="0" applyFont="1"/>
    <xf numFmtId="0" fontId="9" fillId="0" borderId="0" xfId="0" applyFont="1"/>
    <xf numFmtId="0" fontId="18" fillId="0" borderId="19" xfId="0" applyFont="1" applyBorder="1" applyAlignment="1">
      <alignment horizontal="center"/>
    </xf>
    <xf numFmtId="0" fontId="18" fillId="0" borderId="20" xfId="0" applyFont="1" applyBorder="1" applyAlignment="1">
      <alignment horizontal="center"/>
    </xf>
    <xf numFmtId="0" fontId="10" fillId="0" borderId="11" xfId="0" applyFont="1" applyBorder="1" applyAlignment="1">
      <alignment horizontal="right" indent="1"/>
    </xf>
    <xf numFmtId="14" fontId="10" fillId="0" borderId="11" xfId="0" applyNumberFormat="1" applyFont="1" applyBorder="1" applyAlignment="1">
      <alignment horizontal="center"/>
    </xf>
    <xf numFmtId="0" fontId="10" fillId="0" borderId="12" xfId="0" applyFont="1" applyBorder="1" applyAlignment="1">
      <alignment horizontal="center"/>
    </xf>
    <xf numFmtId="14" fontId="10" fillId="0" borderId="12" xfId="0" applyNumberFormat="1" applyFont="1" applyBorder="1" applyAlignment="1">
      <alignment horizontal="center"/>
    </xf>
    <xf numFmtId="0" fontId="19" fillId="2" borderId="1" xfId="1" applyFont="1" applyAlignment="1">
      <alignment horizontal="left" vertical="center"/>
    </xf>
    <xf numFmtId="0" fontId="20" fillId="6" borderId="1" xfId="2" applyFont="1" applyAlignment="1">
      <alignment horizontal="left" wrapText="1"/>
    </xf>
    <xf numFmtId="0" fontId="16" fillId="0" borderId="13" xfId="0" applyFont="1" applyBorder="1" applyAlignment="1">
      <alignment horizontal="right" wrapText="1" indent="1"/>
    </xf>
    <xf numFmtId="0" fontId="16" fillId="0" borderId="14" xfId="0" applyFont="1" applyBorder="1" applyAlignment="1">
      <alignment horizontal="right" wrapText="1" indent="1"/>
    </xf>
    <xf numFmtId="0" fontId="16" fillId="0" borderId="15" xfId="0" applyFont="1" applyBorder="1" applyAlignment="1">
      <alignment horizontal="right" wrapText="1" indent="1"/>
    </xf>
    <xf numFmtId="0" fontId="16" fillId="0" borderId="16" xfId="0" applyFont="1" applyBorder="1" applyAlignment="1">
      <alignment horizontal="right" wrapText="1" indent="1"/>
    </xf>
    <xf numFmtId="0" fontId="10" fillId="0" borderId="11" xfId="0" applyFont="1" applyBorder="1" applyAlignment="1">
      <alignment horizontal="right" vertical="center" indent="1"/>
    </xf>
    <xf numFmtId="0" fontId="22" fillId="0" borderId="2" xfId="0" applyFont="1" applyBorder="1" applyAlignment="1">
      <alignment horizontal="center" vertical="center"/>
    </xf>
    <xf numFmtId="0" fontId="22" fillId="0" borderId="3" xfId="0" applyFont="1" applyBorder="1" applyAlignment="1">
      <alignment horizontal="center" vertical="center"/>
    </xf>
    <xf numFmtId="0" fontId="22" fillId="0" borderId="4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10" fillId="0" borderId="0" xfId="0" applyFont="1"/>
    <xf numFmtId="0" fontId="15" fillId="0" borderId="9" xfId="0" applyFont="1" applyBorder="1" applyAlignment="1">
      <alignment horizontal="center" vertical="center"/>
    </xf>
    <xf numFmtId="0" fontId="7" fillId="0" borderId="0" xfId="0" applyFont="1" applyAlignment="1">
      <alignment horizontal="center" vertical="top"/>
    </xf>
    <xf numFmtId="0" fontId="21" fillId="0" borderId="0" xfId="3"/>
    <xf numFmtId="0" fontId="9" fillId="0" borderId="0" xfId="0" applyFon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10" fillId="5" borderId="0" xfId="0" applyFont="1" applyFill="1" applyAlignment="1">
      <alignment horizontal="left" vertical="center"/>
    </xf>
    <xf numFmtId="0" fontId="7" fillId="0" borderId="0" xfId="0" applyFont="1" applyFill="1" applyAlignment="1">
      <alignment horizontal="left" vertical="center"/>
    </xf>
    <xf numFmtId="0" fontId="21" fillId="0" borderId="0" xfId="3" applyAlignment="1">
      <alignment horizontal="right"/>
    </xf>
    <xf numFmtId="10" fontId="9" fillId="0" borderId="0" xfId="0" applyNumberFormat="1" applyFont="1"/>
    <xf numFmtId="0" fontId="10" fillId="0" borderId="0" xfId="0" applyNumberFormat="1" applyFont="1"/>
  </cellXfs>
  <cellStyles count="4">
    <cellStyle name="Calculation" xfId="2" builtinId="22"/>
    <cellStyle name="Hyperlink" xfId="3" builtinId="8"/>
    <cellStyle name="Input" xfId="1" builtinId="20"/>
    <cellStyle name="Normal" xfId="0" builtinId="0"/>
  </cellStyles>
  <dxfs count="119"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rgb="FFFF7C80"/>
        </patternFill>
      </fill>
    </dxf>
    <dxf>
      <fill>
        <patternFill>
          <bgColor rgb="FF66FF66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0.14996795556505021"/>
        </patternFill>
      </fill>
    </dxf>
    <dxf>
      <fill>
        <patternFill>
          <bgColor theme="0" tint="-0.14996795556505021"/>
        </patternFill>
      </fill>
    </dxf>
    <dxf>
      <font>
        <b/>
        <i val="0"/>
        <color rgb="FFFA7D00"/>
      </font>
    </dxf>
    <dxf>
      <font>
        <b/>
        <i val="0"/>
        <color rgb="FF7E0000"/>
      </font>
      <fill>
        <patternFill>
          <bgColor rgb="FFFF9999"/>
        </patternFill>
      </fill>
    </dxf>
    <dxf>
      <fill>
        <patternFill>
          <bgColor theme="0" tint="-0.34998626667073579"/>
        </patternFill>
      </fill>
      <border>
        <vertical/>
        <horizontal/>
      </border>
    </dxf>
    <dxf>
      <font>
        <color theme="0"/>
      </font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  <dxf>
      <numFmt numFmtId="19" formatCode="m/d/yyyy"/>
    </dxf>
    <dxf>
      <numFmt numFmtId="19" formatCode="m/d/yyyy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0" formatCode="General"/>
      <alignment horizontal="left" vertical="bottom" textRotation="0" wrapText="0" indent="0" justifyLastLine="0" shrinkToFit="0" readingOrder="0"/>
    </dxf>
    <dxf>
      <numFmt numFmtId="165" formatCode="yyyy\-mm\-dd"/>
      <alignment horizontal="left" vertical="bottom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19" formatCode="m/d/yyyy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</dxf>
    <dxf>
      <font>
        <strike val="0"/>
        <outline val="0"/>
        <shadow val="0"/>
        <u val="none"/>
        <vertAlign val="baseline"/>
        <name val="Interstate-Light"/>
        <scheme val="none"/>
      </font>
      <numFmt numFmtId="30" formatCode="@"/>
      <alignment horizontal="right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name val="Interstate-Light"/>
        <scheme val="none"/>
      </font>
    </dxf>
    <dxf>
      <font>
        <strike val="0"/>
        <outline val="0"/>
        <shadow val="0"/>
        <u val="none"/>
        <vertAlign val="baseline"/>
        <name val="Interstate-Light"/>
        <scheme val="none"/>
      </font>
      <alignment horizontal="left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FF7C80"/>
      <color rgb="FF66FF66"/>
      <color rgb="FFFA7D00"/>
      <color rgb="FF7E0000"/>
      <color rgb="FFFF9999"/>
      <color rgb="FF3F3F76"/>
      <color rgb="FFFFCC99"/>
      <color rgb="FFF2B8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onnections" Target="connection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Template!$AC$13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A08B3D46-8FB0-44A3-9C7D-FBF9A9338C0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9C78-44A8-8F49-BAFA4BD094B9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104C889-FDF5-4166-A698-D69BD6B7D6E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9C78-44A8-8F49-BAFA4BD094B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1997BF7-6CEB-4BCB-9758-964D142034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9C78-44A8-8F49-BAFA4BD094B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3C9F959-CFD6-4409-9C78-D42D64ED93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9C78-44A8-8F49-BAFA4BD094B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E6F06CE-1B4A-4BD1-9321-1721C55E78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9C78-44A8-8F49-BAFA4BD094B9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138335C-493E-470A-A7C1-3B675FC706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9C78-44A8-8F49-BAFA4BD094B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4AA58981-C778-4A5A-8A4F-401B82827F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9C78-44A8-8F49-BAFA4BD094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396FFBE-CE96-48DC-9556-473A818297D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9C78-44A8-8F49-BAFA4BD094B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985B5C3-945C-4A20-9112-A34CC1C5ED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9C78-44A8-8F49-BAFA4BD094B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63359C30-C648-40BF-B04F-C5A3486887F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9C78-44A8-8F49-BAFA4BD094B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4B39B797-F799-4CD0-8F9B-A39C88F1DC8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9C78-44A8-8F49-BAFA4BD094B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2D5001D-66C6-4EEC-A6B8-C88BA25B29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9C78-44A8-8F49-BAFA4BD094B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A769542C-66DD-4B29-BBB9-1CA8C94E54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9C78-44A8-8F49-BAFA4BD094B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9990DA4-4FFB-4D64-B800-2AB8473EA32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5E6D-4C53-A30C-2FF98A41B820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92F918D2-2987-46BA-9C77-2061DF9B1F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E6D-4C53-A30C-2FF98A41B820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38C53A8-4FE3-4BF1-9400-115B6CD37C1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E6D-4C53-A30C-2FF98A41B820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1B97DA8C-5874-4288-8CF4-D0E28272C43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E6D-4C53-A30C-2FF98A41B820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481818FA-04D8-482F-9448-1DE8B960FC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5E6D-4C53-A30C-2FF98A41B820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FD1E381F-891F-46DA-ABA9-A2ACAEA303F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44CF-41E5-937C-3D1FB36F6238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69A3A053-157A-474F-BF97-04B02E8A5C4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44CF-41E5-937C-3D1FB36F6238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6D599077-1FBE-4344-AF1A-6044EF6C6C1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44CF-41E5-937C-3D1FB36F6238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C2C025D3-7F0C-45B7-8405-A460486365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44CF-41E5-937C-3D1FB36F6238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B6E68FA1-C07E-4D11-88A2-A6E51D1746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44CF-41E5-937C-3D1FB36F6238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DA486D8F-581E-49BE-B55E-DFCB2F0B0CD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44CF-41E5-937C-3D1FB36F6238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16DDD800-FAF1-47E7-A895-BB6119471A8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44CF-41E5-937C-3D1FB36F6238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32C2DD7D-9ED9-4820-9CB0-003D3A32BD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44CF-41E5-937C-3D1FB36F6238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62BE7C0C-DEDF-4F60-95EB-355BB85133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44CF-41E5-937C-3D1FB36F6238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A5D997C-99BA-405C-A3C7-9502A876606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44CF-41E5-937C-3D1FB36F6238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93D49275-21E0-42BB-AE26-19CD4ED74DA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44CF-41E5-937C-3D1FB36F6238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791E44A1-EDF1-44AE-97C4-BF63A4A594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44CF-41E5-937C-3D1FB36F6238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8E4-47CA-BCCB-AAF6385DDD0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Template!$AB$14:$AB$44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9C78-44A8-8F49-BAFA4BD094B9}"/>
            </c:ext>
          </c:extLst>
        </c:ser>
        <c:ser>
          <c:idx val="1"/>
          <c:order val="1"/>
          <c:tx>
            <c:strRef>
              <c:f>Template!$AD$13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Template!$AE$13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78-44A8-8F49-BAFA4BD094B9}"/>
            </c:ext>
          </c:extLst>
        </c:ser>
        <c:ser>
          <c:idx val="3"/>
          <c:order val="3"/>
          <c:tx>
            <c:strRef>
              <c:f>Template!$AF$13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Template!$AA$14:$AA$44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Template!$AF$14:$AF$44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9C78-44A8-8F49-BAFA4BD094B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2A9-47A9-B052-E9D24445035B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0-70BA-4249-A91D-1FDE8490A12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Template!$V$2:$V$3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2A9-47A9-B052-E9D24445035B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'0501'!$AC$13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6C2BE6A-851D-4154-A633-F7014D0C805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B48-40B3-97AA-F4A2A4F3FEE7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1DF1F59-23F7-4FBC-8E15-02F1E91FA5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B48-40B3-97AA-F4A2A4F3FEE7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8E78D0CB-E237-4223-BE0D-1E30B2B2BFE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B48-40B3-97AA-F4A2A4F3FEE7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65579A2-C10D-447C-9B64-2EC16FF9E4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B48-40B3-97AA-F4A2A4F3FEE7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20233E14-CFBA-4509-8849-17D51E6815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B48-40B3-97AA-F4A2A4F3FEE7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2D671FF7-75BB-43FC-AC5D-6FFC36AFE00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B48-40B3-97AA-F4A2A4F3FEE7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1C2CFDF4-0D67-406F-A1F8-7AC1B0CF40A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B48-40B3-97AA-F4A2A4F3FEE7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C6D71DC-33AA-4229-88FC-E615967E0F0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B48-40B3-97AA-F4A2A4F3FEE7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3323894C-7A62-4A36-ABE0-CDDAC6FF14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B48-40B3-97AA-F4A2A4F3FEE7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21BAEFBB-3573-4437-ADA3-760903CAEF1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B48-40B3-97AA-F4A2A4F3FEE7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1A76324E-F289-4FB4-8BB9-8D9717A375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B48-40B3-97AA-F4A2A4F3FEE7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402EC3BF-78E7-40D6-A382-1FCDDF0116F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B48-40B3-97AA-F4A2A4F3FEE7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BA8963F9-228D-4F49-A8CF-CFDE009FA9C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B48-40B3-97AA-F4A2A4F3FEE7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01C78202-4E83-4C53-A542-28ADE35FB8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B48-40B3-97AA-F4A2A4F3FEE7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BC2B69AE-A992-4C5A-93A4-3390B3D689D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B48-40B3-97AA-F4A2A4F3FEE7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626CB2DF-D6E3-486C-922E-DCB189B92AC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B48-40B3-97AA-F4A2A4F3FEE7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B0B8C10F-204D-44E0-8C01-A93BD5DF35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B48-40B3-97AA-F4A2A4F3FEE7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94EB13A2-8EBC-4EB5-937D-2C0A2DDD5EE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B48-40B3-97AA-F4A2A4F3FEE7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9D9CD410-8147-420E-94FF-34B9D04750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B48-40B3-97AA-F4A2A4F3FEE7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5F5F79D4-068E-466A-8662-BCE415607C0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B48-40B3-97AA-F4A2A4F3FEE7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C8DF164A-F601-4C8F-81DC-88E5187E52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B48-40B3-97AA-F4A2A4F3FEE7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F46CBE5B-DC89-4B2E-8646-29DC215AA0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B48-40B3-97AA-F4A2A4F3FEE7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174C9FDE-3459-4D98-9E8A-961AA48BAB3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B48-40B3-97AA-F4A2A4F3FEE7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420F188D-6FC1-4F57-AC31-0B21032E65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B48-40B3-97AA-F4A2A4F3FEE7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FD5389E8-2009-4061-8873-1A3D26B1C9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B48-40B3-97AA-F4A2A4F3FEE7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55B45690-FCF7-4899-8188-798515A581D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B48-40B3-97AA-F4A2A4F3FEE7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0CEA06F-C95D-4FBF-8495-E45B2CBFDC9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B48-40B3-97AA-F4A2A4F3FEE7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45B85EA6-CD99-421A-937F-C85CB55E6D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B48-40B3-97AA-F4A2A4F3FEE7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7BB07B5E-0297-4EE9-BD11-BCB165C51A7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B48-40B3-97AA-F4A2A4F3FEE7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538524A1-2B49-4E00-8DB4-E225B0EEB7A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B48-40B3-97AA-F4A2A4F3FEE7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D55F8EDF-E929-44F6-96A0-E4F300A34E0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3B48-40B3-97AA-F4A2A4F3FEE7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F67F8F84-0E19-4E9A-8BF7-60F1DE565F5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3B48-40B3-97AA-F4A2A4F3FEE7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FE42-4948-B60D-20B2ABB3625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'0501'!$AC$14:$AC$46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101</c:v>
                </c:pt>
                <c:pt idx="10">
                  <c:v>80.8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2.4166666666666665</c:v>
                </c:pt>
                <c:pt idx="16">
                  <c:v>12.083333333333332</c:v>
                </c:pt>
                <c:pt idx="17">
                  <c:v>12.083333333333332</c:v>
                </c:pt>
                <c:pt idx="18">
                  <c:v>117.35000000000001</c:v>
                </c:pt>
                <c:pt idx="19">
                  <c:v>120.44761904761906</c:v>
                </c:pt>
                <c:pt idx="20">
                  <c:v>111.1904761904762</c:v>
                </c:pt>
                <c:pt idx="21">
                  <c:v>94.357142857142861</c:v>
                </c:pt>
                <c:pt idx="22">
                  <c:v>239.95714285714286</c:v>
                </c:pt>
                <c:pt idx="23">
                  <c:v>222.85714285714286</c:v>
                </c:pt>
                <c:pt idx="24">
                  <c:v>60.257142857142853</c:v>
                </c:pt>
                <c:pt idx="25">
                  <c:v>27.857142857142854</c:v>
                </c:pt>
                <c:pt idx="26">
                  <c:v>27.857142857142854</c:v>
                </c:pt>
                <c:pt idx="27">
                  <c:v>27.857142857142854</c:v>
                </c:pt>
                <c:pt idx="28">
                  <c:v>27.857142857142854</c:v>
                </c:pt>
                <c:pt idx="29">
                  <c:v>19.793650793650791</c:v>
                </c:pt>
                <c:pt idx="30">
                  <c:v>14.222222222222221</c:v>
                </c:pt>
                <c:pt idx="31">
                  <c:v>3.5555555555555554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'0501'!$AB$14:$AB$46</c15:f>
                <c15:dlblRangeCache>
                  <c:ptCount val="33"/>
                  <c:pt idx="0">
                    <c:v>0</c:v>
                  </c:pt>
                  <c:pt idx="1">
                    <c:v>0</c:v>
                  </c:pt>
                  <c:pt idx="2">
                    <c:v>0</c:v>
                  </c:pt>
                  <c:pt idx="3">
                    <c:v>0</c:v>
                  </c:pt>
                  <c:pt idx="4">
                    <c:v>0</c:v>
                  </c:pt>
                  <c:pt idx="5">
                    <c:v>0</c:v>
                  </c:pt>
                  <c:pt idx="6">
                    <c:v>0</c:v>
                  </c:pt>
                  <c:pt idx="7">
                    <c:v>0</c:v>
                  </c:pt>
                  <c:pt idx="8">
                    <c:v>ABC</c:v>
                  </c:pt>
                  <c:pt idx="9">
                    <c:v>ABC</c:v>
                  </c:pt>
                  <c:pt idx="10">
                    <c:v>ABC</c:v>
                  </c:pt>
                  <c:pt idx="11">
                    <c:v>0</c:v>
                  </c:pt>
                  <c:pt idx="12">
                    <c:v>0</c:v>
                  </c:pt>
                  <c:pt idx="13">
                    <c:v>0</c:v>
                  </c:pt>
                  <c:pt idx="14">
                    <c:v>0</c:v>
                  </c:pt>
                  <c:pt idx="15">
                    <c:v>HBCeil</c:v>
                  </c:pt>
                  <c:pt idx="16">
                    <c:v>HBCeil</c:v>
                  </c:pt>
                  <c:pt idx="17">
                    <c:v>HBCeil</c:v>
                  </c:pt>
                  <c:pt idx="18">
                    <c:v>ACS, HL2, HBCeil</c:v>
                  </c:pt>
                  <c:pt idx="19">
                    <c:v>ACS, HWST, HL2</c:v>
                  </c:pt>
                  <c:pt idx="20">
                    <c:v>HWST, HL2</c:v>
                  </c:pt>
                  <c:pt idx="21">
                    <c:v>HBase, HWST, HL2</c:v>
                  </c:pt>
                  <c:pt idx="22">
                    <c:v>AL1, HBase, HWST</c:v>
                  </c:pt>
                  <c:pt idx="23">
                    <c:v>AL1, HBase, HWST</c:v>
                  </c:pt>
                  <c:pt idx="24">
                    <c:v>AL1, HWST</c:v>
                  </c:pt>
                  <c:pt idx="25">
                    <c:v>HWST</c:v>
                  </c:pt>
                  <c:pt idx="26">
                    <c:v>HWST</c:v>
                  </c:pt>
                  <c:pt idx="27">
                    <c:v>HWST</c:v>
                  </c:pt>
                  <c:pt idx="28">
                    <c:v>HWST</c:v>
                  </c:pt>
                  <c:pt idx="29">
                    <c:v>HWST, HWSR</c:v>
                  </c:pt>
                  <c:pt idx="30">
                    <c:v>HWSR</c:v>
                  </c:pt>
                  <c:pt idx="31">
                    <c:v>HWSR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B48-40B3-97AA-F4A2A4F3FEE7}"/>
            </c:ext>
          </c:extLst>
        </c:ser>
        <c:ser>
          <c:idx val="1"/>
          <c:order val="1"/>
          <c:tx>
            <c:strRef>
              <c:f>'0501'!$AD$13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'0501'!$AD$14:$AD$46</c:f>
              <c:numCache>
                <c:formatCode>0</c:formatCode>
                <c:ptCount val="33"/>
                <c:pt idx="0">
                  <c:v>19</c:v>
                </c:pt>
                <c:pt idx="1">
                  <c:v>0</c:v>
                </c:pt>
                <c:pt idx="2">
                  <c:v>17</c:v>
                </c:pt>
                <c:pt idx="3">
                  <c:v>39</c:v>
                </c:pt>
                <c:pt idx="4">
                  <c:v>69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'0501'!$AE$13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'0501'!$AE$14:$AE$46</c:f>
              <c:numCache>
                <c:formatCode>0</c:formatCode>
                <c:ptCount val="3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20.2</c:v>
                </c:pt>
                <c:pt idx="9">
                  <c:v>121.2</c:v>
                </c:pt>
                <c:pt idx="10">
                  <c:v>202</c:v>
                </c:pt>
                <c:pt idx="11">
                  <c:v>202</c:v>
                </c:pt>
                <c:pt idx="12">
                  <c:v>202</c:v>
                </c:pt>
                <c:pt idx="13">
                  <c:v>202</c:v>
                </c:pt>
                <c:pt idx="14">
                  <c:v>202</c:v>
                </c:pt>
                <c:pt idx="15">
                  <c:v>204.41666666666666</c:v>
                </c:pt>
                <c:pt idx="16">
                  <c:v>216.5</c:v>
                </c:pt>
                <c:pt idx="17">
                  <c:v>228.58333333333334</c:v>
                </c:pt>
                <c:pt idx="18">
                  <c:v>345.93333333333334</c:v>
                </c:pt>
                <c:pt idx="19">
                  <c:v>466.38095238095241</c:v>
                </c:pt>
                <c:pt idx="20">
                  <c:v>577.57142857142867</c:v>
                </c:pt>
                <c:pt idx="21">
                  <c:v>671.92857142857156</c:v>
                </c:pt>
                <c:pt idx="22">
                  <c:v>911.88571428571436</c:v>
                </c:pt>
                <c:pt idx="23">
                  <c:v>1134.7428571428572</c:v>
                </c:pt>
                <c:pt idx="24">
                  <c:v>1195</c:v>
                </c:pt>
                <c:pt idx="25">
                  <c:v>1222.8571428571429</c:v>
                </c:pt>
                <c:pt idx="26">
                  <c:v>1250.7142857142858</c:v>
                </c:pt>
                <c:pt idx="27">
                  <c:v>1278.5714285714287</c:v>
                </c:pt>
                <c:pt idx="28">
                  <c:v>1306.4285714285716</c:v>
                </c:pt>
                <c:pt idx="29">
                  <c:v>1326.2222222222224</c:v>
                </c:pt>
                <c:pt idx="30">
                  <c:v>1340.4444444444446</c:v>
                </c:pt>
                <c:pt idx="31">
                  <c:v>1344.0000000000002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B48-40B3-97AA-F4A2A4F3FEE7}"/>
            </c:ext>
          </c:extLst>
        </c:ser>
        <c:ser>
          <c:idx val="3"/>
          <c:order val="3"/>
          <c:tx>
            <c:strRef>
              <c:f>'0501'!$AF$13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'0501'!$AA$14:$AA$46</c:f>
              <c:numCache>
                <c:formatCode>yyyy\-mm\-dd</c:formatCode>
                <c:ptCount val="33"/>
                <c:pt idx="0">
                  <c:v>43985</c:v>
                </c:pt>
                <c:pt idx="1">
                  <c:v>43992</c:v>
                </c:pt>
                <c:pt idx="2">
                  <c:v>43999</c:v>
                </c:pt>
                <c:pt idx="3">
                  <c:v>44006</c:v>
                </c:pt>
                <c:pt idx="4">
                  <c:v>44013</c:v>
                </c:pt>
                <c:pt idx="5">
                  <c:v>44020</c:v>
                </c:pt>
                <c:pt idx="6">
                  <c:v>44027</c:v>
                </c:pt>
                <c:pt idx="7">
                  <c:v>44034</c:v>
                </c:pt>
                <c:pt idx="8">
                  <c:v>44041</c:v>
                </c:pt>
                <c:pt idx="9">
                  <c:v>44048</c:v>
                </c:pt>
                <c:pt idx="10">
                  <c:v>44055</c:v>
                </c:pt>
                <c:pt idx="11">
                  <c:v>44062</c:v>
                </c:pt>
                <c:pt idx="12">
                  <c:v>44069</c:v>
                </c:pt>
                <c:pt idx="13">
                  <c:v>44076</c:v>
                </c:pt>
                <c:pt idx="14">
                  <c:v>44083</c:v>
                </c:pt>
                <c:pt idx="15">
                  <c:v>44090</c:v>
                </c:pt>
                <c:pt idx="16">
                  <c:v>44097</c:v>
                </c:pt>
                <c:pt idx="17">
                  <c:v>44104</c:v>
                </c:pt>
                <c:pt idx="18">
                  <c:v>44111</c:v>
                </c:pt>
                <c:pt idx="19">
                  <c:v>44118</c:v>
                </c:pt>
                <c:pt idx="20">
                  <c:v>44125</c:v>
                </c:pt>
                <c:pt idx="21">
                  <c:v>44132</c:v>
                </c:pt>
                <c:pt idx="22">
                  <c:v>44139</c:v>
                </c:pt>
                <c:pt idx="23">
                  <c:v>44146</c:v>
                </c:pt>
                <c:pt idx="24">
                  <c:v>44153</c:v>
                </c:pt>
                <c:pt idx="25">
                  <c:v>44160</c:v>
                </c:pt>
                <c:pt idx="26">
                  <c:v>44167</c:v>
                </c:pt>
                <c:pt idx="27">
                  <c:v>44174</c:v>
                </c:pt>
                <c:pt idx="28">
                  <c:v>44181</c:v>
                </c:pt>
                <c:pt idx="29">
                  <c:v>44188</c:v>
                </c:pt>
                <c:pt idx="30">
                  <c:v>44195</c:v>
                </c:pt>
                <c:pt idx="31">
                  <c:v>44202</c:v>
                </c:pt>
              </c:numCache>
            </c:numRef>
          </c:cat>
          <c:val>
            <c:numRef>
              <c:f>'0501'!$AF$14:$AF$46</c:f>
              <c:numCache>
                <c:formatCode>0</c:formatCode>
                <c:ptCount val="33"/>
                <c:pt idx="0">
                  <c:v>19</c:v>
                </c:pt>
                <c:pt idx="1">
                  <c:v>19</c:v>
                </c:pt>
                <c:pt idx="2">
                  <c:v>36</c:v>
                </c:pt>
                <c:pt idx="3">
                  <c:v>75</c:v>
                </c:pt>
                <c:pt idx="4">
                  <c:v>144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B48-40B3-97AA-F4A2A4F3FEE7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'0501'!$N$5:$O$5</c:f>
              <c:numCache>
                <c:formatCode>0.0%</c:formatCode>
                <c:ptCount val="2"/>
                <c:pt idx="0">
                  <c:v>0</c:v>
                </c:pt>
                <c:pt idx="1">
                  <c:v>0.10714285714285712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2EC-4381-BCBE-4890701F60A9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F2EC-4381-BCBE-4890701F60A9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'0501'!$V$2:$V$3</c:f>
              <c:numCache>
                <c:formatCode>0.0%</c:formatCode>
                <c:ptCount val="2"/>
                <c:pt idx="0">
                  <c:v>1</c:v>
                </c:pt>
                <c:pt idx="1">
                  <c:v>0.8928571428571429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2EC-4381-BCBE-4890701F60A9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5705119169929813E-2"/>
          <c:y val="1.4971218472411301E-2"/>
          <c:w val="0.87573605657935838"/>
          <c:h val="0.77649082768650513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'0001'!$AC$13</c:f>
              <c:strCache>
                <c:ptCount val="1"/>
                <c:pt idx="0">
                  <c:v>Weekly Plan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solidFill>
                <a:schemeClr val="accent1">
                  <a:lumMod val="60000"/>
                  <a:lumOff val="40000"/>
                </a:schemeClr>
              </a:solidFill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D54872E1-2746-4B0F-A05C-7EC2065BDD2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0-3064-42AB-BDDD-BAC6852F37F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CF37BAA0-9DC2-42FD-BA76-72B1196C8D4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3064-42AB-BDDD-BAC6852F37F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2673D34-B581-4393-B5E2-71454854FA6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3064-42AB-BDDD-BAC6852F37F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BC08826-C2EC-4638-822F-F1F01D331B3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3064-42AB-BDDD-BAC6852F37FA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C12743F2-DDB9-4046-9E2F-A29B4EFEC6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3064-42AB-BDDD-BAC6852F37FA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1CC3F6A-E440-4CD2-ABD8-8694BA921D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3064-42AB-BDDD-BAC6852F37FA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D7BE7C02-D091-4CF5-B7B6-7DE38063B51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3064-42AB-BDDD-BAC6852F37FA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91A564C4-04B1-4023-8A5F-0B51192E41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3064-42AB-BDDD-BAC6852F37FA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EF1275D2-5785-41F9-A13D-9788D53E17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3064-42AB-BDDD-BAC6852F37FA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9CDF15AA-7E63-4E9F-AA26-42DD4C19A1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3064-42AB-BDDD-BAC6852F37FA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01D85552-D939-4282-B8B2-679D0647754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3064-42AB-BDDD-BAC6852F37FA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ECFC060A-8280-43F7-9BBD-D1B0100DCC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3064-42AB-BDDD-BAC6852F37FA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405F76BF-BD3F-46D5-8EF7-E542B65D46F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3064-42AB-BDDD-BAC6852F37FA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3423853B-0ACE-4CE9-8662-72477893163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3064-42AB-BDDD-BAC6852F37FA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38EF0B89-A766-45C8-98A3-287D23897C3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3064-42AB-BDDD-BAC6852F37FA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2B74B04B-9587-404F-AAEC-BAE4879CBA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3064-42AB-BDDD-BAC6852F37FA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0D4462E5-E697-4D41-B99E-B955FF5184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3064-42AB-BDDD-BAC6852F37FA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BE86D7E5-3963-41AD-A2E6-C1C5D92C2C7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3064-42AB-BDDD-BAC6852F37FA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2A3DFE5C-43D1-4733-A6A2-EF214525B97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3064-42AB-BDDD-BAC6852F37FA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ACECFB29-2931-4698-99C7-B1BE21CE64E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3064-42AB-BDDD-BAC6852F37FA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F0966574-E380-4275-8695-8C77DFFA93A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3064-42AB-BDDD-BAC6852F37FA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93832AAB-7698-4013-A964-B351910FD0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3064-42AB-BDDD-BAC6852F37FA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8994682A-7D61-4B85-91C2-969920C0060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3064-42AB-BDDD-BAC6852F37FA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2EE0BC00-179E-4ACB-BBAF-1F808930466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3064-42AB-BDDD-BAC6852F37FA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9DF87E16-D224-476F-81DB-8961C31EC79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3064-42AB-BDDD-BAC6852F37FA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B53DD3FD-8D98-4345-A50B-AE0052F996E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3064-42AB-BDDD-BAC6852F37FA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05DC4CFC-5DDB-4980-BF03-5F5F1DE7D8E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3064-42AB-BDDD-BAC6852F37FA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C14E6863-55EA-4DE1-A258-95519680C58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3064-42AB-BDDD-BAC6852F37FA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B83C548A-79E3-455A-AB43-BEA281B38E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3064-42AB-BDDD-BAC6852F37FA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88DEF6EA-A874-40E1-A97A-9252DCD0E7C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3064-42AB-BDDD-BAC6852F37FA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ct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E-3064-42AB-BDDD-BAC6852F37F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0"/>
              </c:ext>
            </c:extLst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'0001'!$AC$14:$AC$44</c:f>
              <c:numCache>
                <c:formatCode>0</c:formatCode>
                <c:ptCount val="31"/>
                <c:pt idx="0">
                  <c:v>171.42857142857142</c:v>
                </c:pt>
                <c:pt idx="1">
                  <c:v>428.57142857142856</c:v>
                </c:pt>
                <c:pt idx="2">
                  <c:v>428.57142857142856</c:v>
                </c:pt>
                <c:pt idx="3">
                  <c:v>428.57142857142856</c:v>
                </c:pt>
                <c:pt idx="4">
                  <c:v>428.57142857142856</c:v>
                </c:pt>
                <c:pt idx="5">
                  <c:v>428.57142857142856</c:v>
                </c:pt>
                <c:pt idx="6">
                  <c:v>428.57142857142856</c:v>
                </c:pt>
                <c:pt idx="7">
                  <c:v>257.14285714285711</c:v>
                </c:pt>
                <c:pt idx="8">
                  <c:v>0</c:v>
                </c:pt>
                <c:pt idx="9">
                  <c:v>163.63636363636363</c:v>
                </c:pt>
                <c:pt idx="10">
                  <c:v>218.18181818181819</c:v>
                </c:pt>
                <c:pt idx="11">
                  <c:v>272.72727272727275</c:v>
                </c:pt>
                <c:pt idx="12">
                  <c:v>272.72727272727275</c:v>
                </c:pt>
                <c:pt idx="13">
                  <c:v>272.72727272727275</c:v>
                </c:pt>
                <c:pt idx="14">
                  <c:v>272.72727272727275</c:v>
                </c:pt>
                <c:pt idx="15">
                  <c:v>272.72727272727275</c:v>
                </c:pt>
                <c:pt idx="16">
                  <c:v>272.72727272727275</c:v>
                </c:pt>
                <c:pt idx="17">
                  <c:v>272.72727272727275</c:v>
                </c:pt>
                <c:pt idx="18">
                  <c:v>535.88516746411483</c:v>
                </c:pt>
                <c:pt idx="19">
                  <c:v>535.88516746411483</c:v>
                </c:pt>
                <c:pt idx="20">
                  <c:v>426.79425837320571</c:v>
                </c:pt>
                <c:pt idx="21">
                  <c:v>263.15789473684208</c:v>
                </c:pt>
                <c:pt idx="22">
                  <c:v>263.15789473684208</c:v>
                </c:pt>
                <c:pt idx="23">
                  <c:v>263.15789473684208</c:v>
                </c:pt>
                <c:pt idx="24">
                  <c:v>263.15789473684208</c:v>
                </c:pt>
                <c:pt idx="25">
                  <c:v>263.15789473684208</c:v>
                </c:pt>
                <c:pt idx="26">
                  <c:v>263.15789473684208</c:v>
                </c:pt>
                <c:pt idx="27">
                  <c:v>263.15789473684208</c:v>
                </c:pt>
                <c:pt idx="28">
                  <c:v>263.15789473684208</c:v>
                </c:pt>
                <c:pt idx="29">
                  <c:v>105.26315789473684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'0001'!$AB$14:$AB$44</c15:f>
                <c15:dlblRangeCache>
                  <c:ptCount val="31"/>
                  <c:pt idx="0">
                    <c:v>A1</c:v>
                  </c:pt>
                  <c:pt idx="1">
                    <c:v>A1</c:v>
                  </c:pt>
                  <c:pt idx="2">
                    <c:v>A1</c:v>
                  </c:pt>
                  <c:pt idx="3">
                    <c:v>A1</c:v>
                  </c:pt>
                  <c:pt idx="4">
                    <c:v>A1</c:v>
                  </c:pt>
                  <c:pt idx="5">
                    <c:v>A1</c:v>
                  </c:pt>
                  <c:pt idx="6">
                    <c:v>A1</c:v>
                  </c:pt>
                  <c:pt idx="7">
                    <c:v>A1</c:v>
                  </c:pt>
                  <c:pt idx="8">
                    <c:v>0</c:v>
                  </c:pt>
                  <c:pt idx="9">
                    <c:v>A2</c:v>
                  </c:pt>
                  <c:pt idx="10">
                    <c:v>A2</c:v>
                  </c:pt>
                  <c:pt idx="11">
                    <c:v>A2</c:v>
                  </c:pt>
                  <c:pt idx="12">
                    <c:v>A2</c:v>
                  </c:pt>
                  <c:pt idx="13">
                    <c:v>A2</c:v>
                  </c:pt>
                  <c:pt idx="14">
                    <c:v>A2</c:v>
                  </c:pt>
                  <c:pt idx="15">
                    <c:v>A2</c:v>
                  </c:pt>
                  <c:pt idx="16">
                    <c:v>A2</c:v>
                  </c:pt>
                  <c:pt idx="17">
                    <c:v>A2</c:v>
                  </c:pt>
                  <c:pt idx="18">
                    <c:v>A2, A3</c:v>
                  </c:pt>
                  <c:pt idx="19">
                    <c:v>A2, A3</c:v>
                  </c:pt>
                  <c:pt idx="20">
                    <c:v>A2, A3</c:v>
                  </c:pt>
                  <c:pt idx="21">
                    <c:v>A3</c:v>
                  </c:pt>
                  <c:pt idx="22">
                    <c:v>A3</c:v>
                  </c:pt>
                  <c:pt idx="23">
                    <c:v>A3</c:v>
                  </c:pt>
                  <c:pt idx="24">
                    <c:v>A3</c:v>
                  </c:pt>
                  <c:pt idx="25">
                    <c:v>A3</c:v>
                  </c:pt>
                  <c:pt idx="26">
                    <c:v>A3</c:v>
                  </c:pt>
                  <c:pt idx="27">
                    <c:v>A3</c:v>
                  </c:pt>
                  <c:pt idx="28">
                    <c:v>A3</c:v>
                  </c:pt>
                  <c:pt idx="29">
                    <c:v>A3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F-3064-42AB-BDDD-BAC6852F37FA}"/>
            </c:ext>
          </c:extLst>
        </c:ser>
        <c:ser>
          <c:idx val="1"/>
          <c:order val="1"/>
          <c:tx>
            <c:strRef>
              <c:f>'0001'!$AD$13</c:f>
              <c:strCache>
                <c:ptCount val="1"/>
                <c:pt idx="0">
                  <c:v>Weekly Actual</c:v>
                </c:pt>
              </c:strCache>
            </c:strRef>
          </c:tx>
          <c:spPr>
            <a:solidFill>
              <a:schemeClr val="bg1">
                <a:lumMod val="85000"/>
              </a:schemeClr>
            </a:solidFill>
            <a:ln>
              <a:solidFill>
                <a:schemeClr val="bg1">
                  <a:lumMod val="85000"/>
                </a:schemeClr>
              </a:solidFill>
            </a:ln>
            <a:effectLst/>
          </c:spPr>
          <c:invertIfNegative val="0"/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'0001'!$AD$14:$AD$44</c:f>
              <c:numCache>
                <c:formatCode>0</c:formatCode>
                <c:ptCount val="31"/>
                <c:pt idx="0">
                  <c:v>300</c:v>
                </c:pt>
                <c:pt idx="1">
                  <c:v>250</c:v>
                </c:pt>
                <c:pt idx="2">
                  <c:v>250</c:v>
                </c:pt>
                <c:pt idx="3">
                  <c:v>250</c:v>
                </c:pt>
                <c:pt idx="4">
                  <c:v>250</c:v>
                </c:pt>
                <c:pt idx="5">
                  <c:v>250</c:v>
                </c:pt>
                <c:pt idx="6">
                  <c:v>375</c:v>
                </c:pt>
                <c:pt idx="7">
                  <c:v>375</c:v>
                </c:pt>
                <c:pt idx="8">
                  <c:v>375</c:v>
                </c:pt>
                <c:pt idx="9">
                  <c:v>275</c:v>
                </c:pt>
                <c:pt idx="10">
                  <c:v>200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50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67"/>
        <c:overlap val="-30"/>
        <c:axId val="566538120"/>
        <c:axId val="566539296"/>
      </c:barChart>
      <c:lineChart>
        <c:grouping val="standard"/>
        <c:varyColors val="0"/>
        <c:ser>
          <c:idx val="2"/>
          <c:order val="2"/>
          <c:tx>
            <c:strRef>
              <c:f>'0001'!$AE$13</c:f>
              <c:strCache>
                <c:ptCount val="1"/>
                <c:pt idx="0">
                  <c:v>Accumulated Plan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'0001'!$AE$14:$AE$44</c:f>
              <c:numCache>
                <c:formatCode>0</c:formatCode>
                <c:ptCount val="31"/>
                <c:pt idx="0">
                  <c:v>171.42857142857142</c:v>
                </c:pt>
                <c:pt idx="1">
                  <c:v>600</c:v>
                </c:pt>
                <c:pt idx="2">
                  <c:v>1028.5714285714284</c:v>
                </c:pt>
                <c:pt idx="3">
                  <c:v>1457.1428571428569</c:v>
                </c:pt>
                <c:pt idx="4">
                  <c:v>1885.7142857142853</c:v>
                </c:pt>
                <c:pt idx="5">
                  <c:v>2314.2857142857138</c:v>
                </c:pt>
                <c:pt idx="6">
                  <c:v>2742.8571428571422</c:v>
                </c:pt>
                <c:pt idx="7">
                  <c:v>2999.9999999999991</c:v>
                </c:pt>
                <c:pt idx="8">
                  <c:v>2999.9999999999991</c:v>
                </c:pt>
                <c:pt idx="9">
                  <c:v>3163.6363636363626</c:v>
                </c:pt>
                <c:pt idx="10">
                  <c:v>3381.8181818181806</c:v>
                </c:pt>
                <c:pt idx="11">
                  <c:v>3654.5454545454531</c:v>
                </c:pt>
                <c:pt idx="12">
                  <c:v>3927.2727272727261</c:v>
                </c:pt>
                <c:pt idx="13">
                  <c:v>4199.9999999999991</c:v>
                </c:pt>
                <c:pt idx="14">
                  <c:v>4472.7272727272721</c:v>
                </c:pt>
                <c:pt idx="15">
                  <c:v>4745.454545454545</c:v>
                </c:pt>
                <c:pt idx="16">
                  <c:v>5018.181818181818</c:v>
                </c:pt>
                <c:pt idx="17">
                  <c:v>5290.909090909091</c:v>
                </c:pt>
                <c:pt idx="18">
                  <c:v>5826.7942583732056</c:v>
                </c:pt>
                <c:pt idx="19">
                  <c:v>6362.6794258373202</c:v>
                </c:pt>
                <c:pt idx="20">
                  <c:v>6789.4736842105258</c:v>
                </c:pt>
                <c:pt idx="21">
                  <c:v>7052.6315789473683</c:v>
                </c:pt>
                <c:pt idx="22">
                  <c:v>7315.78947368421</c:v>
                </c:pt>
                <c:pt idx="23">
                  <c:v>7578.9473684210516</c:v>
                </c:pt>
                <c:pt idx="24">
                  <c:v>7842.1052631578932</c:v>
                </c:pt>
                <c:pt idx="25">
                  <c:v>8105.2631578947348</c:v>
                </c:pt>
                <c:pt idx="26">
                  <c:v>8368.4210526315765</c:v>
                </c:pt>
                <c:pt idx="27">
                  <c:v>8631.5789473684181</c:v>
                </c:pt>
                <c:pt idx="28">
                  <c:v>8894.7368421052597</c:v>
                </c:pt>
                <c:pt idx="29">
                  <c:v>8999.9999999999964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3064-42AB-BDDD-BAC6852F37FA}"/>
            </c:ext>
          </c:extLst>
        </c:ser>
        <c:ser>
          <c:idx val="3"/>
          <c:order val="3"/>
          <c:tx>
            <c:strRef>
              <c:f>'0001'!$AF$13</c:f>
              <c:strCache>
                <c:ptCount val="1"/>
                <c:pt idx="0">
                  <c:v>Accumulated Actual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dLbls>
            <c:delete val="1"/>
          </c:dLbls>
          <c:cat>
            <c:numRef>
              <c:f>'0001'!$AA$14:$AA$44</c:f>
              <c:numCache>
                <c:formatCode>yyyy\-mm\-dd</c:formatCode>
                <c:ptCount val="31"/>
                <c:pt idx="0">
                  <c:v>43908</c:v>
                </c:pt>
                <c:pt idx="1">
                  <c:v>43915</c:v>
                </c:pt>
                <c:pt idx="2">
                  <c:v>43922</c:v>
                </c:pt>
                <c:pt idx="3">
                  <c:v>43929</c:v>
                </c:pt>
                <c:pt idx="4">
                  <c:v>43936</c:v>
                </c:pt>
                <c:pt idx="5">
                  <c:v>43943</c:v>
                </c:pt>
                <c:pt idx="6">
                  <c:v>43950</c:v>
                </c:pt>
                <c:pt idx="7">
                  <c:v>43957</c:v>
                </c:pt>
                <c:pt idx="8">
                  <c:v>43964</c:v>
                </c:pt>
                <c:pt idx="9">
                  <c:v>43971</c:v>
                </c:pt>
                <c:pt idx="10">
                  <c:v>43978</c:v>
                </c:pt>
                <c:pt idx="11">
                  <c:v>43985</c:v>
                </c:pt>
                <c:pt idx="12">
                  <c:v>43992</c:v>
                </c:pt>
                <c:pt idx="13">
                  <c:v>43999</c:v>
                </c:pt>
                <c:pt idx="14">
                  <c:v>44006</c:v>
                </c:pt>
                <c:pt idx="15">
                  <c:v>44013</c:v>
                </c:pt>
                <c:pt idx="16">
                  <c:v>44020</c:v>
                </c:pt>
                <c:pt idx="17">
                  <c:v>44027</c:v>
                </c:pt>
                <c:pt idx="18">
                  <c:v>44034</c:v>
                </c:pt>
                <c:pt idx="19">
                  <c:v>44041</c:v>
                </c:pt>
                <c:pt idx="20">
                  <c:v>44048</c:v>
                </c:pt>
                <c:pt idx="21">
                  <c:v>44055</c:v>
                </c:pt>
                <c:pt idx="22">
                  <c:v>44062</c:v>
                </c:pt>
                <c:pt idx="23">
                  <c:v>44069</c:v>
                </c:pt>
                <c:pt idx="24">
                  <c:v>44076</c:v>
                </c:pt>
                <c:pt idx="25">
                  <c:v>44083</c:v>
                </c:pt>
                <c:pt idx="26">
                  <c:v>44090</c:v>
                </c:pt>
                <c:pt idx="27">
                  <c:v>44097</c:v>
                </c:pt>
                <c:pt idx="28">
                  <c:v>44104</c:v>
                </c:pt>
                <c:pt idx="29">
                  <c:v>44111</c:v>
                </c:pt>
              </c:numCache>
            </c:numRef>
          </c:cat>
          <c:val>
            <c:numRef>
              <c:f>'0001'!$AF$14:$AF$44</c:f>
              <c:numCache>
                <c:formatCode>0</c:formatCode>
                <c:ptCount val="31"/>
                <c:pt idx="0">
                  <c:v>300</c:v>
                </c:pt>
                <c:pt idx="1">
                  <c:v>550</c:v>
                </c:pt>
                <c:pt idx="2">
                  <c:v>800</c:v>
                </c:pt>
                <c:pt idx="3">
                  <c:v>1050</c:v>
                </c:pt>
                <c:pt idx="4">
                  <c:v>1300</c:v>
                </c:pt>
                <c:pt idx="5">
                  <c:v>1550</c:v>
                </c:pt>
                <c:pt idx="6">
                  <c:v>1925</c:v>
                </c:pt>
                <c:pt idx="7">
                  <c:v>2300</c:v>
                </c:pt>
                <c:pt idx="8">
                  <c:v>2675</c:v>
                </c:pt>
                <c:pt idx="9">
                  <c:v>2950</c:v>
                </c:pt>
                <c:pt idx="10">
                  <c:v>3150</c:v>
                </c:pt>
                <c:pt idx="11">
                  <c:v>3150</c:v>
                </c:pt>
                <c:pt idx="12">
                  <c:v>3150</c:v>
                </c:pt>
                <c:pt idx="13">
                  <c:v>3150</c:v>
                </c:pt>
                <c:pt idx="14">
                  <c:v>3150</c:v>
                </c:pt>
                <c:pt idx="15">
                  <c:v>3200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3064-42AB-BDDD-BAC6852F37FA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566535768"/>
        <c:axId val="566537728"/>
      </c:lineChart>
      <c:catAx>
        <c:axId val="566538120"/>
        <c:scaling>
          <c:orientation val="minMax"/>
        </c:scaling>
        <c:delete val="0"/>
        <c:axPos val="b"/>
        <c:numFmt formatCode="yyyy\-mm\-dd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9296"/>
        <c:crosses val="autoZero"/>
        <c:auto val="0"/>
        <c:lblAlgn val="ctr"/>
        <c:lblOffset val="100"/>
        <c:noMultiLvlLbl val="0"/>
      </c:catAx>
      <c:valAx>
        <c:axId val="56653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8120"/>
        <c:crosses val="autoZero"/>
        <c:crossBetween val="between"/>
      </c:valAx>
      <c:valAx>
        <c:axId val="566537728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6535768"/>
        <c:crosses val="max"/>
        <c:crossBetween val="between"/>
      </c:valAx>
      <c:catAx>
        <c:axId val="566535768"/>
        <c:scaling>
          <c:orientation val="minMax"/>
        </c:scaling>
        <c:delete val="1"/>
        <c:axPos val="b"/>
        <c:numFmt formatCode="yyyy\-mm\-dd" sourceLinked="1"/>
        <c:majorTickMark val="out"/>
        <c:minorTickMark val="none"/>
        <c:tickLblPos val="nextTo"/>
        <c:crossAx val="566537728"/>
        <c:crosses val="autoZero"/>
        <c:auto val="0"/>
        <c:lblAlgn val="ctr"/>
        <c:lblOffset val="100"/>
        <c:tickLblSkip val="1"/>
        <c:tickMarkSkip val="1"/>
        <c:noMultiLvlLbl val="1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0667419367642963E-3"/>
          <c:y val="0.90965266244479004"/>
          <c:w val="0.68250330957683791"/>
          <c:h val="9.03474255639976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Overall</a:t>
            </a:r>
            <a:r>
              <a:rPr lang="en-US" baseline="0"/>
              <a:t> Progress (%)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percentStacked"/>
        <c:varyColors val="0"/>
        <c:ser>
          <c:idx val="0"/>
          <c:order val="0"/>
          <c:tx>
            <c:v>Completed</c:v>
          </c:tx>
          <c:spPr>
            <a:solidFill>
              <a:srgbClr val="00B05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'0001'!$N$5:$O$5</c:f>
              <c:numCache>
                <c:formatCode>0.0%</c:formatCode>
                <c:ptCount val="2"/>
                <c:pt idx="0">
                  <c:v>0.52727272727272723</c:v>
                </c:pt>
                <c:pt idx="1">
                  <c:v>0.35555555555555568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D77-430F-A14C-5508EF1A2B32}"/>
            </c:ext>
          </c:extLst>
        </c:ser>
        <c:ser>
          <c:idx val="1"/>
          <c:order val="1"/>
          <c:tx>
            <c:v>Remaining</c:v>
          </c:tx>
          <c:spPr>
            <a:solidFill>
              <a:schemeClr val="bg1">
                <a:lumMod val="75000"/>
              </a:schemeClr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2-8D77-430F-A14C-5508EF1A2B32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Lit>
              <c:ptCount val="2"/>
              <c:pt idx="0">
                <c:v>Planned</c:v>
              </c:pt>
              <c:pt idx="1">
                <c:v>Actual</c:v>
              </c:pt>
            </c:strLit>
          </c:cat>
          <c:val>
            <c:numRef>
              <c:f>'0001'!$V$2:$V$3</c:f>
              <c:numCache>
                <c:formatCode>0.0%</c:formatCode>
                <c:ptCount val="2"/>
                <c:pt idx="0">
                  <c:v>0.47272727272727277</c:v>
                </c:pt>
                <c:pt idx="1">
                  <c:v>0.64444444444444438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D77-430F-A14C-5508EF1A2B32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48"/>
        <c:overlap val="100"/>
        <c:axId val="1873093392"/>
        <c:axId val="437418064"/>
      </c:barChart>
      <c:catAx>
        <c:axId val="1873093392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7418064"/>
        <c:crosses val="autoZero"/>
        <c:auto val="1"/>
        <c:lblAlgn val="ctr"/>
        <c:lblOffset val="100"/>
        <c:noMultiLvlLbl val="0"/>
      </c:catAx>
      <c:valAx>
        <c:axId val="4374180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73093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 horizontalDpi="0" verticalDpi="0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704851</xdr:colOff>
      <xdr:row>3</xdr:row>
      <xdr:rowOff>8180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255526" y="151958"/>
          <a:ext cx="1536175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2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3084" name="Button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2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2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3087" name="Button 15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2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2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3091" name="Button 19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2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3095" name="Button 23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2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1</xdr:row>
          <xdr:rowOff>19050</xdr:rowOff>
        </xdr:from>
        <xdr:to>
          <xdr:col>11</xdr:col>
          <xdr:colOff>1651000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49696</xdr:colOff>
      <xdr:row>0</xdr:row>
      <xdr:rowOff>162263</xdr:rowOff>
    </xdr:from>
    <xdr:to>
      <xdr:col>4</xdr:col>
      <xdr:colOff>742388</xdr:colOff>
      <xdr:row>2</xdr:row>
      <xdr:rowOff>19954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/>
      </xdr:blipFill>
      <xdr:spPr>
        <a:xfrm>
          <a:off x="5267739" y="162263"/>
          <a:ext cx="1446410" cy="396061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19050</xdr:rowOff>
        </xdr:from>
        <xdr:to>
          <xdr:col>6</xdr:col>
          <xdr:colOff>1504950</xdr:colOff>
          <xdr:row>3</xdr:row>
          <xdr:rowOff>203200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New Trade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38100</xdr:colOff>
          <xdr:row>1</xdr:row>
          <xdr:rowOff>19050</xdr:rowOff>
        </xdr:from>
        <xdr:to>
          <xdr:col>8</xdr:col>
          <xdr:colOff>1314450</xdr:colOff>
          <xdr:row>3</xdr:row>
          <xdr:rowOff>196850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5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Reports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14</xdr:col>
      <xdr:colOff>559735</xdr:colOff>
      <xdr:row>3</xdr:row>
      <xdr:rowOff>19386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6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6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6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6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7173" name="Button 5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6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7174" name="Button 6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6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69850</xdr:colOff>
          <xdr:row>4</xdr:row>
          <xdr:rowOff>38100</xdr:rowOff>
        </xdr:from>
        <xdr:to>
          <xdr:col>27</xdr:col>
          <xdr:colOff>1028700</xdr:colOff>
          <xdr:row>6</xdr:row>
          <xdr:rowOff>158750</xdr:rowOff>
        </xdr:to>
        <xdr:sp macro="" textlink="">
          <xdr:nvSpPr>
            <xdr:cNvPr id="7179" name="Button 11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6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597426</xdr:colOff>
      <xdr:row>0</xdr:row>
      <xdr:rowOff>151958</xdr:rowOff>
    </xdr:from>
    <xdr:to>
      <xdr:col>15</xdr:col>
      <xdr:colOff>10087</xdr:colOff>
      <xdr:row>3</xdr:row>
      <xdr:rowOff>16211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8839726" y="151958"/>
          <a:ext cx="1494900" cy="407178"/>
        </a:xfrm>
        <a:prstGeom prst="rect">
          <a:avLst/>
        </a:prstGeom>
      </xdr:spPr>
    </xdr:pic>
    <xdr:clientData/>
  </xdr:twoCellAnchor>
  <xdr:twoCellAnchor>
    <xdr:from>
      <xdr:col>1</xdr:col>
      <xdr:colOff>40820</xdr:colOff>
      <xdr:row>15</xdr:row>
      <xdr:rowOff>40822</xdr:rowOff>
    </xdr:from>
    <xdr:to>
      <xdr:col>14</xdr:col>
      <xdr:colOff>680356</xdr:colOff>
      <xdr:row>39</xdr:row>
      <xdr:rowOff>149679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201706</xdr:colOff>
      <xdr:row>7</xdr:row>
      <xdr:rowOff>22412</xdr:rowOff>
    </xdr:from>
    <xdr:to>
      <xdr:col>8</xdr:col>
      <xdr:colOff>369794</xdr:colOff>
      <xdr:row>14</xdr:row>
      <xdr:rowOff>156883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1</xdr:row>
          <xdr:rowOff>25400</xdr:rowOff>
        </xdr:from>
        <xdr:to>
          <xdr:col>26</xdr:col>
          <xdr:colOff>1003300</xdr:colOff>
          <xdr:row>3</xdr:row>
          <xdr:rowOff>177800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Initialize Trade 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1</xdr:row>
          <xdr:rowOff>19050</xdr:rowOff>
        </xdr:from>
        <xdr:to>
          <xdr:col>22</xdr:col>
          <xdr:colOff>1174750</xdr:colOff>
          <xdr:row>3</xdr:row>
          <xdr:rowOff>165100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Weekly Update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44450</xdr:colOff>
          <xdr:row>4</xdr:row>
          <xdr:rowOff>38100</xdr:rowOff>
        </xdr:from>
        <xdr:to>
          <xdr:col>26</xdr:col>
          <xdr:colOff>1003300</xdr:colOff>
          <xdr:row>6</xdr:row>
          <xdr:rowOff>165100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  <a:ext uri="{FF2B5EF4-FFF2-40B4-BE49-F238E27FC236}">
                  <a16:creationId xmlns:a16="http://schemas.microsoft.com/office/drawing/2014/main" id="{00000000-0008-0000-0700-000003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Redistribute Production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25400</xdr:colOff>
          <xdr:row>4</xdr:row>
          <xdr:rowOff>31750</xdr:rowOff>
        </xdr:from>
        <xdr:to>
          <xdr:col>22</xdr:col>
          <xdr:colOff>1174750</xdr:colOff>
          <xdr:row>6</xdr:row>
          <xdr:rowOff>152400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7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Week To End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44450</xdr:colOff>
          <xdr:row>1</xdr:row>
          <xdr:rowOff>25400</xdr:rowOff>
        </xdr:from>
        <xdr:to>
          <xdr:col>27</xdr:col>
          <xdr:colOff>1003300</xdr:colOff>
          <xdr:row>3</xdr:row>
          <xdr:rowOff>177800</xdr:rowOff>
        </xdr:to>
        <xdr:sp macro="" textlink="">
          <xdr:nvSpPr>
            <xdr:cNvPr id="11269" name="Button 5" hidden="1">
              <a:extLst>
                <a:ext uri="{63B3BB69-23CF-44E3-9099-C40C66FF867C}">
                  <a14:compatExt spid="_x0000_s11269"/>
                </a:ext>
                <a:ext uri="{FF2B5EF4-FFF2-40B4-BE49-F238E27FC236}">
                  <a16:creationId xmlns:a16="http://schemas.microsoft.com/office/drawing/2014/main" id="{00000000-0008-0000-0700-000005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Change Start Date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6350</xdr:colOff>
          <xdr:row>10</xdr:row>
          <xdr:rowOff>12700</xdr:rowOff>
        </xdr:from>
        <xdr:to>
          <xdr:col>19</xdr:col>
          <xdr:colOff>1536700</xdr:colOff>
          <xdr:row>10</xdr:row>
          <xdr:rowOff>177800</xdr:rowOff>
        </xdr:to>
        <xdr:sp macro="" textlink="">
          <xdr:nvSpPr>
            <xdr:cNvPr id="11270" name="Button 6" hidden="1">
              <a:extLst>
                <a:ext uri="{63B3BB69-23CF-44E3-9099-C40C66FF867C}">
                  <a14:compatExt spid="_x0000_s11270"/>
                </a:ext>
                <a:ext uri="{FF2B5EF4-FFF2-40B4-BE49-F238E27FC236}">
                  <a16:creationId xmlns:a16="http://schemas.microsoft.com/office/drawing/2014/main" id="{00000000-0008-0000-0700-000006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Takeoff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57150</xdr:colOff>
          <xdr:row>4</xdr:row>
          <xdr:rowOff>38100</xdr:rowOff>
        </xdr:from>
        <xdr:to>
          <xdr:col>27</xdr:col>
          <xdr:colOff>1016000</xdr:colOff>
          <xdr:row>6</xdr:row>
          <xdr:rowOff>158750</xdr:rowOff>
        </xdr:to>
        <xdr:sp macro="" textlink="">
          <xdr:nvSpPr>
            <xdr:cNvPr id="11271" name="Button 7" hidden="1">
              <a:extLst>
                <a:ext uri="{63B3BB69-23CF-44E3-9099-C40C66FF867C}">
                  <a14:compatExt spid="_x0000_s11271"/>
                </a:ext>
                <a:ext uri="{FF2B5EF4-FFF2-40B4-BE49-F238E27FC236}">
                  <a16:creationId xmlns:a16="http://schemas.microsoft.com/office/drawing/2014/main" id="{00000000-0008-0000-0700-000007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Assemble Quantity Links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F72F9B72-8851-483D-B756-69AB9BA712BC}" autoFormatId="16" applyNumberFormats="0" applyBorderFormats="0" applyFontFormats="0" applyPatternFormats="0" applyAlignmentFormats="0" applyWidthHeightFormats="0">
  <queryTableRefresh nextId="24">
    <queryTableFields count="23">
      <queryTableField id="1" name="Trade Name" tableColumnId="1"/>
      <queryTableField id="2" name="Date" tableColumnId="2"/>
      <queryTableField id="3" name="Primary Areas" tableColumnId="3"/>
      <queryTableField id="4" name="Weekly Plan" tableColumnId="4"/>
      <queryTableField id="5" name="Weekly Actual" tableColumnId="5"/>
      <queryTableField id="6" name="Accumulated Plan" tableColumnId="6"/>
      <queryTableField id="7" name="Accumulated Actual" tableColumnId="7"/>
      <queryTableField id="8" name="WP_ABC" tableColumnId="8"/>
      <queryTableField id="9" name="WA_ABC" tableColumnId="9"/>
      <queryTableField id="10" name="WP_ACS" tableColumnId="10"/>
      <queryTableField id="11" name="WA_ACS" tableColumnId="11"/>
      <queryTableField id="12" name="WP_AL1" tableColumnId="12"/>
      <queryTableField id="13" name="WA_AL1" tableColumnId="13"/>
      <queryTableField id="14" name="WP_HBase" tableColumnId="14"/>
      <queryTableField id="15" name="WA_HBase" tableColumnId="15"/>
      <queryTableField id="16" name="WP_HWST" tableColumnId="16"/>
      <queryTableField id="17" name="WA_HWST" tableColumnId="17"/>
      <queryTableField id="18" name="WP_HWSR" tableColumnId="18"/>
      <queryTableField id="19" name="WA_HWSR" tableColumnId="19"/>
      <queryTableField id="20" name="WP_HL2" tableColumnId="20"/>
      <queryTableField id="21" name="WA_HL2" tableColumnId="21"/>
      <queryTableField id="22" name="WP_HBCeil" tableColumnId="22"/>
      <queryTableField id="23" name="WA_HBCeil" tableColumnId="2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78B2D44-49C7-4B85-8A8E-F1A74C94ADC4}" name="Append1" displayName="Append1" ref="A1:W25" tableType="queryTable" totalsRowShown="0">
  <autoFilter ref="A1:W25" xr:uid="{CC74BEA8-D136-4FD3-A435-D9EE8EF7721D}"/>
  <tableColumns count="23">
    <tableColumn id="1" xr3:uid="{73F017D5-9CCA-4C6A-AAB7-06F18A7ABCF6}" uniqueName="1" name="Trade Name" queryTableFieldId="1"/>
    <tableColumn id="2" xr3:uid="{122939C1-D04C-4F40-B1BE-FE078E0142E6}" uniqueName="2" name="Date" queryTableFieldId="2"/>
    <tableColumn id="3" xr3:uid="{61F49256-7561-4FC3-A6B0-1AA283FFF22C}" uniqueName="3" name="Primary Areas" queryTableFieldId="3"/>
    <tableColumn id="4" xr3:uid="{B1CF872B-D90E-4DE7-9814-7B74EDBE66D6}" uniqueName="4" name="Weekly Plan" queryTableFieldId="4"/>
    <tableColumn id="5" xr3:uid="{15B0F581-E585-41D8-BB9E-00957F648684}" uniqueName="5" name="Weekly Actual" queryTableFieldId="5"/>
    <tableColumn id="6" xr3:uid="{8B7A5D68-0CEC-4D44-B306-238913D3BE30}" uniqueName="6" name="Accumulated Plan" queryTableFieldId="6"/>
    <tableColumn id="7" xr3:uid="{6F6A246E-47A9-48F3-BE98-2435B335FB3D}" uniqueName="7" name="Accumulated Actual" queryTableFieldId="7"/>
    <tableColumn id="8" xr3:uid="{66062C5E-415D-4870-91FC-3884A91B5C39}" uniqueName="8" name="WP_ABC" queryTableFieldId="8"/>
    <tableColumn id="9" xr3:uid="{C89C34C0-540C-438B-95E9-1E55A0A057AC}" uniqueName="9" name="WA_ABC" queryTableFieldId="9"/>
    <tableColumn id="10" xr3:uid="{C7F51AE7-D360-4211-BC80-F83A4652C0B2}" uniqueName="10" name="WP_ACS" queryTableFieldId="10"/>
    <tableColumn id="11" xr3:uid="{CB7B5D25-2380-4066-A2E3-06D7B454B7A8}" uniqueName="11" name="WA_ACS" queryTableFieldId="11"/>
    <tableColumn id="12" xr3:uid="{47AE8717-5D3F-4844-B4B0-4E7F56594B1B}" uniqueName="12" name="WP_AL1" queryTableFieldId="12"/>
    <tableColumn id="13" xr3:uid="{789F3016-B2DC-4753-B684-300181FDFAB0}" uniqueName="13" name="WA_AL1" queryTableFieldId="13"/>
    <tableColumn id="14" xr3:uid="{CEDF9E86-2DFB-4BA7-997E-FADE35B1143A}" uniqueName="14" name="WP_HBase" queryTableFieldId="14"/>
    <tableColumn id="15" xr3:uid="{801851E1-635D-4087-A067-8CB49C7E32E9}" uniqueName="15" name="WA_HBase" queryTableFieldId="15"/>
    <tableColumn id="16" xr3:uid="{55645C1F-0C95-4B53-B682-0480A47E9BBC}" uniqueName="16" name="WP_HWST" queryTableFieldId="16"/>
    <tableColumn id="17" xr3:uid="{38B25818-DB89-4D46-80E0-48CBBB6F89E1}" uniqueName="17" name="WA_HWST" queryTableFieldId="17"/>
    <tableColumn id="18" xr3:uid="{D17AAD4F-DA0A-4107-A05B-D384A3E47AD0}" uniqueName="18" name="WP_HWSR" queryTableFieldId="18"/>
    <tableColumn id="19" xr3:uid="{93B81553-BEFC-4F6B-B243-518F4E25D71A}" uniqueName="19" name="WA_HWSR" queryTableFieldId="19"/>
    <tableColumn id="20" xr3:uid="{1B96ABFA-991B-467D-9930-B1D1AD60975F}" uniqueName="20" name="WP_HL2" queryTableFieldId="20"/>
    <tableColumn id="21" xr3:uid="{67F07178-1522-446F-8243-516D5FB0B4B7}" uniqueName="21" name="WA_HL2" queryTableFieldId="21"/>
    <tableColumn id="22" xr3:uid="{F11A9A00-E1FF-4C27-BFB0-01AA073C7834}" uniqueName="22" name="WP_HBCeil" queryTableFieldId="22"/>
    <tableColumn id="23" xr3:uid="{45A92860-11DE-4860-8847-8D84F6137A7D}" uniqueName="23" name="WA_HBCeil" queryTableFieldId="2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372D9C0-339B-458D-BC70-3D749C5C1984}" name="Input_Template" displayName="Input_Template" ref="R13:X16" totalsRowShown="0" headerRowDxfId="118" dataDxfId="117">
  <autoFilter ref="R13:X16" xr:uid="{FF2C9E8B-1A62-479C-AF68-79B236C0B7BB}"/>
  <tableColumns count="7">
    <tableColumn id="1" xr3:uid="{727C6146-39EA-4E15-8783-53CAA87FAF36}" name="Zone ID" dataDxfId="116"/>
    <tableColumn id="2" xr3:uid="{2CA65110-6DD7-46D8-BFC2-5EB0C0E57567}" name="Description" dataDxfId="115"/>
    <tableColumn id="3" xr3:uid="{12D64F80-6A69-494F-BF8F-E326D34A185A}" name="Short Description" dataDxfId="114"/>
    <tableColumn id="4" xr3:uid="{71F3F5B2-8F6B-4985-B1FC-5A9D60095474}" name="Start Date" dataDxfId="113"/>
    <tableColumn id="5" xr3:uid="{57258378-8FED-4727-89AC-D938CB414B7B}" name="Finish Date" dataDxfId="112"/>
    <tableColumn id="6" xr3:uid="{ED4D3C9E-A6C7-420C-BE38-7AA6F80835A2}" name="Total" dataCellStyle="Normal"/>
    <tableColumn id="7" xr3:uid="{AC25D65C-9FB4-4F8A-9A72-57F6F2EC5CEF}" name="Completed Total" dataCellStyle="Normal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3D67279-AB06-4920-88E5-5905680BC28E}" name="Output_Template" displayName="Output_Template" ref="AA13:AL43" totalsRowShown="0" headerRowDxfId="111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3F9A169-BFE8-4436-A535-BADFC0E7BD6C}" name="Date" dataDxfId="110">
      <calculatedColumnFormula>IF(AA13 = "Date", $S$4, AA13+7)</calculatedColumnFormula>
    </tableColumn>
    <tableColumn id="6" xr3:uid="{5740AC03-CF53-4345-8667-6AC0CA6843D0}" name="Primary Areas" dataDxfId="109">
      <calculatedColumnFormula>PrimaryAreas(3)</calculatedColumnFormula>
    </tableColumn>
    <tableColumn id="2" xr3:uid="{AF232D3D-EC3F-4232-BA5D-1427173C2D6A}" name="Weekly Plan" dataDxfId="108">
      <calculatedColumnFormula xml:space="preserve"> IF(#REF!="", 0,#REF!)+ IF(#REF!="", 0,#REF!)+ IF(#REF!="", 0,#REF!)</calculatedColumnFormula>
    </tableColumn>
    <tableColumn id="3" xr3:uid="{B28103F6-7596-4848-9F0D-3E4A9E5CBEFE}" name="Weekly Actual" dataDxfId="107">
      <calculatedColumnFormula>IF(AND(ISBLANK(#REF!),ISBLANK(#REF!),ISBLANK(#REF!)),"",#REF! +#REF!+#REF!)</calculatedColumnFormula>
    </tableColumn>
    <tableColumn id="4" xr3:uid="{EF1C6009-71E6-491B-B64F-04049D2D9103}" name="Accumulated Plan" dataDxfId="106">
      <calculatedColumnFormula>SUM($AC$14:AC14)</calculatedColumnFormula>
    </tableColumn>
    <tableColumn id="5" xr3:uid="{442DAB73-1233-4C61-8DE9-3B44CE2C5D69}" name="Accumulated Actual" dataDxfId="105">
      <calculatedColumnFormula>IF(AD14="",NA(),SUM($AD$14:AD14))</calculatedColumnFormula>
    </tableColumn>
    <tableColumn id="43" xr3:uid="{CE31DBAF-57B0-4D4D-852A-B07516A73A41}" name="WP_A1" dataDxfId="104">
      <calculatedColumnFormula>WeeklyPlanned(Output_Template[[#Headers],[WP_A1]], Output_Template[[#This Row],[Date]])</calculatedColumnFormula>
    </tableColumn>
    <tableColumn id="44" xr3:uid="{A0857F89-2BC6-42D6-B02F-90D9272451CA}" name="WA_A1" dataDxfId="103"/>
    <tableColumn id="45" xr3:uid="{2A74D439-B21B-40DD-BB55-7D2C2B18629E}" name="WP_A2" dataDxfId="102">
      <calculatedColumnFormula>WeeklyPlanned(Output_Template[[#Headers],[WP_A2]], Output_Template[[#This Row],[Date]])</calculatedColumnFormula>
    </tableColumn>
    <tableColumn id="46" xr3:uid="{670DB326-434A-466C-9E3C-6A8FE180F21F}" name="WA_A2" dataDxfId="101"/>
    <tableColumn id="47" xr3:uid="{B6798EC6-DE2D-49BB-961E-220FED1F6F10}" name="WP_A3" dataDxfId="100">
      <calculatedColumnFormula>WeeklyPlanned(Output_Template[[#Headers],[WP_A3]], Output_Template[[#This Row],[Date]])</calculatedColumnFormula>
    </tableColumn>
    <tableColumn id="48" xr3:uid="{B2CB6DA2-6E53-4BAC-881B-229E451DFCE0}" name="WA_A3" dataDxfId="99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98">
  <autoFilter ref="H2:H5" xr:uid="{1041DC80-58D6-4308-9DE1-A4EC8AAD3C20}"/>
  <tableColumns count="1">
    <tableColumn id="1" xr3:uid="{0E6D3E77-7CB7-40A1-BCA6-DDC8164AAEB9}" name="Holidays" dataDxfId="97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1961F0B-BE2F-4A9C-AA89-0FCFBAEE8904}" name="BI_TempTable" displayName="BI_TempTable" ref="AB1:AB2" insertRow="1" totalsRowShown="0">
  <autoFilter ref="AB1:AB2" xr:uid="{0E9BD23B-AD54-4271-BF5B-E1D8F894E072}"/>
  <tableColumns count="1">
    <tableColumn id="1" xr3:uid="{B16027F3-184C-44BE-9F3A-5FA16442B6F1}" name="Trade Nam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D364F5FF-D9D1-4A53-914D-C420D6033342}" name="Divisions_Table" displayName="Divisions_Table" ref="J2:J13" totalsRowShown="0">
  <autoFilter ref="J2:J13" xr:uid="{D7DBCDD8-32FF-4C69-87E0-BEA49D319D5F}"/>
  <tableColumns count="1">
    <tableColumn id="1" xr3:uid="{A4D8A257-5337-46AB-A926-83D4E66C6A85}" name="Divisions"/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436082E-BF71-4C06-B7D4-0F71E39EC28D}" name="Input_0501" displayName="Input_0501" ref="R13:X21" totalsRowShown="0" headerRowDxfId="96" dataDxfId="95">
  <autoFilter ref="R13:X21" xr:uid="{FF2C9E8B-1A62-479C-AF68-79B236C0B7BB}"/>
  <tableColumns count="7">
    <tableColumn id="1" xr3:uid="{9FED2BA1-A1A7-4513-A20F-F09DB113155D}" name="Zone ID" dataDxfId="94"/>
    <tableColumn id="2" xr3:uid="{8B67A205-5329-400B-84DC-CB06A032CF16}" name="Description" dataDxfId="93"/>
    <tableColumn id="3" xr3:uid="{2253D560-C30C-43DE-ABAB-BFAFD145DF40}" name="Short Description" dataDxfId="92"/>
    <tableColumn id="4" xr3:uid="{09E57ADB-1BEB-4CFB-B160-A9C7ADA56DE0}" name="Start Date" dataDxfId="91"/>
    <tableColumn id="5" xr3:uid="{B704EAFC-B4AE-45F3-A5AC-5189060C6D42}" name="Finish Date" dataDxfId="90"/>
    <tableColumn id="6" xr3:uid="{FAFABCDE-D7F7-45A9-83E7-80ADC6F01B0B}" name="Total" dataDxfId="89" dataCellStyle="Normal"/>
    <tableColumn id="7" xr3:uid="{F8D69A8D-7550-4939-9D63-599172BCFFFD}" name="Completed Total" dataDxfId="88" dataCellStyle="Normal"/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CB1F97-452B-4721-BF2B-4A70A4A093ED}" name="Output_0501" displayName="Output_0501" ref="AA13:AV45" totalsRowShown="0" headerRowDxfId="87">
  <autoFilter ref="AA13:AV45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</autoFilter>
  <tableColumns count="22">
    <tableColumn id="1" xr3:uid="{B7DD10DA-7AEC-4160-AFBF-7A26D743CC90}" name="Date" dataDxfId="86">
      <calculatedColumnFormula>IF(AA13 = "Date", $S$4, AA13+7)</calculatedColumnFormula>
    </tableColumn>
    <tableColumn id="6" xr3:uid="{DE271CBB-C0FC-482D-929A-C21AEFAC32E4}" name="Primary Areas" dataDxfId="85">
      <calculatedColumnFormula>PrimaryAreas(8)</calculatedColumnFormula>
    </tableColumn>
    <tableColumn id="2" xr3:uid="{71EE47CC-75E0-49E1-B527-E1364059B0A6}" name="Weekly Plan" dataDxfId="84">
      <calculatedColumnFormula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calculatedColumnFormula>
    </tableColumn>
    <tableColumn id="3" xr3:uid="{E822A66C-B1D0-406C-8BB1-34FCD74DBB40}" name="Weekly Actual" dataDxfId="83">
      <calculatedColumnFormula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calculatedColumnFormula>
    </tableColumn>
    <tableColumn id="4" xr3:uid="{71E8F12C-9FE6-439E-A3BD-D53C012D738F}" name="Accumulated Plan" dataDxfId="82">
      <calculatedColumnFormula>SUM($AC$14:AC14)</calculatedColumnFormula>
    </tableColumn>
    <tableColumn id="5" xr3:uid="{CB7FAB5B-BEAB-4D4A-BD18-57DE0B5DE266}" name="Accumulated Actual" dataDxfId="81">
      <calculatedColumnFormula>IF(AD14="",NA(),SUM($AD$14:AD14))</calculatedColumnFormula>
    </tableColumn>
    <tableColumn id="7" xr3:uid="{2A1CBA5C-29D6-4EB1-8BAA-AF2C064B4A02}" name="WP_ABC" dataDxfId="80">
      <calculatedColumnFormula>WeeklyPlanned(Output_0501[[#Headers],[WP_ABC]], Output_0501[[#This Row],[Date]])</calculatedColumnFormula>
    </tableColumn>
    <tableColumn id="8" xr3:uid="{04DC9374-2B37-4BF5-AA39-F11FC0149281}" name="WA_ABC" dataDxfId="79"/>
    <tableColumn id="9" xr3:uid="{4F88CC2C-A480-4C5B-BA01-24B210AB447A}" name="WP_ACS" dataDxfId="78">
      <calculatedColumnFormula>WeeklyPlanned(Output_0501[[#Headers],[WP_ACS]], Output_0501[[#This Row],[Date]])</calculatedColumnFormula>
    </tableColumn>
    <tableColumn id="10" xr3:uid="{48C24C77-4D2B-435F-BBC2-FAD4AD540AB6}" name="WA_ACS" dataDxfId="77"/>
    <tableColumn id="11" xr3:uid="{75D5C587-305D-4077-9FAA-C79F65923E57}" name="WP_AL1" dataDxfId="76">
      <calculatedColumnFormula>WeeklyPlanned(Output_0501[[#Headers],[WP_AL1]], Output_0501[[#This Row],[Date]])</calculatedColumnFormula>
    </tableColumn>
    <tableColumn id="12" xr3:uid="{8077796C-E6FC-4EE3-89F7-798709387F7F}" name="WA_AL1" dataDxfId="75"/>
    <tableColumn id="13" xr3:uid="{792F3323-B0E8-4776-9689-FD45E57B619D}" name="WP_HBase" dataDxfId="74">
      <calculatedColumnFormula>WeeklyPlanned(Output_0501[[#Headers],[WP_HBase]], Output_0501[[#This Row],[Date]])</calculatedColumnFormula>
    </tableColumn>
    <tableColumn id="14" xr3:uid="{9E7E74B1-B432-4576-8F57-2DCED559C004}" name="WA_HBase" dataDxfId="73"/>
    <tableColumn id="15" xr3:uid="{6C8A9406-B3E7-4378-8961-19DE99A823B8}" name="WP_HWST" dataDxfId="72">
      <calculatedColumnFormula>WeeklyPlanned(Output_0501[[#Headers],[WP_HWST]], Output_0501[[#This Row],[Date]])</calculatedColumnFormula>
    </tableColumn>
    <tableColumn id="16" xr3:uid="{85632008-1A06-41BF-96BF-DF4F2942C8E3}" name="WA_HWST" dataDxfId="71"/>
    <tableColumn id="17" xr3:uid="{4ED0746A-56E1-4B9A-8D82-621AD6A805EE}" name="WP_HWSR" dataDxfId="70">
      <calculatedColumnFormula>WeeklyPlanned(Output_0501[[#Headers],[WP_HWSR]], Output_0501[[#This Row],[Date]])</calculatedColumnFormula>
    </tableColumn>
    <tableColumn id="18" xr3:uid="{616A2447-10D3-4C5E-BE98-C8594A351722}" name="WA_HWSR" dataDxfId="69"/>
    <tableColumn id="19" xr3:uid="{13711C20-54F0-41FE-93CC-92DB5745C53C}" name="WP_HL2" dataDxfId="68">
      <calculatedColumnFormula>WeeklyPlanned(Output_0501[[#Headers],[WP_HL2]], Output_0501[[#This Row],[Date]])</calculatedColumnFormula>
    </tableColumn>
    <tableColumn id="20" xr3:uid="{AE155A80-4969-4902-8DAF-8DC808584420}" name="WA_HL2" dataDxfId="67"/>
    <tableColumn id="21" xr3:uid="{186F9C43-2DF5-47B7-A779-6A42D4C3454E}" name="WP_HBCeil" dataDxfId="66">
      <calculatedColumnFormula>WeeklyPlanned(Output_0501[[#Headers],[WP_HBCeil]], Output_0501[[#This Row],[Date]])</calculatedColumnFormula>
    </tableColumn>
    <tableColumn id="22" xr3:uid="{7F8ADB3E-C083-4C51-8B5A-9EACC6ABF4A0}" name="WA_HBCeil" dataDxfId="65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253C2BA-0A0F-4D40-9EC8-12AA7E8143E5}" name="Input_0001" displayName="Input_0001" ref="R13:X16" totalsRowShown="0" headerRowDxfId="64" dataDxfId="63">
  <autoFilter ref="R13:X16" xr:uid="{FF2C9E8B-1A62-479C-AF68-79B236C0B7BB}"/>
  <tableColumns count="7">
    <tableColumn id="1" xr3:uid="{98B6CEFA-F45C-41F6-AA4B-12A3C8376FF3}" name="Zone ID" dataDxfId="62"/>
    <tableColumn id="2" xr3:uid="{0EED481C-6B7F-45EA-96EB-621E9C83F3F6}" name="Description" dataDxfId="61"/>
    <tableColumn id="3" xr3:uid="{92B65829-37BF-4514-B7D6-292B5B8F0C44}" name="Short Description" dataDxfId="60"/>
    <tableColumn id="4" xr3:uid="{80A86D55-7D1D-4DFA-811D-6869E0913B53}" name="Start Date" dataDxfId="59"/>
    <tableColumn id="5" xr3:uid="{93521AA3-7D74-4D93-B395-07061FC7E0C3}" name="Finish Date" dataDxfId="58"/>
    <tableColumn id="6" xr3:uid="{A1F30EEA-ED55-4077-AD3D-291B4585BF8B}" name="Total" dataCellStyle="Normal"/>
    <tableColumn id="7" xr3:uid="{53E686E0-66E1-4785-A02A-4575B31610E3}" name="Completed Total" dataCellStyle="Normal"/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8601D1F-B439-4B4B-94C8-9D8A97B1D050}" name="Output_0001" displayName="Output_0001" ref="AA13:AL43" totalsRowShown="0" headerRowDxfId="57">
  <autoFilter ref="AA13:AL43" xr:uid="{2EFBB27C-F70F-4E8D-93C9-B9166FB374ED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576D2D9F-B710-42B3-8617-1F0E7E06C1A4}" name="Date" dataDxfId="56">
      <calculatedColumnFormula>IF(AA13 = "Date", $S$4, AA13+7)</calculatedColumnFormula>
    </tableColumn>
    <tableColumn id="6" xr3:uid="{AB52DC66-705D-403C-9556-5F09775CDBB4}" name="Primary Areas" dataDxfId="55">
      <calculatedColumnFormula>PrimaryAreas(3)</calculatedColumnFormula>
    </tableColumn>
    <tableColumn id="2" xr3:uid="{B199DE9E-07BB-4F6F-BF0F-FD9612C1E4A1}" name="Weekly Plan" dataDxfId="54">
      <calculatedColumnFormula>IF(Output_0001[[#This Row],[WP_A1]]="", 0, Output_0001[[#This Row],[WP_A1]])+IF(Output_0001[[#This Row],[WP_A2]]="", 0, Output_0001[[#This Row],[WP_A2]])+IF(Output_0001[[#This Row],[WP_A3]]="", 0, Output_0001[[#This Row],[WP_A3]])</calculatedColumnFormula>
    </tableColumn>
    <tableColumn id="3" xr3:uid="{6BE7AD3B-BEA0-4C88-9FEA-EDB415C0BC05}" name="Weekly Actual" dataDxfId="53">
      <calculatedColumnFormula>IF(AND(ISBLANK(Output_0001[[#This Row],[WA_A1]]),ISBLANK(Output_0001[[#This Row],[WA_A2]]),ISBLANK(Output_0001[[#This Row],[WA_A3]])),"", Output_0001[[#This Row],[WA_A1]]+Output_0001[[#This Row],[WA_A2]]+Output_0001[[#This Row],[WA_A3]])</calculatedColumnFormula>
    </tableColumn>
    <tableColumn id="4" xr3:uid="{348CB340-181F-4AC3-81BC-C4AB7827CFF5}" name="Accumulated Plan" dataDxfId="52">
      <calculatedColumnFormula>SUM($AC$14:AC14)</calculatedColumnFormula>
    </tableColumn>
    <tableColumn id="5" xr3:uid="{651F866A-913C-41F0-96AF-A1AE2AFF845B}" name="Accumulated Actual" dataDxfId="51">
      <calculatedColumnFormula>IF(AD14="",NA(),SUM($AD$14:AD14))</calculatedColumnFormula>
    </tableColumn>
    <tableColumn id="43" xr3:uid="{32BBBBE6-824B-424A-A817-1078C82774BD}" name="WP_A1" dataDxfId="50">
      <calculatedColumnFormula>WeeklyPlanned(Output_0001[[#Headers],[WP_A1]], Output_0001[[#This Row],[Date]])</calculatedColumnFormula>
    </tableColumn>
    <tableColumn id="44" xr3:uid="{2E76C9D7-DBC3-40AA-B2D2-F2A8133ADEDC}" name="WA_A1" dataDxfId="49"/>
    <tableColumn id="45" xr3:uid="{8349A05E-AB3B-4D38-86D5-C3757AF0C549}" name="WP_A2" dataDxfId="48">
      <calculatedColumnFormula>WeeklyPlanned(Output_0001[[#Headers],[WP_A2]], Output_0001[[#This Row],[Date]])</calculatedColumnFormula>
    </tableColumn>
    <tableColumn id="46" xr3:uid="{98829D33-590E-463C-A7AE-DB10CF64BCCB}" name="WA_A2" dataDxfId="47"/>
    <tableColumn id="47" xr3:uid="{0C2A1C55-569B-4688-8BB0-54DD665AAD32}" name="WP_A3" dataDxfId="46">
      <calculatedColumnFormula>WeeklyPlanned(Output_0001[[#Headers],[WP_A3]], Output_0001[[#This Row],[Date]])</calculatedColumnFormula>
    </tableColumn>
    <tableColumn id="48" xr3:uid="{5EA3C838-64EE-4DF3-8DFE-BE9B5AC605F5}" name="WA_A3" dataDxfId="45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table" Target="../tables/table3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table" Target="../tables/table2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ctrlProp" Target="../ctrlProps/ctrlProp8.xml"/><Relationship Id="rId9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13" Type="http://schemas.openxmlformats.org/officeDocument/2006/relationships/comments" Target="../comments3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12" Type="http://schemas.openxmlformats.org/officeDocument/2006/relationships/table" Target="../tables/table9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3.xml"/><Relationship Id="rId11" Type="http://schemas.openxmlformats.org/officeDocument/2006/relationships/table" Target="../tables/table8.xml"/><Relationship Id="rId5" Type="http://schemas.openxmlformats.org/officeDocument/2006/relationships/ctrlProp" Target="../ctrlProps/ctrlProp12.xml"/><Relationship Id="rId10" Type="http://schemas.openxmlformats.org/officeDocument/2006/relationships/ctrlProp" Target="../ctrlProps/ctrlProp17.xml"/><Relationship Id="rId4" Type="http://schemas.openxmlformats.org/officeDocument/2006/relationships/ctrlProp" Target="../ctrlProps/ctrlProp11.xml"/><Relationship Id="rId9" Type="http://schemas.openxmlformats.org/officeDocument/2006/relationships/ctrlProp" Target="../ctrlProps/ctrlProp16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13" Type="http://schemas.openxmlformats.org/officeDocument/2006/relationships/comments" Target="../comments4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21.xml"/><Relationship Id="rId12" Type="http://schemas.openxmlformats.org/officeDocument/2006/relationships/table" Target="../tables/table11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11" Type="http://schemas.openxmlformats.org/officeDocument/2006/relationships/table" Target="../tables/table10.xml"/><Relationship Id="rId5" Type="http://schemas.openxmlformats.org/officeDocument/2006/relationships/ctrlProp" Target="../ctrlProps/ctrlProp19.xml"/><Relationship Id="rId10" Type="http://schemas.openxmlformats.org/officeDocument/2006/relationships/ctrlProp" Target="../ctrlProps/ctrlProp24.xml"/><Relationship Id="rId4" Type="http://schemas.openxmlformats.org/officeDocument/2006/relationships/ctrlProp" Target="../ctrlProps/ctrlProp18.xml"/><Relationship Id="rId9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DA418-F365-4A4E-B935-2949206E3E7C}">
  <sheetPr codeName="Sheet8"/>
  <dimension ref="A1:W25"/>
  <sheetViews>
    <sheetView topLeftCell="D1" workbookViewId="0">
      <selection activeCell="I31" sqref="I31"/>
    </sheetView>
  </sheetViews>
  <sheetFormatPr defaultRowHeight="14.5" x14ac:dyDescent="0.35"/>
  <cols>
    <col min="1" max="1" width="16.6328125" bestFit="1" customWidth="1"/>
    <col min="2" max="2" width="7.1796875" bestFit="1" customWidth="1"/>
    <col min="3" max="3" width="16.08984375" bestFit="1" customWidth="1"/>
    <col min="4" max="4" width="13.90625" bestFit="1" customWidth="1"/>
    <col min="5" max="5" width="15.6328125" bestFit="1" customWidth="1"/>
    <col min="6" max="6" width="18.54296875" bestFit="1" customWidth="1"/>
    <col min="7" max="7" width="20.26953125" bestFit="1" customWidth="1"/>
    <col min="8" max="8" width="10.6328125" bestFit="1" customWidth="1"/>
    <col min="9" max="9" width="10.7265625" bestFit="1" customWidth="1"/>
    <col min="10" max="10" width="10.453125" bestFit="1" customWidth="1"/>
    <col min="11" max="11" width="10.6328125" bestFit="1" customWidth="1"/>
    <col min="12" max="12" width="10.1796875" bestFit="1" customWidth="1"/>
    <col min="13" max="13" width="10.36328125" bestFit="1" customWidth="1"/>
    <col min="14" max="14" width="12.36328125" bestFit="1" customWidth="1"/>
    <col min="15" max="15" width="12.54296875" bestFit="1" customWidth="1"/>
    <col min="16" max="16" width="12.26953125" bestFit="1" customWidth="1"/>
    <col min="17" max="18" width="12.36328125" bestFit="1" customWidth="1"/>
    <col min="19" max="19" width="12.54296875" bestFit="1" customWidth="1"/>
    <col min="20" max="20" width="11.81640625" bestFit="1" customWidth="1"/>
    <col min="21" max="21" width="10.36328125" bestFit="1" customWidth="1"/>
    <col min="22" max="22" width="12.81640625" bestFit="1" customWidth="1"/>
    <col min="23" max="23" width="12.90625" bestFit="1" customWidth="1"/>
  </cols>
  <sheetData>
    <row r="1" spans="1:23" x14ac:dyDescent="0.35">
      <c r="A1" t="s">
        <v>117</v>
      </c>
      <c r="B1" t="s">
        <v>67</v>
      </c>
      <c r="C1" t="s">
        <v>72</v>
      </c>
      <c r="D1" t="s">
        <v>68</v>
      </c>
      <c r="E1" t="s">
        <v>69</v>
      </c>
      <c r="F1" t="s">
        <v>70</v>
      </c>
      <c r="G1" t="s">
        <v>71</v>
      </c>
      <c r="H1" t="s">
        <v>91</v>
      </c>
      <c r="I1" t="s">
        <v>92</v>
      </c>
      <c r="J1" t="s">
        <v>100</v>
      </c>
      <c r="K1" t="s">
        <v>101</v>
      </c>
      <c r="L1" t="s">
        <v>102</v>
      </c>
      <c r="M1" t="s">
        <v>103</v>
      </c>
      <c r="N1" t="s">
        <v>104</v>
      </c>
      <c r="O1" t="s">
        <v>105</v>
      </c>
      <c r="P1" t="s">
        <v>106</v>
      </c>
      <c r="Q1" t="s">
        <v>107</v>
      </c>
      <c r="R1" t="s">
        <v>108</v>
      </c>
      <c r="S1" t="s">
        <v>109</v>
      </c>
      <c r="T1" t="s">
        <v>110</v>
      </c>
      <c r="U1" t="s">
        <v>111</v>
      </c>
      <c r="V1" t="s">
        <v>112</v>
      </c>
      <c r="W1" t="s">
        <v>113</v>
      </c>
    </row>
    <row r="3" spans="1:23" x14ac:dyDescent="0.35">
      <c r="A3" t="s">
        <v>119</v>
      </c>
      <c r="B3">
        <v>44047</v>
      </c>
      <c r="C3" t="s">
        <v>90</v>
      </c>
      <c r="D3">
        <v>74</v>
      </c>
      <c r="E3" t="s">
        <v>120</v>
      </c>
      <c r="F3">
        <v>74</v>
      </c>
      <c r="H3">
        <v>74</v>
      </c>
      <c r="J3" t="s">
        <v>120</v>
      </c>
      <c r="L3" t="s">
        <v>120</v>
      </c>
      <c r="N3" t="s">
        <v>120</v>
      </c>
      <c r="P3" t="s">
        <v>120</v>
      </c>
      <c r="R3" t="s">
        <v>120</v>
      </c>
      <c r="T3" t="s">
        <v>120</v>
      </c>
      <c r="V3" t="s">
        <v>120</v>
      </c>
    </row>
    <row r="4" spans="1:23" x14ac:dyDescent="0.35">
      <c r="A4" t="s">
        <v>119</v>
      </c>
      <c r="B4">
        <v>44054</v>
      </c>
      <c r="C4" t="s">
        <v>90</v>
      </c>
      <c r="D4">
        <v>74</v>
      </c>
      <c r="E4" t="s">
        <v>120</v>
      </c>
      <c r="F4">
        <v>148</v>
      </c>
      <c r="H4">
        <v>74</v>
      </c>
      <c r="J4" t="s">
        <v>120</v>
      </c>
      <c r="L4" t="s">
        <v>120</v>
      </c>
      <c r="N4" t="s">
        <v>120</v>
      </c>
      <c r="P4" t="s">
        <v>120</v>
      </c>
      <c r="R4" t="s">
        <v>120</v>
      </c>
      <c r="T4" t="s">
        <v>120</v>
      </c>
      <c r="V4" t="s">
        <v>120</v>
      </c>
    </row>
    <row r="5" spans="1:23" x14ac:dyDescent="0.35">
      <c r="A5" t="s">
        <v>119</v>
      </c>
      <c r="B5">
        <v>44061</v>
      </c>
      <c r="C5">
        <v>0</v>
      </c>
      <c r="D5">
        <v>0</v>
      </c>
      <c r="E5" t="s">
        <v>120</v>
      </c>
      <c r="F5">
        <v>148</v>
      </c>
      <c r="H5" t="s">
        <v>120</v>
      </c>
      <c r="J5" t="s">
        <v>120</v>
      </c>
      <c r="L5" t="s">
        <v>120</v>
      </c>
      <c r="N5" t="s">
        <v>120</v>
      </c>
      <c r="P5" t="s">
        <v>120</v>
      </c>
      <c r="R5" t="s">
        <v>120</v>
      </c>
      <c r="T5" t="s">
        <v>120</v>
      </c>
      <c r="V5" t="s">
        <v>120</v>
      </c>
    </row>
    <row r="6" spans="1:23" x14ac:dyDescent="0.35">
      <c r="A6" t="s">
        <v>119</v>
      </c>
      <c r="B6">
        <v>44068</v>
      </c>
      <c r="C6">
        <v>0</v>
      </c>
      <c r="D6">
        <v>0</v>
      </c>
      <c r="E6" t="s">
        <v>120</v>
      </c>
      <c r="F6">
        <v>148</v>
      </c>
      <c r="H6" t="s">
        <v>120</v>
      </c>
      <c r="J6" t="s">
        <v>120</v>
      </c>
      <c r="L6" t="s">
        <v>120</v>
      </c>
      <c r="N6" t="s">
        <v>120</v>
      </c>
      <c r="P6" t="s">
        <v>120</v>
      </c>
      <c r="R6" t="s">
        <v>120</v>
      </c>
      <c r="T6" t="s">
        <v>120</v>
      </c>
      <c r="V6" t="s">
        <v>120</v>
      </c>
    </row>
    <row r="7" spans="1:23" x14ac:dyDescent="0.35">
      <c r="A7" t="s">
        <v>119</v>
      </c>
      <c r="B7">
        <v>44075</v>
      </c>
      <c r="C7">
        <v>0</v>
      </c>
      <c r="D7">
        <v>0</v>
      </c>
      <c r="E7" t="s">
        <v>120</v>
      </c>
      <c r="F7">
        <v>148</v>
      </c>
      <c r="H7" t="s">
        <v>120</v>
      </c>
      <c r="J7" t="s">
        <v>120</v>
      </c>
      <c r="L7" t="s">
        <v>120</v>
      </c>
      <c r="N7" t="s">
        <v>120</v>
      </c>
      <c r="P7" t="s">
        <v>120</v>
      </c>
      <c r="R7" t="s">
        <v>120</v>
      </c>
      <c r="T7" t="s">
        <v>120</v>
      </c>
      <c r="V7" t="s">
        <v>120</v>
      </c>
    </row>
    <row r="8" spans="1:23" x14ac:dyDescent="0.35">
      <c r="A8" t="s">
        <v>119</v>
      </c>
      <c r="B8">
        <v>44082</v>
      </c>
      <c r="C8">
        <v>0</v>
      </c>
      <c r="D8">
        <v>0</v>
      </c>
      <c r="E8" t="s">
        <v>120</v>
      </c>
      <c r="F8">
        <v>148</v>
      </c>
      <c r="H8" t="s">
        <v>120</v>
      </c>
      <c r="J8" t="s">
        <v>120</v>
      </c>
      <c r="L8" t="s">
        <v>120</v>
      </c>
      <c r="N8" t="s">
        <v>120</v>
      </c>
      <c r="P8" t="s">
        <v>120</v>
      </c>
      <c r="R8" t="s">
        <v>120</v>
      </c>
      <c r="T8" t="s">
        <v>120</v>
      </c>
      <c r="V8" t="s">
        <v>120</v>
      </c>
    </row>
    <row r="9" spans="1:23" x14ac:dyDescent="0.35">
      <c r="A9" t="s">
        <v>119</v>
      </c>
      <c r="B9">
        <v>44089</v>
      </c>
      <c r="C9">
        <v>0</v>
      </c>
      <c r="D9">
        <v>0</v>
      </c>
      <c r="E9" t="s">
        <v>120</v>
      </c>
      <c r="F9">
        <v>148</v>
      </c>
      <c r="H9" t="s">
        <v>120</v>
      </c>
      <c r="J9" t="s">
        <v>120</v>
      </c>
      <c r="L9" t="s">
        <v>120</v>
      </c>
      <c r="N9" t="s">
        <v>120</v>
      </c>
      <c r="P9" t="s">
        <v>120</v>
      </c>
      <c r="R9" t="s">
        <v>120</v>
      </c>
      <c r="T9" t="s">
        <v>120</v>
      </c>
      <c r="V9" t="s">
        <v>120</v>
      </c>
    </row>
    <row r="10" spans="1:23" x14ac:dyDescent="0.35">
      <c r="A10" t="s">
        <v>119</v>
      </c>
      <c r="B10">
        <v>44096</v>
      </c>
      <c r="C10" t="s">
        <v>99</v>
      </c>
      <c r="D10">
        <v>12.083333333333332</v>
      </c>
      <c r="E10" t="s">
        <v>120</v>
      </c>
      <c r="F10">
        <v>160.08333333333334</v>
      </c>
      <c r="H10" t="s">
        <v>120</v>
      </c>
      <c r="J10" t="s">
        <v>120</v>
      </c>
      <c r="L10" t="s">
        <v>120</v>
      </c>
      <c r="N10" t="s">
        <v>120</v>
      </c>
      <c r="P10" t="s">
        <v>120</v>
      </c>
      <c r="R10" t="s">
        <v>120</v>
      </c>
      <c r="T10" t="s">
        <v>120</v>
      </c>
      <c r="V10">
        <v>12.083333333333332</v>
      </c>
    </row>
    <row r="11" spans="1:23" x14ac:dyDescent="0.35">
      <c r="A11" t="s">
        <v>119</v>
      </c>
      <c r="B11">
        <v>44103</v>
      </c>
      <c r="C11" t="s">
        <v>99</v>
      </c>
      <c r="D11">
        <v>12.083333333333332</v>
      </c>
      <c r="E11" t="s">
        <v>120</v>
      </c>
      <c r="F11">
        <v>172.16666666666669</v>
      </c>
      <c r="H11" t="s">
        <v>120</v>
      </c>
      <c r="J11" t="s">
        <v>120</v>
      </c>
      <c r="L11" t="s">
        <v>120</v>
      </c>
      <c r="N11" t="s">
        <v>120</v>
      </c>
      <c r="P11" t="s">
        <v>120</v>
      </c>
      <c r="R11" t="s">
        <v>120</v>
      </c>
      <c r="T11" t="s">
        <v>120</v>
      </c>
      <c r="V11">
        <v>12.083333333333332</v>
      </c>
    </row>
    <row r="12" spans="1:23" x14ac:dyDescent="0.35">
      <c r="A12" t="s">
        <v>119</v>
      </c>
      <c r="B12">
        <v>44110</v>
      </c>
      <c r="C12" t="s">
        <v>121</v>
      </c>
      <c r="D12">
        <v>82.36666666666666</v>
      </c>
      <c r="E12" t="s">
        <v>120</v>
      </c>
      <c r="F12">
        <v>254.53333333333336</v>
      </c>
      <c r="H12" t="s">
        <v>120</v>
      </c>
      <c r="J12">
        <v>61.199999999999996</v>
      </c>
      <c r="L12" t="s">
        <v>120</v>
      </c>
      <c r="N12" t="s">
        <v>120</v>
      </c>
      <c r="P12" t="s">
        <v>120</v>
      </c>
      <c r="R12" t="s">
        <v>120</v>
      </c>
      <c r="T12">
        <v>16.333333333333332</v>
      </c>
      <c r="V12">
        <v>4.833333333333333</v>
      </c>
    </row>
    <row r="13" spans="1:23" x14ac:dyDescent="0.35">
      <c r="A13" t="s">
        <v>119</v>
      </c>
      <c r="B13">
        <v>44117</v>
      </c>
      <c r="C13" t="s">
        <v>122</v>
      </c>
      <c r="D13">
        <v>126.67074829931971</v>
      </c>
      <c r="E13" t="s">
        <v>120</v>
      </c>
      <c r="F13">
        <v>381.20408163265307</v>
      </c>
      <c r="H13" t="s">
        <v>120</v>
      </c>
      <c r="J13">
        <v>40.799999999999997</v>
      </c>
      <c r="L13" t="s">
        <v>120</v>
      </c>
      <c r="N13" t="s">
        <v>120</v>
      </c>
      <c r="P13">
        <v>4.204081632653061</v>
      </c>
      <c r="R13" t="s">
        <v>120</v>
      </c>
      <c r="T13">
        <v>81.666666666666657</v>
      </c>
      <c r="V13" t="s">
        <v>120</v>
      </c>
    </row>
    <row r="14" spans="1:23" x14ac:dyDescent="0.35">
      <c r="A14" t="s">
        <v>119</v>
      </c>
      <c r="B14">
        <v>44124</v>
      </c>
      <c r="C14" t="s">
        <v>123</v>
      </c>
      <c r="D14">
        <v>92.176870748299308</v>
      </c>
      <c r="E14" t="s">
        <v>120</v>
      </c>
      <c r="F14">
        <v>473.38095238095241</v>
      </c>
      <c r="H14" t="s">
        <v>120</v>
      </c>
      <c r="J14" t="s">
        <v>120</v>
      </c>
      <c r="L14" t="s">
        <v>120</v>
      </c>
      <c r="N14" t="s">
        <v>120</v>
      </c>
      <c r="P14">
        <v>10.510204081632653</v>
      </c>
      <c r="R14" t="s">
        <v>120</v>
      </c>
      <c r="T14">
        <v>81.666666666666657</v>
      </c>
      <c r="V14" t="s">
        <v>120</v>
      </c>
    </row>
    <row r="15" spans="1:23" x14ac:dyDescent="0.35">
      <c r="A15" t="s">
        <v>119</v>
      </c>
      <c r="B15">
        <v>44131</v>
      </c>
      <c r="C15" t="s">
        <v>123</v>
      </c>
      <c r="D15">
        <v>75.843537414965979</v>
      </c>
      <c r="E15" t="s">
        <v>120</v>
      </c>
      <c r="F15">
        <v>549.22448979591843</v>
      </c>
      <c r="H15" t="s">
        <v>120</v>
      </c>
      <c r="J15" t="s">
        <v>120</v>
      </c>
      <c r="L15" t="s">
        <v>120</v>
      </c>
      <c r="N15" t="s">
        <v>120</v>
      </c>
      <c r="P15">
        <v>10.510204081632653</v>
      </c>
      <c r="R15" t="s">
        <v>120</v>
      </c>
      <c r="T15">
        <v>65.333333333333329</v>
      </c>
      <c r="V15" t="s">
        <v>120</v>
      </c>
    </row>
    <row r="16" spans="1:23" x14ac:dyDescent="0.35">
      <c r="A16" t="s">
        <v>119</v>
      </c>
      <c r="B16">
        <v>44138</v>
      </c>
      <c r="C16" t="s">
        <v>124</v>
      </c>
      <c r="D16">
        <v>176.71020408163264</v>
      </c>
      <c r="E16" t="s">
        <v>120</v>
      </c>
      <c r="F16">
        <v>725.93469387755113</v>
      </c>
      <c r="H16" t="s">
        <v>120</v>
      </c>
      <c r="J16" t="s">
        <v>120</v>
      </c>
      <c r="L16">
        <v>83.699999999999989</v>
      </c>
      <c r="N16">
        <v>82.5</v>
      </c>
      <c r="P16">
        <v>10.510204081632653</v>
      </c>
      <c r="R16" t="s">
        <v>120</v>
      </c>
      <c r="T16" t="s">
        <v>120</v>
      </c>
      <c r="V16" t="s">
        <v>120</v>
      </c>
    </row>
    <row r="17" spans="1:22" x14ac:dyDescent="0.35">
      <c r="A17" t="s">
        <v>119</v>
      </c>
      <c r="B17">
        <v>44145</v>
      </c>
      <c r="C17" t="s">
        <v>124</v>
      </c>
      <c r="D17">
        <v>199.51020408163265</v>
      </c>
      <c r="E17" t="s">
        <v>120</v>
      </c>
      <c r="F17">
        <v>925.44489795918378</v>
      </c>
      <c r="H17" t="s">
        <v>120</v>
      </c>
      <c r="J17" t="s">
        <v>120</v>
      </c>
      <c r="L17">
        <v>139.5</v>
      </c>
      <c r="N17">
        <v>49.5</v>
      </c>
      <c r="P17">
        <v>10.510204081632653</v>
      </c>
      <c r="R17" t="s">
        <v>120</v>
      </c>
      <c r="T17" t="s">
        <v>120</v>
      </c>
      <c r="V17" t="s">
        <v>120</v>
      </c>
    </row>
    <row r="18" spans="1:22" x14ac:dyDescent="0.35">
      <c r="A18" t="s">
        <v>119</v>
      </c>
      <c r="B18">
        <v>44152</v>
      </c>
      <c r="C18" t="s">
        <v>125</v>
      </c>
      <c r="D18">
        <v>66.310204081632648</v>
      </c>
      <c r="E18" t="s">
        <v>120</v>
      </c>
      <c r="F18">
        <v>991.75510204081638</v>
      </c>
      <c r="H18" t="s">
        <v>120</v>
      </c>
      <c r="J18" t="s">
        <v>120</v>
      </c>
      <c r="L18">
        <v>55.8</v>
      </c>
      <c r="N18" t="s">
        <v>120</v>
      </c>
      <c r="P18">
        <v>10.510204081632653</v>
      </c>
      <c r="R18" t="s">
        <v>120</v>
      </c>
      <c r="T18" t="s">
        <v>120</v>
      </c>
      <c r="V18" t="s">
        <v>120</v>
      </c>
    </row>
    <row r="19" spans="1:22" x14ac:dyDescent="0.35">
      <c r="A19" t="s">
        <v>119</v>
      </c>
      <c r="B19">
        <v>44159</v>
      </c>
      <c r="C19" t="s">
        <v>96</v>
      </c>
      <c r="D19">
        <v>10.510204081632653</v>
      </c>
      <c r="E19" t="s">
        <v>120</v>
      </c>
      <c r="F19">
        <v>1002.265306122449</v>
      </c>
      <c r="H19" t="s">
        <v>120</v>
      </c>
      <c r="J19" t="s">
        <v>120</v>
      </c>
      <c r="L19" t="s">
        <v>120</v>
      </c>
      <c r="N19" t="s">
        <v>120</v>
      </c>
      <c r="P19">
        <v>10.510204081632653</v>
      </c>
      <c r="R19" t="s">
        <v>120</v>
      </c>
      <c r="T19" t="s">
        <v>120</v>
      </c>
      <c r="V19" t="s">
        <v>120</v>
      </c>
    </row>
    <row r="20" spans="1:22" x14ac:dyDescent="0.35">
      <c r="A20" t="s">
        <v>119</v>
      </c>
      <c r="B20">
        <v>44166</v>
      </c>
      <c r="C20" t="s">
        <v>96</v>
      </c>
      <c r="D20">
        <v>10.510204081632653</v>
      </c>
      <c r="E20" t="s">
        <v>120</v>
      </c>
      <c r="F20">
        <v>1012.7755102040817</v>
      </c>
      <c r="H20" t="s">
        <v>120</v>
      </c>
      <c r="J20" t="s">
        <v>120</v>
      </c>
      <c r="L20" t="s">
        <v>120</v>
      </c>
      <c r="N20" t="s">
        <v>120</v>
      </c>
      <c r="P20">
        <v>10.510204081632653</v>
      </c>
      <c r="R20" t="s">
        <v>120</v>
      </c>
      <c r="T20" t="s">
        <v>120</v>
      </c>
      <c r="V20" t="s">
        <v>120</v>
      </c>
    </row>
    <row r="21" spans="1:22" x14ac:dyDescent="0.35">
      <c r="A21" t="s">
        <v>119</v>
      </c>
      <c r="B21">
        <v>44173</v>
      </c>
      <c r="C21" t="s">
        <v>96</v>
      </c>
      <c r="D21">
        <v>10.510204081632653</v>
      </c>
      <c r="E21" t="s">
        <v>120</v>
      </c>
      <c r="F21">
        <v>1023.2857142857143</v>
      </c>
      <c r="H21" t="s">
        <v>120</v>
      </c>
      <c r="J21" t="s">
        <v>120</v>
      </c>
      <c r="L21" t="s">
        <v>120</v>
      </c>
      <c r="N21" t="s">
        <v>120</v>
      </c>
      <c r="P21">
        <v>10.510204081632653</v>
      </c>
      <c r="R21" t="s">
        <v>120</v>
      </c>
      <c r="T21" t="s">
        <v>120</v>
      </c>
      <c r="V21" t="s">
        <v>120</v>
      </c>
    </row>
    <row r="22" spans="1:22" x14ac:dyDescent="0.35">
      <c r="A22" t="s">
        <v>119</v>
      </c>
      <c r="B22">
        <v>44180</v>
      </c>
      <c r="C22" t="s">
        <v>96</v>
      </c>
      <c r="D22">
        <v>10.510204081632653</v>
      </c>
      <c r="E22" t="s">
        <v>120</v>
      </c>
      <c r="F22">
        <v>1033.795918367347</v>
      </c>
      <c r="H22" t="s">
        <v>120</v>
      </c>
      <c r="J22" t="s">
        <v>120</v>
      </c>
      <c r="L22" t="s">
        <v>120</v>
      </c>
      <c r="N22" t="s">
        <v>120</v>
      </c>
      <c r="P22">
        <v>10.510204081632653</v>
      </c>
      <c r="R22" t="s">
        <v>120</v>
      </c>
      <c r="T22" t="s">
        <v>120</v>
      </c>
      <c r="V22" t="s">
        <v>120</v>
      </c>
    </row>
    <row r="23" spans="1:22" x14ac:dyDescent="0.35">
      <c r="A23" t="s">
        <v>119</v>
      </c>
      <c r="B23">
        <v>44187</v>
      </c>
      <c r="C23" t="s">
        <v>126</v>
      </c>
      <c r="D23">
        <v>14.204081632653061</v>
      </c>
      <c r="E23" t="s">
        <v>120</v>
      </c>
      <c r="F23">
        <v>1048</v>
      </c>
      <c r="H23" t="s">
        <v>120</v>
      </c>
      <c r="J23" t="s">
        <v>120</v>
      </c>
      <c r="L23" t="s">
        <v>120</v>
      </c>
      <c r="N23" t="s">
        <v>120</v>
      </c>
      <c r="P23">
        <v>4.204081632653061</v>
      </c>
      <c r="R23">
        <v>10</v>
      </c>
      <c r="T23" t="s">
        <v>120</v>
      </c>
      <c r="V23" t="s">
        <v>120</v>
      </c>
    </row>
    <row r="24" spans="1:22" x14ac:dyDescent="0.35">
      <c r="A24" t="s">
        <v>119</v>
      </c>
      <c r="B24">
        <v>44194</v>
      </c>
      <c r="C24" t="s">
        <v>97</v>
      </c>
      <c r="D24">
        <v>13.333333333333334</v>
      </c>
      <c r="E24" t="s">
        <v>120</v>
      </c>
      <c r="F24">
        <v>1061.3333333333333</v>
      </c>
      <c r="H24" t="s">
        <v>120</v>
      </c>
      <c r="J24" t="s">
        <v>120</v>
      </c>
      <c r="L24" t="s">
        <v>120</v>
      </c>
      <c r="N24" t="s">
        <v>120</v>
      </c>
      <c r="P24" t="s">
        <v>120</v>
      </c>
      <c r="R24">
        <v>13.333333333333334</v>
      </c>
      <c r="T24" t="s">
        <v>120</v>
      </c>
      <c r="V24" t="s">
        <v>120</v>
      </c>
    </row>
    <row r="25" spans="1:22" x14ac:dyDescent="0.35">
      <c r="A25" t="s">
        <v>119</v>
      </c>
      <c r="B25">
        <v>44201</v>
      </c>
      <c r="C25" t="s">
        <v>97</v>
      </c>
      <c r="D25">
        <v>6.666666666666667</v>
      </c>
      <c r="E25" t="s">
        <v>120</v>
      </c>
      <c r="F25">
        <v>1068</v>
      </c>
      <c r="H25" t="s">
        <v>120</v>
      </c>
      <c r="J25" t="s">
        <v>120</v>
      </c>
      <c r="L25" t="s">
        <v>120</v>
      </c>
      <c r="N25" t="s">
        <v>120</v>
      </c>
      <c r="P25" t="s">
        <v>120</v>
      </c>
      <c r="R25">
        <v>6.666666666666667</v>
      </c>
      <c r="T25" t="s">
        <v>120</v>
      </c>
      <c r="V25" t="s">
        <v>120</v>
      </c>
    </row>
  </sheetData>
  <pageMargins left="0.7" right="0.7" top="0.75" bottom="0.75" header="0.3" footer="0.3"/>
  <pageSetup paperSize="256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A7892-7A62-4C75-B54F-DA71687A227B}">
  <sheetPr codeName="Sheet7"/>
  <dimension ref="A1"/>
  <sheetViews>
    <sheetView workbookViewId="0"/>
  </sheetViews>
  <sheetFormatPr defaultRowHeight="14.5" x14ac:dyDescent="0.35"/>
  <sheetData/>
  <pageMargins left="0.7" right="0.7" top="0.75" bottom="0.75" header="0.3" footer="0.3"/>
  <pageSetup paperSize="256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39BFA-3572-4B25-A0A4-6B2661D57679}">
  <sheetPr codeName="Sheet3">
    <pageSetUpPr fitToPage="1"/>
  </sheetPr>
  <dimension ref="B1:AM43"/>
  <sheetViews>
    <sheetView zoomScale="85" zoomScaleNormal="85" workbookViewId="0">
      <selection activeCell="C6" sqref="C6:I6"/>
    </sheetView>
  </sheetViews>
  <sheetFormatPr defaultColWidth="8.7265625" defaultRowHeight="14" x14ac:dyDescent="0.3"/>
  <cols>
    <col min="1" max="1" width="2.54296875" style="8" customWidth="1"/>
    <col min="2" max="2" width="18.26953125" style="8" customWidth="1"/>
    <col min="3" max="3" width="9.1796875" style="8" customWidth="1"/>
    <col min="4" max="8" width="9.1796875" style="8"/>
    <col min="9" max="9" width="14.54296875" style="8" customWidth="1"/>
    <col min="10" max="10" width="9.1796875" style="8" customWidth="1"/>
    <col min="11" max="11" width="9.1796875" style="8"/>
    <col min="12" max="13" width="9.453125" style="8" customWidth="1"/>
    <col min="14" max="15" width="10.54296875" style="8" customWidth="1"/>
    <col min="16" max="17" width="2.54296875" style="8" customWidth="1"/>
    <col min="18" max="18" width="18.453125" style="17" customWidth="1"/>
    <col min="19" max="19" width="24.7265625" style="8" customWidth="1"/>
    <col min="20" max="20" width="22.08984375" style="8" bestFit="1" customWidth="1"/>
    <col min="21" max="21" width="15.54296875" style="8" bestFit="1" customWidth="1"/>
    <col min="22" max="22" width="14.54296875" style="8" customWidth="1"/>
    <col min="23" max="24" width="17.26953125" style="8" customWidth="1"/>
    <col min="25" max="26" width="2.54296875" style="8" customWidth="1"/>
    <col min="27" max="27" width="14.81640625" style="8" customWidth="1"/>
    <col min="28" max="28" width="16.54296875" style="50" customWidth="1"/>
    <col min="29" max="29" width="16" style="8" customWidth="1"/>
    <col min="30" max="30" width="19.26953125" style="8" customWidth="1"/>
    <col min="31" max="31" width="20.26953125" style="8" customWidth="1"/>
    <col min="32" max="32" width="22.1796875" style="8" customWidth="1"/>
    <col min="33" max="16384" width="8.7265625" style="8"/>
  </cols>
  <sheetData>
    <row r="1" spans="2:39" ht="15" thickBot="1" x14ac:dyDescent="0.4">
      <c r="R1" s="106" t="str">
        <f>HYPERLINK("#Main!A1", "Back to Main")</f>
        <v>Back to Main</v>
      </c>
      <c r="AA1" s="78" t="s">
        <v>80</v>
      </c>
      <c r="AB1" s="79"/>
    </row>
    <row r="2" spans="2:39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Template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f>MIN(Input_Template[Start Date])+(7-WEEKDAY(MIN(Input_Template[Start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MAX(Input_Template[Finish Date])+(7-WEEKDAY(MAX(Input_Template[Finish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97" t="str">
        <f>Main!C33</f>
        <v>Sample Sub</v>
      </c>
      <c r="D6" s="97"/>
      <c r="E6" s="97"/>
      <c r="F6" s="97"/>
      <c r="G6" s="97"/>
      <c r="H6" s="97"/>
      <c r="I6" s="97"/>
      <c r="J6" s="90" t="str">
        <f>_xlfn.CONCAT("Overall Totals (", IF(ISBLANK($S$6),"",$S$6), ")")</f>
        <v>Overall Totals (SF)</v>
      </c>
      <c r="K6" s="90"/>
      <c r="L6" s="90"/>
      <c r="M6" s="90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97" t="str">
        <f>RIGHT(Main!B33, LEN(Main!B33) - 4)</f>
        <v>Sample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(SF)</v>
      </c>
      <c r="K7" s="90"/>
      <c r="L7" s="90"/>
      <c r="M7" s="90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8" t="str">
        <f>TEXT(AC4-AC3, "hh:mm:ss")</f>
        <v>00:00:39</v>
      </c>
    </row>
    <row r="8" spans="2:39" ht="15" x14ac:dyDescent="0.3">
      <c r="B8" s="30"/>
      <c r="C8" s="31"/>
      <c r="D8" s="31"/>
      <c r="E8" s="31"/>
      <c r="F8" s="31"/>
      <c r="G8" s="31"/>
      <c r="H8" s="31"/>
      <c r="I8" s="31"/>
      <c r="J8" s="90" t="str">
        <f>_xlfn.CONCAT("This Week's Production (", IF(ISBLANK($S$6),"",$S$6), ")")</f>
        <v>This Week's Production (SF)</v>
      </c>
      <c r="K8" s="90"/>
      <c r="L8" s="90"/>
      <c r="M8" s="90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155</v>
      </c>
      <c r="T8" s="17" t="s">
        <v>65</v>
      </c>
      <c r="U8" s="27" t="b">
        <v>0</v>
      </c>
    </row>
    <row r="9" spans="2:39" ht="15" x14ac:dyDescent="0.3">
      <c r="B9" s="30"/>
      <c r="C9" s="31"/>
      <c r="D9" s="31"/>
      <c r="E9" s="31"/>
      <c r="F9" s="31"/>
      <c r="G9" s="31"/>
      <c r="H9" s="31"/>
      <c r="I9" s="31"/>
      <c r="J9" s="90" t="str">
        <f>_xlfn.CONCAT("Weekly Average (", IF(ISBLANK($S$6),"",$S$6), ")")</f>
        <v>Weekly Average (SF)</v>
      </c>
      <c r="K9" s="90"/>
      <c r="L9" s="90"/>
      <c r="M9" s="90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158</v>
      </c>
      <c r="S9" s="20">
        <v>44013</v>
      </c>
      <c r="T9" s="17" t="s">
        <v>114</v>
      </c>
      <c r="U9" s="84" t="s">
        <v>116</v>
      </c>
      <c r="V9" s="84"/>
      <c r="W9" s="84"/>
      <c r="X9" s="84"/>
      <c r="AB9" s="63"/>
    </row>
    <row r="10" spans="2:39" ht="15" x14ac:dyDescent="0.3">
      <c r="B10" s="30"/>
      <c r="C10" s="31"/>
      <c r="D10" s="31"/>
      <c r="E10" s="31"/>
      <c r="F10" s="31"/>
      <c r="G10" s="31"/>
      <c r="H10" s="31"/>
      <c r="I10" s="31"/>
      <c r="J10" s="90" t="str">
        <f>_xlfn.CONCAT("Average Past 4 Weeks (", IF(ISBLANK($S$6),"",$S$6), ")")</f>
        <v>Average Past 4 Weeks (SF)</v>
      </c>
      <c r="K10" s="90"/>
      <c r="L10" s="90"/>
      <c r="M10" s="9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85" t="s">
        <v>156</v>
      </c>
      <c r="V10" s="85"/>
      <c r="W10" s="85"/>
      <c r="X10" s="85"/>
      <c r="AB10" s="62"/>
      <c r="AC10" s="61"/>
      <c r="AD10" s="59"/>
    </row>
    <row r="11" spans="2:39" ht="15" x14ac:dyDescent="0.3">
      <c r="B11" s="30"/>
      <c r="C11" s="31"/>
      <c r="D11" s="31"/>
      <c r="E11" s="31"/>
      <c r="F11" s="31"/>
      <c r="G11" s="31"/>
      <c r="H11" s="31"/>
      <c r="I11" s="31"/>
      <c r="J11" s="90" t="str">
        <f>_xlfn.CONCAT("On Schedule Average (", IF(ISBLANK($S$6),"",$S$6), ")")</f>
        <v>On Schedule Average (SF)</v>
      </c>
      <c r="K11" s="90"/>
      <c r="L11" s="90"/>
      <c r="M11" s="90"/>
      <c r="N11" s="32">
        <f ca="1">IF($S$3&lt;MAX(Input_Template[Finish Date])+(7-WEEKDAY(MAX(Input_Template[Finish Date]),2)+_xlfn.SWITCH(Reporting_Day, "Sunday", 7, "Monday", 1, "Tuesday", 2, "Wednesday", 3, "Thursday", 4, "Friday", 5, "Saturday", 6)),AVERAGE(INDIRECT("AC"&amp;MATCH($S$3, Output_Template[Date],0)+13&amp;":AC"&amp;ROW(Output_Template[Weekly Plan])-1+ROWS(Output_Template[Weekly Plan]))), "-")</f>
        <v>301.81818181818176</v>
      </c>
      <c r="O11" s="33">
        <f ca="1">IF($O$5&gt;0.998, "-", (SUM(Input_Template[Total])-INDIRECT("AF"&amp;MATCH($S$3, Output_Template[Date],0)+13))/(ROW(Output_Template[Weekly Plan])-1+ROWS(Output_Template[Weekly Plan])-(MATCH($S$3, Output_Template[Date],0)+13)))</f>
        <v>414.28571428571428</v>
      </c>
      <c r="U11" s="85"/>
      <c r="V11" s="85"/>
      <c r="W11" s="85"/>
      <c r="X11" s="85"/>
      <c r="AC11" s="59"/>
      <c r="AD11" s="59"/>
    </row>
    <row r="12" spans="2:39" ht="15" x14ac:dyDescent="0.3">
      <c r="B12" s="30"/>
      <c r="C12" s="31"/>
      <c r="D12" s="31"/>
      <c r="E12" s="31"/>
      <c r="F12" s="31"/>
      <c r="G12" s="31"/>
      <c r="H12" s="31"/>
      <c r="I12" s="31"/>
      <c r="J12" s="80" t="s">
        <v>45</v>
      </c>
      <c r="K12" s="80"/>
      <c r="L12" s="80"/>
      <c r="M12" s="80"/>
      <c r="N12" s="81">
        <f ca="1">MAX(INDIRECT("Input_"&amp;$S$2&amp;"[Finish Date]"))</f>
        <v>44105</v>
      </c>
      <c r="O12" s="82"/>
    </row>
    <row r="13" spans="2:39" ht="15.5" x14ac:dyDescent="0.35">
      <c r="B13" s="30"/>
      <c r="C13" s="31"/>
      <c r="D13" s="31"/>
      <c r="E13" s="31"/>
      <c r="F13" s="31"/>
      <c r="G13" s="31"/>
      <c r="H13" s="31"/>
      <c r="I13" s="31"/>
      <c r="J13" s="80" t="s">
        <v>46</v>
      </c>
      <c r="K13" s="80"/>
      <c r="L13" s="80"/>
      <c r="M13" s="80"/>
      <c r="N13" s="81">
        <f ca="1">IF(O10=0,"",IF($O$5&gt;0.999, "Completed", WORKDAY($S$3, ROUNDUP((SUM(Input_Template[Total])-(INDIRECT("AF"&amp;MATCH($S$3, Output_Template[Date],0)+13)))/($O$10/COUNTIF($U$2:$U$8, TRUE)),0), Holidays_Table[Holidays])))</f>
        <v>47263</v>
      </c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31"/>
      <c r="D14" s="31"/>
      <c r="E14" s="31"/>
      <c r="F14" s="31"/>
      <c r="G14" s="31"/>
      <c r="H14" s="31"/>
      <c r="I14" s="31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6"/>
      <c r="N14" s="86"/>
      <c r="O14" s="87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8">
        <v>3000</v>
      </c>
      <c r="X14" s="8">
        <v>2600</v>
      </c>
      <c r="AA14" s="47">
        <f t="shared" ref="AA14:AA15" si="0">IF(AA13 = "Date", $S$4, AA13+7)</f>
        <v>43908</v>
      </c>
      <c r="AB14" s="49" t="str">
        <f t="shared" ref="AB14:AB43" ca="1" si="1">PrimaryAreas(3)</f>
        <v>A1</v>
      </c>
      <c r="AC1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171.42857142857142</v>
      </c>
      <c r="AD1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WeeklyPlanned(Output_Template[[#Headers],[WP_A1]], Output_Template[[#This Row],[Date]])</f>
        <v>171.42857142857142</v>
      </c>
      <c r="AH14" s="51">
        <v>300</v>
      </c>
      <c r="AI14" s="51" t="str">
        <f ca="1">WeeklyPlanned(Output_Template[[#Headers],[WP_A2]], Output_Template[[#This Row],[Date]])</f>
        <v/>
      </c>
      <c r="AJ14" s="51"/>
      <c r="AK14" s="51" t="str">
        <f ca="1">WeeklyPlanned(Output_Template[[#Headers],[WP_A3]], Output_Template[[#This Row],[Date]])</f>
        <v/>
      </c>
      <c r="AL14" s="51"/>
    </row>
    <row r="15" spans="2:39" ht="16" thickBot="1" x14ac:dyDescent="0.4">
      <c r="B15" s="30"/>
      <c r="C15" s="31"/>
      <c r="D15" s="31"/>
      <c r="E15" s="31"/>
      <c r="F15" s="31"/>
      <c r="G15" s="31"/>
      <c r="H15" s="31"/>
      <c r="I15" s="31"/>
      <c r="J15" s="39"/>
      <c r="K15" s="39"/>
      <c r="L15" s="88"/>
      <c r="M15" s="88"/>
      <c r="N15" s="88"/>
      <c r="O15" s="89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8">
        <v>3000</v>
      </c>
      <c r="X15" s="8">
        <v>600</v>
      </c>
      <c r="AA15" s="47">
        <f t="shared" si="0"/>
        <v>43915</v>
      </c>
      <c r="AB15" s="49" t="str">
        <f t="shared" ca="1" si="1"/>
        <v>A1</v>
      </c>
      <c r="AC1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WeeklyPlanned(Output_Template[[#Headers],[WP_A1]], Output_Template[[#This Row],[Date]])</f>
        <v>428.57142857142856</v>
      </c>
      <c r="AH15" s="51">
        <v>250</v>
      </c>
      <c r="AI15" s="51" t="str">
        <f ca="1">WeeklyPlanned(Output_Template[[#Headers],[WP_A2]], Output_Template[[#This Row],[Date]])</f>
        <v/>
      </c>
      <c r="AJ15" s="51"/>
      <c r="AK15" s="51" t="str">
        <f ca="1">WeeklyPlanned(Output_Template[[#Headers],[WP_A3]], Output_Template[[#This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8">
        <v>3000</v>
      </c>
      <c r="AA16" s="47">
        <f t="shared" ref="AA16:AA43" si="2">IF(AA15 = "Date", $S$4, AA15+7)</f>
        <v>43922</v>
      </c>
      <c r="AB16" s="49" t="str">
        <f t="shared" ca="1" si="1"/>
        <v>A1</v>
      </c>
      <c r="AC1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WeeklyPlanned(Output_Template[[#Headers],[WP_A1]], Output_Template[[#This Row],[Date]])</f>
        <v>428.57142857142856</v>
      </c>
      <c r="AH16" s="51">
        <v>250</v>
      </c>
      <c r="AI16" s="51" t="str">
        <f ca="1">WeeklyPlanned(Output_Template[[#Headers],[WP_A2]], Output_Template[[#This Row],[Date]])</f>
        <v/>
      </c>
      <c r="AJ16" s="51"/>
      <c r="AK16" s="51" t="str">
        <f ca="1">WeeklyPlanned(Output_Template[[#Headers],[WP_A3]], Output_Template[[#This Row],[Date]])</f>
        <v/>
      </c>
      <c r="AL16" s="51"/>
    </row>
    <row r="17" spans="2:38" ht="15.5" x14ac:dyDescent="0.35">
      <c r="B17" s="30"/>
      <c r="C17" s="31"/>
      <c r="D17" s="31"/>
      <c r="E17" s="31"/>
      <c r="F17" s="31"/>
      <c r="G17" s="31"/>
      <c r="H17" s="31"/>
      <c r="I17" s="31"/>
      <c r="J17" s="31"/>
      <c r="K17" s="31"/>
      <c r="L17" s="31"/>
      <c r="M17" s="31"/>
      <c r="N17" s="31"/>
      <c r="O17" s="43"/>
      <c r="R17" s="36"/>
      <c r="S17" s="37"/>
      <c r="T17" s="37"/>
      <c r="U17" s="38"/>
      <c r="V17" s="38"/>
      <c r="AA17" s="47">
        <f t="shared" si="2"/>
        <v>43929</v>
      </c>
      <c r="AB17" s="49" t="str">
        <f t="shared" ca="1" si="1"/>
        <v>A1</v>
      </c>
      <c r="AC1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WeeklyPlanned(Output_Template[[#Headers],[WP_A1]], Output_Template[[#This Row],[Date]])</f>
        <v>428.57142857142856</v>
      </c>
      <c r="AH17" s="51">
        <v>250</v>
      </c>
      <c r="AI17" s="51" t="str">
        <f ca="1">WeeklyPlanned(Output_Template[[#Headers],[WP_A2]], Output_Template[[#This Row],[Date]])</f>
        <v/>
      </c>
      <c r="AJ17" s="51"/>
      <c r="AK17" s="51" t="str">
        <f ca="1">WeeklyPlanned(Output_Template[[#Headers],[WP_A3]], Output_Template[[#This Row],[Date]])</f>
        <v/>
      </c>
      <c r="AL17" s="51"/>
    </row>
    <row r="18" spans="2:38" ht="15.5" x14ac:dyDescent="0.35">
      <c r="B18" s="30"/>
      <c r="C18" s="31"/>
      <c r="D18" s="31"/>
      <c r="E18" s="31"/>
      <c r="F18" s="31"/>
      <c r="G18" s="31"/>
      <c r="H18" s="31"/>
      <c r="I18" s="31"/>
      <c r="J18" s="31"/>
      <c r="K18" s="31"/>
      <c r="L18" s="31"/>
      <c r="M18" s="31"/>
      <c r="N18" s="31"/>
      <c r="O18" s="43"/>
      <c r="R18" s="36"/>
      <c r="S18" s="37"/>
      <c r="T18" s="37"/>
      <c r="U18" s="38"/>
      <c r="V18" s="38"/>
      <c r="AA18" s="47">
        <f t="shared" si="2"/>
        <v>43936</v>
      </c>
      <c r="AB18" s="49" t="str">
        <f t="shared" ca="1" si="1"/>
        <v>A1</v>
      </c>
      <c r="AC1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WeeklyPlanned(Output_Template[[#Headers],[WP_A1]], Output_Template[[#This Row],[Date]])</f>
        <v>428.57142857142856</v>
      </c>
      <c r="AH18" s="51">
        <v>250</v>
      </c>
      <c r="AI18" s="51" t="str">
        <f ca="1">WeeklyPlanned(Output_Template[[#Headers],[WP_A2]], Output_Template[[#This Row],[Date]])</f>
        <v/>
      </c>
      <c r="AJ18" s="51"/>
      <c r="AK18" s="51" t="str">
        <f ca="1">WeeklyPlanned(Output_Template[[#Headers],[WP_A3]], Output_Template[[#This Row],[Date]])</f>
        <v/>
      </c>
      <c r="AL18" s="51"/>
    </row>
    <row r="19" spans="2:38" ht="15.5" x14ac:dyDescent="0.35">
      <c r="B19" s="30"/>
      <c r="C19" s="31"/>
      <c r="D19" s="31"/>
      <c r="E19" s="31"/>
      <c r="F19" s="31"/>
      <c r="G19" s="31"/>
      <c r="H19" s="31"/>
      <c r="I19" s="31"/>
      <c r="J19" s="31"/>
      <c r="K19" s="31"/>
      <c r="L19" s="31"/>
      <c r="M19" s="31"/>
      <c r="N19" s="31"/>
      <c r="O19" s="43"/>
      <c r="AA19" s="47">
        <f t="shared" si="2"/>
        <v>43943</v>
      </c>
      <c r="AB19" s="49" t="str">
        <f t="shared" ca="1" si="1"/>
        <v>A1</v>
      </c>
      <c r="AC1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1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WeeklyPlanned(Output_Template[[#Headers],[WP_A1]], Output_Template[[#This Row],[Date]])</f>
        <v>428.57142857142856</v>
      </c>
      <c r="AH19" s="51">
        <v>250</v>
      </c>
      <c r="AI19" s="51" t="str">
        <f ca="1">WeeklyPlanned(Output_Template[[#Headers],[WP_A2]], Output_Template[[#This Row],[Date]])</f>
        <v/>
      </c>
      <c r="AJ19" s="51"/>
      <c r="AK19" s="51" t="str">
        <f ca="1">WeeklyPlanned(Output_Template[[#Headers],[WP_A3]], Output_Template[[#This Row],[Date]])</f>
        <v/>
      </c>
      <c r="AL19" s="51"/>
    </row>
    <row r="20" spans="2:38" ht="15.5" x14ac:dyDescent="0.35">
      <c r="B20" s="30"/>
      <c r="C20" s="31"/>
      <c r="D20" s="31"/>
      <c r="E20" s="31"/>
      <c r="F20" s="31"/>
      <c r="G20" s="31"/>
      <c r="H20" s="31"/>
      <c r="I20" s="31"/>
      <c r="J20" s="31"/>
      <c r="K20" s="31"/>
      <c r="L20" s="31"/>
      <c r="M20" s="31"/>
      <c r="N20" s="31"/>
      <c r="O20" s="43"/>
      <c r="AA20" s="47">
        <f t="shared" si="2"/>
        <v>43950</v>
      </c>
      <c r="AB20" s="49" t="str">
        <f t="shared" ca="1" si="1"/>
        <v>A1</v>
      </c>
      <c r="AC2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428.57142857142856</v>
      </c>
      <c r="AD20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WeeklyPlanned(Output_Template[[#Headers],[WP_A1]], Output_Template[[#This Row],[Date]])</f>
        <v>428.57142857142856</v>
      </c>
      <c r="AH20" s="51">
        <v>250</v>
      </c>
      <c r="AI20" s="51" t="str">
        <f ca="1">WeeklyPlanned(Output_Template[[#Headers],[WP_A2]], Output_Template[[#This Row],[Date]])</f>
        <v/>
      </c>
      <c r="AJ20" s="51">
        <v>125</v>
      </c>
      <c r="AK20" s="51" t="str">
        <f ca="1">WeeklyPlanned(Output_Template[[#Headers],[WP_A3]], Output_Template[[#This Row],[Date]])</f>
        <v/>
      </c>
      <c r="AL20" s="51"/>
    </row>
    <row r="21" spans="2:38" ht="15.5" x14ac:dyDescent="0.35">
      <c r="B21" s="30"/>
      <c r="C21" s="31"/>
      <c r="D21" s="31"/>
      <c r="E21" s="31"/>
      <c r="F21" s="31"/>
      <c r="G21" s="31"/>
      <c r="H21" s="31"/>
      <c r="I21" s="31"/>
      <c r="J21" s="31"/>
      <c r="K21" s="31"/>
      <c r="L21" s="31"/>
      <c r="M21" s="31"/>
      <c r="N21" s="31"/>
      <c r="O21" s="43"/>
      <c r="AA21" s="47">
        <f t="shared" si="2"/>
        <v>43957</v>
      </c>
      <c r="AB21" s="49" t="str">
        <f t="shared" ca="1" si="1"/>
        <v>A1</v>
      </c>
      <c r="AC2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257.14285714285711</v>
      </c>
      <c r="AD21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WeeklyPlanned(Output_Template[[#Headers],[WP_A1]], Output_Template[[#This Row],[Date]])</f>
        <v>257.14285714285711</v>
      </c>
      <c r="AH21" s="51">
        <v>250</v>
      </c>
      <c r="AI21" s="51" t="str">
        <f ca="1">WeeklyPlanned(Output_Template[[#Headers],[WP_A2]], Output_Template[[#This Row],[Date]])</f>
        <v/>
      </c>
      <c r="AJ21" s="51">
        <v>125</v>
      </c>
      <c r="AK21" s="51" t="str">
        <f ca="1">WeeklyPlanned(Output_Template[[#Headers],[WP_A3]], Output_Template[[#This Row],[Date]])</f>
        <v/>
      </c>
      <c r="AL21" s="51"/>
    </row>
    <row r="22" spans="2:38" ht="15.5" x14ac:dyDescent="0.35">
      <c r="B22" s="30"/>
      <c r="C22" s="31"/>
      <c r="D22" s="31"/>
      <c r="E22" s="31"/>
      <c r="F22" s="31"/>
      <c r="G22" s="31"/>
      <c r="H22" s="31"/>
      <c r="I22" s="31"/>
      <c r="J22" s="31"/>
      <c r="K22" s="31"/>
      <c r="L22" s="31"/>
      <c r="M22" s="31"/>
      <c r="N22" s="31"/>
      <c r="O22" s="43"/>
      <c r="AA22" s="47">
        <f t="shared" si="2"/>
        <v>43964</v>
      </c>
      <c r="AB22" s="49">
        <f t="shared" ca="1" si="1"/>
        <v>0</v>
      </c>
      <c r="AC2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0</v>
      </c>
      <c r="AD22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WeeklyPlanned(Output_Template[[#Headers],[WP_A1]], Output_Template[[#This Row],[Date]])</f>
        <v/>
      </c>
      <c r="AH22" s="51">
        <v>250</v>
      </c>
      <c r="AI22" s="51" t="str">
        <f ca="1">WeeklyPlanned(Output_Template[[#Headers],[WP_A2]], Output_Template[[#This Row],[Date]])</f>
        <v/>
      </c>
      <c r="AJ22" s="51">
        <v>125</v>
      </c>
      <c r="AK22" s="51" t="str">
        <f ca="1">WeeklyPlanned(Output_Template[[#Headers],[WP_A3]], Output_Template[[#This Row],[Date]])</f>
        <v/>
      </c>
      <c r="AL22" s="51"/>
    </row>
    <row r="23" spans="2:38" ht="15.5" x14ac:dyDescent="0.35">
      <c r="B23" s="30"/>
      <c r="C23" s="31"/>
      <c r="D23" s="31"/>
      <c r="E23" s="31"/>
      <c r="F23" s="31"/>
      <c r="G23" s="31"/>
      <c r="H23" s="31"/>
      <c r="I23" s="31"/>
      <c r="J23" s="31"/>
      <c r="K23" s="31"/>
      <c r="L23" s="31"/>
      <c r="M23" s="31"/>
      <c r="N23" s="31"/>
      <c r="O23" s="43"/>
      <c r="AA23" s="47">
        <f t="shared" si="2"/>
        <v>43971</v>
      </c>
      <c r="AB23" s="49" t="str">
        <f t="shared" ca="1" si="1"/>
        <v>A2</v>
      </c>
      <c r="AC2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163.63636363636363</v>
      </c>
      <c r="AD23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WeeklyPlanned(Output_Template[[#Headers],[WP_A1]], Output_Template[[#This Row],[Date]])</f>
        <v/>
      </c>
      <c r="AH23" s="51">
        <v>150</v>
      </c>
      <c r="AI23" s="51">
        <f ca="1">WeeklyPlanned(Output_Template[[#Headers],[WP_A2]], Output_Template[[#This Row],[Date]])</f>
        <v>163.63636363636363</v>
      </c>
      <c r="AJ23" s="51">
        <v>125</v>
      </c>
      <c r="AK23" s="51" t="str">
        <f ca="1">WeeklyPlanned(Output_Template[[#Headers],[WP_A3]], Output_Template[[#This Row],[Date]])</f>
        <v/>
      </c>
      <c r="AL23" s="51"/>
    </row>
    <row r="24" spans="2:38" ht="15.5" x14ac:dyDescent="0.35">
      <c r="B24" s="30"/>
      <c r="C24" s="31" t="s">
        <v>47</v>
      </c>
      <c r="D24" s="31"/>
      <c r="E24" s="31"/>
      <c r="F24" s="31"/>
      <c r="G24" s="31"/>
      <c r="H24" s="31"/>
      <c r="I24" s="31"/>
      <c r="J24" s="31"/>
      <c r="K24" s="31"/>
      <c r="L24" s="31"/>
      <c r="M24" s="31"/>
      <c r="N24" s="31"/>
      <c r="O24" s="43"/>
      <c r="AA24" s="47">
        <f t="shared" si="2"/>
        <v>43978</v>
      </c>
      <c r="AB24" s="49" t="str">
        <f t="shared" ca="1" si="1"/>
        <v>A2</v>
      </c>
      <c r="AC2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218.18181818181819</v>
      </c>
      <c r="AD24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WeeklyPlanned(Output_Template[[#Headers],[WP_A1]], Output_Template[[#This Row],[Date]])</f>
        <v/>
      </c>
      <c r="AH24" s="51">
        <v>150</v>
      </c>
      <c r="AI24" s="51">
        <f ca="1">WeeklyPlanned(Output_Template[[#Headers],[WP_A2]], Output_Template[[#This Row],[Date]])</f>
        <v>218.18181818181819</v>
      </c>
      <c r="AJ24" s="51">
        <v>50</v>
      </c>
      <c r="AK24" s="51" t="str">
        <f ca="1">WeeklyPlanned(Output_Template[[#Headers],[WP_A3]], Output_Template[[#This Row],[Date]])</f>
        <v/>
      </c>
      <c r="AL24" s="51"/>
    </row>
    <row r="25" spans="2:38" ht="15.5" x14ac:dyDescent="0.35">
      <c r="B25" s="30"/>
      <c r="C25" s="31"/>
      <c r="D25" s="31"/>
      <c r="E25" s="31"/>
      <c r="F25" s="31"/>
      <c r="G25" s="31"/>
      <c r="H25" s="31"/>
      <c r="I25" s="31"/>
      <c r="J25" s="31"/>
      <c r="K25" s="31"/>
      <c r="L25" s="31"/>
      <c r="M25" s="31"/>
      <c r="N25" s="31"/>
      <c r="O25" s="43"/>
      <c r="AA25" s="47">
        <f t="shared" si="2"/>
        <v>43985</v>
      </c>
      <c r="AB25" s="49" t="str">
        <f t="shared" ca="1" si="1"/>
        <v>A2</v>
      </c>
      <c r="AC2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5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WeeklyPlanned(Output_Template[[#Headers],[WP_A1]], Output_Template[[#This Row],[Date]])</f>
        <v/>
      </c>
      <c r="AH25" s="51">
        <v>0</v>
      </c>
      <c r="AI25" s="51">
        <f ca="1">WeeklyPlanned(Output_Template[[#Headers],[WP_A2]], Output_Template[[#This Row],[Date]])</f>
        <v>272.72727272727275</v>
      </c>
      <c r="AJ25" s="51"/>
      <c r="AK25" s="51" t="str">
        <f ca="1">WeeklyPlanned(Output_Template[[#Headers],[WP_A3]], Output_Template[[#This Row],[Date]])</f>
        <v/>
      </c>
      <c r="AL25" s="51"/>
    </row>
    <row r="26" spans="2:38" ht="15.5" x14ac:dyDescent="0.35">
      <c r="B26" s="30"/>
      <c r="C26" s="31"/>
      <c r="D26" s="31"/>
      <c r="E26" s="31"/>
      <c r="F26" s="31"/>
      <c r="G26" s="31"/>
      <c r="H26" s="31"/>
      <c r="I26" s="31"/>
      <c r="J26" s="31"/>
      <c r="K26" s="31"/>
      <c r="L26" s="31"/>
      <c r="M26" s="31"/>
      <c r="N26" s="31"/>
      <c r="O26" s="43"/>
      <c r="S26" s="37"/>
      <c r="AA26" s="47">
        <f t="shared" si="2"/>
        <v>43992</v>
      </c>
      <c r="AB26" s="49" t="str">
        <f t="shared" ca="1" si="1"/>
        <v>A2</v>
      </c>
      <c r="AC2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6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WeeklyPlanned(Output_Template[[#Headers],[WP_A1]], Output_Template[[#This Row],[Date]])</f>
        <v/>
      </c>
      <c r="AH26" s="51">
        <v>0</v>
      </c>
      <c r="AI26" s="51">
        <f ca="1">WeeklyPlanned(Output_Template[[#Headers],[WP_A2]], Output_Template[[#This Row],[Date]])</f>
        <v>272.72727272727275</v>
      </c>
      <c r="AJ26" s="51"/>
      <c r="AK26" s="51" t="str">
        <f ca="1">WeeklyPlanned(Output_Template[[#Headers],[WP_A3]], Output_Template[[#This Row],[Date]])</f>
        <v/>
      </c>
      <c r="AL26" s="51"/>
    </row>
    <row r="27" spans="2:38" ht="15.5" x14ac:dyDescent="0.35">
      <c r="B27" s="30"/>
      <c r="C27" s="31"/>
      <c r="D27" s="31"/>
      <c r="E27" s="31"/>
      <c r="F27" s="31"/>
      <c r="G27" s="31"/>
      <c r="H27" s="31"/>
      <c r="I27" s="31"/>
      <c r="J27" s="31"/>
      <c r="K27" s="31"/>
      <c r="L27" s="31"/>
      <c r="M27" s="31"/>
      <c r="N27" s="31"/>
      <c r="O27" s="43"/>
      <c r="AA27" s="47">
        <f t="shared" si="2"/>
        <v>43999</v>
      </c>
      <c r="AB27" s="49" t="str">
        <f t="shared" ca="1" si="1"/>
        <v>A2</v>
      </c>
      <c r="AC2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7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WeeklyPlanned(Output_Template[[#Headers],[WP_A1]], Output_Template[[#This Row],[Date]])</f>
        <v/>
      </c>
      <c r="AH27" s="51">
        <v>0</v>
      </c>
      <c r="AI27" s="51">
        <f ca="1">WeeklyPlanned(Output_Template[[#Headers],[WP_A2]], Output_Template[[#This Row],[Date]])</f>
        <v>272.72727272727275</v>
      </c>
      <c r="AJ27" s="51"/>
      <c r="AK27" s="51" t="str">
        <f ca="1">WeeklyPlanned(Output_Template[[#Headers],[WP_A3]], Output_Template[[#This Row],[Date]])</f>
        <v/>
      </c>
      <c r="AL27" s="51"/>
    </row>
    <row r="28" spans="2:38" ht="15.5" x14ac:dyDescent="0.35">
      <c r="B28" s="30"/>
      <c r="C28" s="31"/>
      <c r="D28" s="31"/>
      <c r="E28" s="31"/>
      <c r="F28" s="31"/>
      <c r="G28" s="31"/>
      <c r="H28" s="31"/>
      <c r="I28" s="31"/>
      <c r="J28" s="31"/>
      <c r="K28" s="31"/>
      <c r="L28" s="31"/>
      <c r="M28" s="31"/>
      <c r="N28" s="31"/>
      <c r="O28" s="43"/>
      <c r="AA28" s="47">
        <f t="shared" si="2"/>
        <v>44006</v>
      </c>
      <c r="AB28" s="49" t="str">
        <f t="shared" ca="1" si="1"/>
        <v>A2</v>
      </c>
      <c r="AC2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8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WeeklyPlanned(Output_Template[[#Headers],[WP_A1]], Output_Template[[#This Row],[Date]])</f>
        <v/>
      </c>
      <c r="AH28" s="51">
        <v>0</v>
      </c>
      <c r="AI28" s="51">
        <f ca="1">WeeklyPlanned(Output_Template[[#Headers],[WP_A2]], Output_Template[[#This Row],[Date]])</f>
        <v>272.72727272727275</v>
      </c>
      <c r="AJ28" s="51"/>
      <c r="AK28" s="51" t="str">
        <f ca="1">WeeklyPlanned(Output_Template[[#Headers],[WP_A3]], Output_Template[[#This Row],[Date]])</f>
        <v/>
      </c>
      <c r="AL28" s="51"/>
    </row>
    <row r="29" spans="2:38" ht="15.5" x14ac:dyDescent="0.35">
      <c r="B29" s="30"/>
      <c r="C29" s="31"/>
      <c r="D29" s="31"/>
      <c r="E29" s="31"/>
      <c r="F29" s="31"/>
      <c r="G29" s="31"/>
      <c r="H29" s="31"/>
      <c r="I29" s="31"/>
      <c r="J29" s="31"/>
      <c r="K29" s="31"/>
      <c r="L29" s="31"/>
      <c r="M29" s="31"/>
      <c r="N29" s="31"/>
      <c r="O29" s="43"/>
      <c r="AA29" s="47">
        <f t="shared" si="2"/>
        <v>44013</v>
      </c>
      <c r="AB29" s="49" t="str">
        <f t="shared" ca="1" si="1"/>
        <v>A2</v>
      </c>
      <c r="AC2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29" s="51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WeeklyPlanned(Output_Template[[#Headers],[WP_A1]], Output_Template[[#This Row],[Date]])</f>
        <v/>
      </c>
      <c r="AH29" s="51">
        <v>0</v>
      </c>
      <c r="AI29" s="51">
        <f ca="1">WeeklyPlanned(Output_Template[[#Headers],[WP_A2]], Output_Template[[#This Row],[Date]])</f>
        <v>272.72727272727275</v>
      </c>
      <c r="AJ29" s="51">
        <v>50</v>
      </c>
      <c r="AK29" s="51" t="str">
        <f ca="1">WeeklyPlanned(Output_Template[[#Headers],[WP_A3]], Output_Template[[#This Row],[Date]])</f>
        <v/>
      </c>
      <c r="AL29" s="51">
        <v>0</v>
      </c>
    </row>
    <row r="30" spans="2:38" ht="15.5" x14ac:dyDescent="0.35">
      <c r="B30" s="30"/>
      <c r="C30" s="31"/>
      <c r="D30" s="31"/>
      <c r="E30" s="31"/>
      <c r="F30" s="31"/>
      <c r="G30" s="31"/>
      <c r="H30" s="31"/>
      <c r="I30" s="31"/>
      <c r="J30" s="31"/>
      <c r="K30" s="31"/>
      <c r="L30" s="31"/>
      <c r="M30" s="31"/>
      <c r="N30" s="31"/>
      <c r="O30" s="43"/>
      <c r="AA30" s="47">
        <f t="shared" si="2"/>
        <v>44020</v>
      </c>
      <c r="AB30" s="49" t="str">
        <f t="shared" ca="1" si="1"/>
        <v>A2</v>
      </c>
      <c r="AC3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WeeklyPlanned(Output_Template[[#Headers],[WP_A1]], Output_Template[[#This Row],[Date]])</f>
        <v/>
      </c>
      <c r="AH30" s="51"/>
      <c r="AI30" s="51">
        <f ca="1">WeeklyPlanned(Output_Template[[#Headers],[WP_A2]], Output_Template[[#This Row],[Date]])</f>
        <v>272.72727272727275</v>
      </c>
      <c r="AJ30" s="51"/>
      <c r="AK30" s="51" t="str">
        <f ca="1">WeeklyPlanned(Output_Template[[#Headers],[WP_A3]], Output_Template[[#This Row],[Date]])</f>
        <v/>
      </c>
      <c r="AL30" s="51"/>
    </row>
    <row r="31" spans="2:38" ht="15.5" x14ac:dyDescent="0.35">
      <c r="B31" s="30"/>
      <c r="C31" s="31"/>
      <c r="D31" s="31"/>
      <c r="E31" s="31"/>
      <c r="F31" s="31"/>
      <c r="G31" s="31"/>
      <c r="H31" s="31"/>
      <c r="I31" s="31"/>
      <c r="J31" s="31"/>
      <c r="K31" s="31"/>
      <c r="L31" s="31"/>
      <c r="M31" s="31"/>
      <c r="N31" s="31"/>
      <c r="O31" s="43"/>
      <c r="AA31" s="47">
        <f t="shared" si="2"/>
        <v>44027</v>
      </c>
      <c r="AB31" s="49" t="str">
        <f t="shared" ca="1" si="1"/>
        <v>A2</v>
      </c>
      <c r="AC3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272.72727272727275</v>
      </c>
      <c r="AD3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WeeklyPlanned(Output_Template[[#Headers],[WP_A1]], Output_Template[[#This Row],[Date]])</f>
        <v/>
      </c>
      <c r="AH31" s="51"/>
      <c r="AI31" s="51">
        <f ca="1">WeeklyPlanned(Output_Template[[#Headers],[WP_A2]], Output_Template[[#This Row],[Date]])</f>
        <v>272.72727272727275</v>
      </c>
      <c r="AJ31" s="51"/>
      <c r="AK31" s="51" t="str">
        <f ca="1">WeeklyPlanned(Output_Template[[#Headers],[WP_A3]], Output_Template[[#This Row],[Date]])</f>
        <v/>
      </c>
      <c r="AL31" s="51"/>
    </row>
    <row r="32" spans="2:38" ht="15.5" x14ac:dyDescent="0.35">
      <c r="B32" s="30"/>
      <c r="C32" s="31"/>
      <c r="D32" s="31"/>
      <c r="E32" s="31"/>
      <c r="F32" s="31"/>
      <c r="G32" s="31"/>
      <c r="H32" s="31"/>
      <c r="I32" s="31"/>
      <c r="J32" s="31"/>
      <c r="K32" s="31"/>
      <c r="L32" s="31"/>
      <c r="M32" s="31"/>
      <c r="N32" s="31"/>
      <c r="O32" s="43"/>
      <c r="AA32" s="47">
        <f t="shared" si="2"/>
        <v>44034</v>
      </c>
      <c r="AB32" s="49" t="str">
        <f t="shared" ca="1" si="1"/>
        <v>A2, A3</v>
      </c>
      <c r="AC3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WeeklyPlanned(Output_Template[[#Headers],[WP_A1]], Output_Template[[#This Row],[Date]])</f>
        <v/>
      </c>
      <c r="AH32" s="51"/>
      <c r="AI32" s="51">
        <f ca="1">WeeklyPlanned(Output_Template[[#Headers],[WP_A2]], Output_Template[[#This Row],[Date]])</f>
        <v>272.72727272727275</v>
      </c>
      <c r="AJ32" s="51"/>
      <c r="AK32" s="51">
        <f ca="1">WeeklyPlanned(Output_Template[[#Headers],[WP_A3]], Output_Template[[#This Row],[Date]])</f>
        <v>263.15789473684208</v>
      </c>
      <c r="AL32" s="51"/>
    </row>
    <row r="33" spans="2:38" ht="15.5" x14ac:dyDescent="0.35">
      <c r="B33" s="30"/>
      <c r="C33" s="31"/>
      <c r="D33" s="31"/>
      <c r="E33" s="31"/>
      <c r="F33" s="31"/>
      <c r="G33" s="31"/>
      <c r="H33" s="31"/>
      <c r="I33" s="31"/>
      <c r="J33" s="31"/>
      <c r="K33" s="31"/>
      <c r="L33" s="31"/>
      <c r="M33" s="31"/>
      <c r="N33" s="31"/>
      <c r="O33" s="43"/>
      <c r="AA33" s="47">
        <f t="shared" si="2"/>
        <v>44041</v>
      </c>
      <c r="AB33" s="49" t="str">
        <f t="shared" ca="1" si="1"/>
        <v>A2, A3</v>
      </c>
      <c r="AC3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535.88516746411483</v>
      </c>
      <c r="AD3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WeeklyPlanned(Output_Template[[#Headers],[WP_A1]], Output_Template[[#This Row],[Date]])</f>
        <v/>
      </c>
      <c r="AH33" s="51"/>
      <c r="AI33" s="51">
        <f ca="1">WeeklyPlanned(Output_Template[[#Headers],[WP_A2]], Output_Template[[#This Row],[Date]])</f>
        <v>272.72727272727275</v>
      </c>
      <c r="AJ33" s="51"/>
      <c r="AK33" s="51">
        <f ca="1">WeeklyPlanned(Output_Template[[#Headers],[WP_A3]], Output_Template[[#This Row],[Date]])</f>
        <v>263.15789473684208</v>
      </c>
      <c r="AL33" s="51"/>
    </row>
    <row r="34" spans="2:38" ht="15.5" x14ac:dyDescent="0.35">
      <c r="B34" s="30"/>
      <c r="C34" s="31"/>
      <c r="D34" s="31"/>
      <c r="E34" s="31"/>
      <c r="F34" s="31"/>
      <c r="G34" s="31"/>
      <c r="H34" s="31"/>
      <c r="I34" s="31"/>
      <c r="J34" s="31"/>
      <c r="K34" s="31"/>
      <c r="L34" s="31"/>
      <c r="M34" s="31"/>
      <c r="N34" s="31"/>
      <c r="O34" s="43"/>
      <c r="AA34" s="47">
        <f t="shared" si="2"/>
        <v>44048</v>
      </c>
      <c r="AB34" s="49" t="str">
        <f t="shared" ca="1" si="1"/>
        <v>A2, A3</v>
      </c>
      <c r="AC34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426.79425837320571</v>
      </c>
      <c r="AD34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WeeklyPlanned(Output_Template[[#Headers],[WP_A1]], Output_Template[[#This Row],[Date]])</f>
        <v/>
      </c>
      <c r="AH34" s="51"/>
      <c r="AI34" s="51">
        <f ca="1">WeeklyPlanned(Output_Template[[#Headers],[WP_A2]], Output_Template[[#This Row],[Date]])</f>
        <v>163.63636363636363</v>
      </c>
      <c r="AJ34" s="51"/>
      <c r="AK34" s="51">
        <f ca="1">WeeklyPlanned(Output_Template[[#Headers],[WP_A3]], Output_Template[[#This Row],[Date]])</f>
        <v>263.15789473684208</v>
      </c>
      <c r="AL34" s="51"/>
    </row>
    <row r="35" spans="2:38" ht="15.5" x14ac:dyDescent="0.35">
      <c r="B35" s="30"/>
      <c r="C35" s="31"/>
      <c r="D35" s="31"/>
      <c r="E35" s="31"/>
      <c r="F35" s="31"/>
      <c r="G35" s="31"/>
      <c r="H35" s="31"/>
      <c r="I35" s="31"/>
      <c r="J35" s="31"/>
      <c r="K35" s="31"/>
      <c r="L35" s="31"/>
      <c r="M35" s="31"/>
      <c r="N35" s="31"/>
      <c r="O35" s="43"/>
      <c r="AA35" s="47">
        <f t="shared" si="2"/>
        <v>44055</v>
      </c>
      <c r="AB35" s="49" t="str">
        <f t="shared" ca="1" si="1"/>
        <v>A3</v>
      </c>
      <c r="AC35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5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WeeklyPlanned(Output_Template[[#Headers],[WP_A1]], Output_Template[[#This Row],[Date]])</f>
        <v/>
      </c>
      <c r="AH35" s="51"/>
      <c r="AI35" s="51" t="str">
        <f ca="1">WeeklyPlanned(Output_Template[[#Headers],[WP_A2]], Output_Template[[#This Row],[Date]])</f>
        <v/>
      </c>
      <c r="AJ35" s="51"/>
      <c r="AK35" s="51">
        <f ca="1">WeeklyPlanned(Output_Template[[#Headers],[WP_A3]], Output_Template[[#This Row],[Date]])</f>
        <v>263.15789473684208</v>
      </c>
      <c r="AL35" s="51"/>
    </row>
    <row r="36" spans="2:38" ht="15.5" x14ac:dyDescent="0.35">
      <c r="B36" s="30"/>
      <c r="C36" s="31"/>
      <c r="D36" s="31"/>
      <c r="E36" s="31"/>
      <c r="F36" s="31"/>
      <c r="G36" s="31"/>
      <c r="H36" s="31"/>
      <c r="I36" s="31"/>
      <c r="J36" s="31"/>
      <c r="K36" s="31"/>
      <c r="L36" s="31"/>
      <c r="M36" s="31"/>
      <c r="N36" s="31"/>
      <c r="O36" s="43"/>
      <c r="AA36" s="47">
        <f t="shared" si="2"/>
        <v>44062</v>
      </c>
      <c r="AB36" s="49" t="str">
        <f t="shared" ca="1" si="1"/>
        <v>A3</v>
      </c>
      <c r="AC36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6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WeeklyPlanned(Output_Template[[#Headers],[WP_A1]], Output_Template[[#This Row],[Date]])</f>
        <v/>
      </c>
      <c r="AH36" s="51"/>
      <c r="AI36" s="51" t="str">
        <f ca="1">WeeklyPlanned(Output_Template[[#Headers],[WP_A2]], Output_Template[[#This Row],[Date]])</f>
        <v/>
      </c>
      <c r="AJ36" s="51"/>
      <c r="AK36" s="51">
        <f ca="1">WeeklyPlanned(Output_Template[[#Headers],[WP_A3]], Output_Template[[#This Row],[Date]])</f>
        <v>263.15789473684208</v>
      </c>
      <c r="AL36" s="51"/>
    </row>
    <row r="37" spans="2:38" ht="15.5" x14ac:dyDescent="0.35">
      <c r="B37" s="30"/>
      <c r="C37" s="31"/>
      <c r="D37" s="31"/>
      <c r="E37" s="31"/>
      <c r="F37" s="31"/>
      <c r="G37" s="31"/>
      <c r="H37" s="31"/>
      <c r="I37" s="31"/>
      <c r="J37" s="31"/>
      <c r="K37" s="31"/>
      <c r="L37" s="31"/>
      <c r="M37" s="31"/>
      <c r="N37" s="31"/>
      <c r="O37" s="43"/>
      <c r="AA37" s="47">
        <f t="shared" si="2"/>
        <v>44069</v>
      </c>
      <c r="AB37" s="49" t="str">
        <f t="shared" ca="1" si="1"/>
        <v>A3</v>
      </c>
      <c r="AC37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7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WeeklyPlanned(Output_Template[[#Headers],[WP_A1]], Output_Template[[#This Row],[Date]])</f>
        <v/>
      </c>
      <c r="AH37" s="51"/>
      <c r="AI37" s="51" t="str">
        <f ca="1">WeeklyPlanned(Output_Template[[#Headers],[WP_A2]], Output_Template[[#This Row],[Date]])</f>
        <v/>
      </c>
      <c r="AJ37" s="51"/>
      <c r="AK37" s="51">
        <f ca="1">WeeklyPlanned(Output_Template[[#Headers],[WP_A3]], Output_Template[[#This Row],[Date]])</f>
        <v>263.15789473684208</v>
      </c>
      <c r="AL37" s="51"/>
    </row>
    <row r="38" spans="2:38" ht="15.5" x14ac:dyDescent="0.35">
      <c r="B38" s="30"/>
      <c r="C38" s="31"/>
      <c r="D38" s="31"/>
      <c r="E38" s="31"/>
      <c r="F38" s="31"/>
      <c r="G38" s="31"/>
      <c r="H38" s="31"/>
      <c r="I38" s="31"/>
      <c r="J38" s="31"/>
      <c r="K38" s="31"/>
      <c r="L38" s="31"/>
      <c r="M38" s="31"/>
      <c r="N38" s="31"/>
      <c r="O38" s="43"/>
      <c r="AA38" s="47">
        <f t="shared" si="2"/>
        <v>44076</v>
      </c>
      <c r="AB38" s="49" t="str">
        <f t="shared" ca="1" si="1"/>
        <v>A3</v>
      </c>
      <c r="AC38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8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WeeklyPlanned(Output_Template[[#Headers],[WP_A1]], Output_Template[[#This Row],[Date]])</f>
        <v/>
      </c>
      <c r="AH38" s="51"/>
      <c r="AI38" s="51" t="str">
        <f ca="1">WeeklyPlanned(Output_Template[[#Headers],[WP_A2]], Output_Template[[#This Row],[Date]])</f>
        <v/>
      </c>
      <c r="AJ38" s="51"/>
      <c r="AK38" s="51">
        <f ca="1">WeeklyPlanned(Output_Template[[#Headers],[WP_A3]], Output_Template[[#This Row],[Date]])</f>
        <v>263.15789473684208</v>
      </c>
      <c r="AL38" s="51"/>
    </row>
    <row r="39" spans="2:38" ht="15.5" x14ac:dyDescent="0.35">
      <c r="B39" s="30"/>
      <c r="C39" s="31"/>
      <c r="D39" s="31"/>
      <c r="E39" s="31"/>
      <c r="F39" s="31"/>
      <c r="G39" s="31"/>
      <c r="H39" s="31"/>
      <c r="I39" s="31"/>
      <c r="J39" s="31"/>
      <c r="K39" s="31"/>
      <c r="L39" s="31"/>
      <c r="M39" s="31"/>
      <c r="N39" s="31"/>
      <c r="O39" s="43"/>
      <c r="AA39" s="47">
        <f t="shared" si="2"/>
        <v>44083</v>
      </c>
      <c r="AB39" s="49" t="str">
        <f t="shared" ca="1" si="1"/>
        <v>A3</v>
      </c>
      <c r="AC39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39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WeeklyPlanned(Output_Template[[#Headers],[WP_A1]], Output_Template[[#This Row],[Date]])</f>
        <v/>
      </c>
      <c r="AH39" s="51"/>
      <c r="AI39" s="51" t="str">
        <f ca="1">WeeklyPlanned(Output_Template[[#Headers],[WP_A2]], Output_Template[[#This Row],[Date]])</f>
        <v/>
      </c>
      <c r="AJ39" s="51"/>
      <c r="AK39" s="51">
        <f ca="1">WeeklyPlanned(Output_Template[[#Headers],[WP_A3]], Output_Template[[#This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2"/>
        <v>44090</v>
      </c>
      <c r="AB40" s="49" t="str">
        <f t="shared" ca="1" si="1"/>
        <v>A3</v>
      </c>
      <c r="AC40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0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WeeklyPlanned(Output_Template[[#Headers],[WP_A1]], Output_Template[[#This Row],[Date]])</f>
        <v/>
      </c>
      <c r="AH40" s="51"/>
      <c r="AI40" s="51" t="str">
        <f ca="1">WeeklyPlanned(Output_Template[[#Headers],[WP_A2]], Output_Template[[#This Row],[Date]])</f>
        <v/>
      </c>
      <c r="AJ40" s="51"/>
      <c r="AK40" s="51">
        <f ca="1">WeeklyPlanned(Output_Template[[#Headers],[WP_A3]], Output_Template[[#This Row],[Date]])</f>
        <v>263.15789473684208</v>
      </c>
      <c r="AL40" s="51"/>
    </row>
    <row r="41" spans="2:38" ht="14.5" x14ac:dyDescent="0.35">
      <c r="AA41" s="47">
        <f t="shared" si="2"/>
        <v>44097</v>
      </c>
      <c r="AB41" s="49" t="str">
        <f t="shared" ca="1" si="1"/>
        <v>A3</v>
      </c>
      <c r="AC41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1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WeeklyPlanned(Output_Template[[#Headers],[WP_A1]], Output_Template[[#This Row],[Date]])</f>
        <v/>
      </c>
      <c r="AH41" s="51"/>
      <c r="AI41" s="51" t="str">
        <f ca="1">WeeklyPlanned(Output_Template[[#Headers],[WP_A2]], Output_Template[[#This Row],[Date]])</f>
        <v/>
      </c>
      <c r="AJ41" s="51"/>
      <c r="AK41" s="51">
        <f ca="1">WeeklyPlanned(Output_Template[[#Headers],[WP_A3]], Output_Template[[#This Row],[Date]])</f>
        <v>263.15789473684208</v>
      </c>
      <c r="AL41" s="51"/>
    </row>
    <row r="42" spans="2:38" ht="14.5" x14ac:dyDescent="0.35">
      <c r="AA42" s="47">
        <f t="shared" si="2"/>
        <v>44104</v>
      </c>
      <c r="AB42" s="49" t="str">
        <f t="shared" ca="1" si="1"/>
        <v>A3</v>
      </c>
      <c r="AC42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263.15789473684208</v>
      </c>
      <c r="AD42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WeeklyPlanned(Output_Template[[#Headers],[WP_A1]], Output_Template[[#This Row],[Date]])</f>
        <v/>
      </c>
      <c r="AH42" s="51"/>
      <c r="AI42" s="51" t="str">
        <f ca="1">WeeklyPlanned(Output_Template[[#Headers],[WP_A2]], Output_Template[[#This Row],[Date]])</f>
        <v/>
      </c>
      <c r="AJ42" s="51"/>
      <c r="AK42" s="51">
        <f ca="1">WeeklyPlanned(Output_Template[[#Headers],[WP_A3]], Output_Template[[#This Row],[Date]])</f>
        <v>263.15789473684208</v>
      </c>
      <c r="AL42" s="51"/>
    </row>
    <row r="43" spans="2:38" ht="14.5" x14ac:dyDescent="0.35">
      <c r="AA43" s="47">
        <f t="shared" si="2"/>
        <v>44111</v>
      </c>
      <c r="AB43" s="49" t="str">
        <f t="shared" ca="1" si="1"/>
        <v>A3</v>
      </c>
      <c r="AC43" s="51">
        <f ca="1">IF(Output_Template[[#This Row],[WP_A1]]="", 0, Output_Template[[#This Row],[WP_A1]])+IF(Output_Template[[#This Row],[WP_A2]]="", 0, Output_Template[[#This Row],[WP_A2]])+IF(Output_Template[[#This Row],[WP_A3]]="", 0, Output_Template[[#This Row],[WP_A3]])</f>
        <v>105.26315789473684</v>
      </c>
      <c r="AD43" s="51" t="str">
        <f>IF(AND(ISBLANK(Output_Template[[#This Row],[WA_A1]]),ISBLANK(Output_Template[[#This Row],[WA_A2]]),ISBLANK(Output_Template[[#This Row],[WA_A3]])),"", Output_Template[[#This Row],[WA_A1]]+Output_Template[[#This Row],[WA_A2]]+Output_Template[[#This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WeeklyPlanned(Output_Template[[#Headers],[WP_A1]], Output_Template[[#This Row],[Date]])</f>
        <v/>
      </c>
      <c r="AH43" s="51"/>
      <c r="AI43" s="51" t="str">
        <f ca="1">WeeklyPlanned(Output_Template[[#Headers],[WP_A2]], Output_Template[[#This Row],[Date]])</f>
        <v/>
      </c>
      <c r="AJ43" s="51"/>
      <c r="AK43" s="51">
        <f ca="1">WeeklyPlanned(Output_Template[[#Headers],[WP_A3]], Output_Template[[#This Row],[Date]])</f>
        <v>105.26315789473684</v>
      </c>
      <c r="AL43" s="51"/>
    </row>
  </sheetData>
  <mergeCells count="21">
    <mergeCell ref="L14:O15"/>
    <mergeCell ref="J11:M1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9:M9"/>
    <mergeCell ref="J10:M10"/>
    <mergeCell ref="AA1:AB1"/>
    <mergeCell ref="J12:M12"/>
    <mergeCell ref="N12:O12"/>
    <mergeCell ref="J13:M13"/>
    <mergeCell ref="N13:O13"/>
    <mergeCell ref="U9:X9"/>
    <mergeCell ref="U10:X11"/>
  </mergeCells>
  <phoneticPr fontId="6" type="noConversion"/>
  <conditionalFormatting sqref="AF14:AL43">
    <cfRule type="containsErrors" dxfId="44" priority="10">
      <formula>ISERROR(AF14)</formula>
    </cfRule>
  </conditionalFormatting>
  <conditionalFormatting sqref="W13:X13">
    <cfRule type="expression" dxfId="43" priority="8">
      <formula>IF(OR($S$8 = "Assemble Addin", $S$8 = "Bluebeam QL"), TRUE, FALSE)</formula>
    </cfRule>
  </conditionalFormatting>
  <conditionalFormatting sqref="N6:O6">
    <cfRule type="expression" dxfId="42" priority="7">
      <formula>IF($N$6=$O$6, FALSE, TRUE)</formula>
    </cfRule>
  </conditionalFormatting>
  <conditionalFormatting sqref="W14:X16">
    <cfRule type="expression" dxfId="41" priority="5">
      <formula>IF(OR($S$8 = "Assemble Addin", $S$8 = "Bluebeam QL"), TRUE, FALSE)</formula>
    </cfRule>
    <cfRule type="expression" dxfId="40" priority="6">
      <formula>IF(OR($S$8 = "Assemble Addin", $S$8 = "Bluebeam QL"), MOD(ROW(), 2)=0, FALSE)</formula>
    </cfRule>
  </conditionalFormatting>
  <conditionalFormatting sqref="R13">
    <cfRule type="expression" dxfId="39" priority="2">
      <formula>IF($S$8 = "Assemble Addin", TRUE, FALSE)</formula>
    </cfRule>
  </conditionalFormatting>
  <conditionalFormatting sqref="R14:R16">
    <cfRule type="expression" dxfId="38" priority="1">
      <formula>IF($S$8 = "Assemble Addin", MOD(ROW(), 2)=0, FALSE)</formula>
    </cfRule>
  </conditionalFormatting>
  <dataValidations count="2">
    <dataValidation type="list" showInputMessage="1" showErrorMessage="1" sqref="S8" xr:uid="{87A05692-0E71-429C-8F5D-6A6BF79ADEFF}">
      <formula1>"Manual, Assemble Addin, Bluebeam QL"</formula1>
    </dataValidation>
    <dataValidation type="list" showInputMessage="1" showErrorMessage="1" sqref="U2:U8" xr:uid="{BC675DFB-B567-499A-B2C6-ACEA7CB3A9A7}">
      <formula1>"TRUE, FALSE"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3" r:id="rId4" name="Button 1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5" name="Button 1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6" name="Button 1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7" name="Button 15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8" name="Button 16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9" name="Button 19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10" name="Button 23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B265D8-1FB3-465A-89D0-BAD5A69683A7}">
  <sheetPr codeName="Sheet5"/>
  <dimension ref="A1:N34"/>
  <sheetViews>
    <sheetView workbookViewId="0">
      <selection sqref="A1:N2"/>
    </sheetView>
  </sheetViews>
  <sheetFormatPr defaultRowHeight="14.5" x14ac:dyDescent="0.35"/>
  <sheetData>
    <row r="1" spans="1:14" x14ac:dyDescent="0.35">
      <c r="A1" s="99" t="str">
        <f>UPPER("Structural Steel 07/01/2020")</f>
        <v>STRUCTURAL STEEL 07/01/2020</v>
      </c>
      <c r="B1" s="99"/>
      <c r="C1" s="99"/>
      <c r="D1" s="99"/>
      <c r="E1" s="99"/>
      <c r="F1" s="99"/>
      <c r="G1" s="99"/>
      <c r="H1" s="99"/>
      <c r="I1" s="99"/>
      <c r="J1" s="99"/>
      <c r="K1" s="99"/>
      <c r="L1" s="99"/>
      <c r="M1" s="99"/>
      <c r="N1" s="99"/>
    </row>
    <row r="2" spans="1:14" x14ac:dyDescent="0.35">
      <c r="A2" s="99"/>
      <c r="B2" s="99"/>
      <c r="C2" s="99"/>
      <c r="D2" s="99"/>
      <c r="E2" s="99"/>
      <c r="F2" s="99"/>
      <c r="G2" s="99"/>
      <c r="H2" s="99"/>
      <c r="I2" s="99"/>
      <c r="J2" s="99"/>
      <c r="K2" s="99"/>
      <c r="L2" s="99"/>
      <c r="M2" s="99"/>
      <c r="N2" s="99"/>
    </row>
    <row r="34" spans="1:14" x14ac:dyDescent="0.35">
      <c r="A34" s="100" t="s">
        <v>116</v>
      </c>
      <c r="B34" s="101"/>
      <c r="C34" s="101"/>
      <c r="D34" s="101"/>
      <c r="E34" s="101"/>
      <c r="F34" s="101"/>
      <c r="G34" s="101"/>
      <c r="H34" s="101"/>
      <c r="I34" s="101"/>
      <c r="J34" s="101"/>
      <c r="K34" s="101"/>
      <c r="L34" s="101"/>
      <c r="M34" s="101"/>
      <c r="N34" s="101"/>
    </row>
  </sheetData>
  <mergeCells count="2">
    <mergeCell ref="A1:N2"/>
    <mergeCell ref="A34:N34"/>
  </mergeCells>
  <pageMargins left="0.7" right="0.7" top="0.75" bottom="0.75" header="0.3" footer="0.3"/>
  <pageSetup paperSize="256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AC18"/>
  <sheetViews>
    <sheetView workbookViewId="0">
      <selection activeCell="A20" sqref="A20"/>
    </sheetView>
  </sheetViews>
  <sheetFormatPr defaultRowHeight="14.5" x14ac:dyDescent="0.35"/>
  <cols>
    <col min="1" max="1" width="2.54296875" customWidth="1"/>
    <col min="2" max="2" width="18.453125" bestFit="1" customWidth="1"/>
    <col min="3" max="3" width="35.54296875" customWidth="1"/>
    <col min="4" max="4" width="2.453125" customWidth="1"/>
    <col min="5" max="5" width="17.81640625" bestFit="1" customWidth="1"/>
    <col min="6" max="6" width="14.453125" customWidth="1"/>
    <col min="7" max="7" width="2.54296875" customWidth="1"/>
    <col min="8" max="8" width="17.453125" customWidth="1"/>
    <col min="9" max="9" width="2.54296875" customWidth="1"/>
    <col min="10" max="10" width="49.26953125" bestFit="1" customWidth="1"/>
    <col min="11" max="11" width="2.54296875" customWidth="1"/>
    <col min="12" max="12" width="23.1796875" bestFit="1" customWidth="1"/>
    <col min="13" max="13" width="86.54296875" bestFit="1" customWidth="1"/>
    <col min="28" max="28" width="10.36328125" customWidth="1"/>
  </cols>
  <sheetData>
    <row r="1" spans="2:29" ht="15.5" x14ac:dyDescent="0.35">
      <c r="E1" s="102" t="s">
        <v>5</v>
      </c>
      <c r="F1" s="102"/>
      <c r="H1" s="2" t="s">
        <v>9</v>
      </c>
      <c r="J1" t="s">
        <v>144</v>
      </c>
      <c r="L1" s="5" t="s">
        <v>12</v>
      </c>
      <c r="M1" s="5" t="s">
        <v>15</v>
      </c>
      <c r="AB1" t="s">
        <v>117</v>
      </c>
      <c r="AC1" t="s">
        <v>118</v>
      </c>
    </row>
    <row r="2" spans="2:29" ht="15.5" x14ac:dyDescent="0.35">
      <c r="B2" s="103" t="s">
        <v>6</v>
      </c>
      <c r="C2" s="103"/>
      <c r="E2" t="s">
        <v>0</v>
      </c>
      <c r="F2" t="s">
        <v>7</v>
      </c>
      <c r="H2" t="s">
        <v>3</v>
      </c>
      <c r="J2" t="s">
        <v>135</v>
      </c>
    </row>
    <row r="3" spans="2:29" x14ac:dyDescent="0.35">
      <c r="B3" s="3" t="s">
        <v>10</v>
      </c>
      <c r="C3" s="4" t="s">
        <v>154</v>
      </c>
      <c r="E3" t="s">
        <v>1</v>
      </c>
      <c r="F3" t="b">
        <v>1</v>
      </c>
      <c r="H3" s="1">
        <v>43976</v>
      </c>
      <c r="J3" t="s">
        <v>26</v>
      </c>
    </row>
    <row r="4" spans="2:29" x14ac:dyDescent="0.35">
      <c r="B4" s="3" t="s">
        <v>13</v>
      </c>
      <c r="C4" s="4" t="s">
        <v>151</v>
      </c>
      <c r="E4" t="s">
        <v>2</v>
      </c>
      <c r="F4" t="b">
        <v>1</v>
      </c>
      <c r="H4" s="1">
        <v>44190</v>
      </c>
      <c r="J4" t="s">
        <v>27</v>
      </c>
    </row>
    <row r="5" spans="2:29" x14ac:dyDescent="0.35">
      <c r="B5" t="s">
        <v>8</v>
      </c>
      <c r="C5" s="6">
        <v>44652</v>
      </c>
      <c r="E5" t="s">
        <v>4</v>
      </c>
      <c r="F5" t="b">
        <v>0</v>
      </c>
      <c r="H5" s="1">
        <v>44197</v>
      </c>
      <c r="J5" t="s">
        <v>28</v>
      </c>
    </row>
    <row r="6" spans="2:29" x14ac:dyDescent="0.35">
      <c r="B6" t="s">
        <v>14</v>
      </c>
      <c r="C6" s="4" t="str">
        <f>C4&amp;" Power BI Export.xlsx"</f>
        <v>S590 Power BI Export.xlsx</v>
      </c>
      <c r="E6" t="s">
        <v>11</v>
      </c>
      <c r="F6" t="b">
        <v>0</v>
      </c>
      <c r="H6" s="1"/>
      <c r="J6" t="s">
        <v>29</v>
      </c>
    </row>
    <row r="7" spans="2:29" x14ac:dyDescent="0.35">
      <c r="B7" t="s">
        <v>17</v>
      </c>
      <c r="C7" s="4" t="s">
        <v>152</v>
      </c>
      <c r="H7" s="1"/>
      <c r="J7" t="s">
        <v>30</v>
      </c>
    </row>
    <row r="8" spans="2:29" x14ac:dyDescent="0.35">
      <c r="B8" t="s">
        <v>19</v>
      </c>
      <c r="C8" s="4" t="s">
        <v>145</v>
      </c>
      <c r="H8" s="1"/>
      <c r="J8" t="s">
        <v>127</v>
      </c>
    </row>
    <row r="9" spans="2:29" x14ac:dyDescent="0.35">
      <c r="B9" t="s">
        <v>20</v>
      </c>
      <c r="C9" s="4" t="s">
        <v>147</v>
      </c>
      <c r="H9" s="1"/>
      <c r="J9" t="s">
        <v>128</v>
      </c>
    </row>
    <row r="10" spans="2:29" x14ac:dyDescent="0.35">
      <c r="B10" t="s">
        <v>21</v>
      </c>
      <c r="C10" s="4" t="s">
        <v>146</v>
      </c>
      <c r="H10" s="1"/>
      <c r="J10" t="s">
        <v>129</v>
      </c>
    </row>
    <row r="11" spans="2:29" x14ac:dyDescent="0.35">
      <c r="B11" t="s">
        <v>87</v>
      </c>
      <c r="C11" t="s">
        <v>89</v>
      </c>
      <c r="H11" s="1"/>
      <c r="J11" t="s">
        <v>130</v>
      </c>
    </row>
    <row r="12" spans="2:29" x14ac:dyDescent="0.35">
      <c r="H12" s="1"/>
      <c r="J12" t="s">
        <v>131</v>
      </c>
    </row>
    <row r="13" spans="2:29" x14ac:dyDescent="0.35">
      <c r="H13" s="1"/>
      <c r="J13" t="s">
        <v>132</v>
      </c>
    </row>
    <row r="14" spans="2:29" x14ac:dyDescent="0.35">
      <c r="H14" s="1"/>
    </row>
    <row r="15" spans="2:29" x14ac:dyDescent="0.35">
      <c r="H15" s="1"/>
    </row>
    <row r="16" spans="2:29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FUTURE FEATURE NOT AVAILABLE YET. This setting adds half production for the day after a holiday on the schedule. (Also half production for the week of Christmas)" sqref="F5" xr:uid="{99DB0BEB-D9A3-46F5-B50F-0AEE7303E4ED}">
      <formula1>"FALSE"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11</xdr:col>
                    <xdr:colOff>19050</xdr:colOff>
                    <xdr:row>1</xdr:row>
                    <xdr:rowOff>19050</xdr:rowOff>
                  </from>
                  <to>
                    <xdr:col>11</xdr:col>
                    <xdr:colOff>1651000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4">
    <tablePart r:id="rId5"/>
    <tablePart r:id="rId6"/>
    <tablePart r:id="rId7"/>
    <tablePart r:id="rId8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L691"/>
  <sheetViews>
    <sheetView tabSelected="1" zoomScale="115" zoomScaleNormal="115" workbookViewId="0">
      <selection activeCell="B37" sqref="B37"/>
    </sheetView>
  </sheetViews>
  <sheetFormatPr defaultRowHeight="14" x14ac:dyDescent="0.3"/>
  <cols>
    <col min="1" max="1" width="2.1796875" style="67" customWidth="1"/>
    <col min="2" max="2" width="45.1796875" style="67" customWidth="1"/>
    <col min="3" max="3" width="27.453125" style="67" customWidth="1"/>
    <col min="4" max="5" width="10.81640625" style="10" customWidth="1"/>
    <col min="6" max="6" width="2.26953125" style="67" customWidth="1"/>
    <col min="7" max="7" width="21.54296875" style="61" bestFit="1" customWidth="1"/>
    <col min="8" max="8" width="15.1796875" style="67" customWidth="1"/>
    <col min="9" max="9" width="19.08984375" style="67" bestFit="1" customWidth="1"/>
    <col min="10" max="11" width="14.1796875" style="67" customWidth="1"/>
    <col min="12" max="16384" width="8.7265625" style="67"/>
  </cols>
  <sheetData>
    <row r="2" spans="2:12" ht="28" customHeight="1" x14ac:dyDescent="0.3">
      <c r="B2" s="105" t="str">
        <f>"PROGRESS REPORT "&amp; TEXT(Report_Date, "mm/dd/yyy")</f>
        <v>PROGRESS REPORT 07/01/2020</v>
      </c>
      <c r="C2" s="105"/>
      <c r="D2" s="105"/>
      <c r="E2" s="105"/>
      <c r="J2" s="67" t="str">
        <f>_xlfn.CONCAT("&lt;-- This will overwrite any existing reports for ",TEXT(Report_Date,"mm/dd/yyyy"))</f>
        <v>&lt;-- This will overwrite any existing reports for 07/01/2020</v>
      </c>
    </row>
    <row r="3" spans="2:12" ht="8.25" customHeight="1" x14ac:dyDescent="0.3"/>
    <row r="4" spans="2:12" ht="17.5" x14ac:dyDescent="0.35">
      <c r="B4" s="7" t="str">
        <f>Project_Number &amp; " - " &amp; Project_Name</f>
        <v>S590 - St. George Temple Major Renovation 2019</v>
      </c>
    </row>
    <row r="5" spans="2:12" ht="6" customHeight="1" x14ac:dyDescent="0.3"/>
    <row r="6" spans="2:12" x14ac:dyDescent="0.3">
      <c r="B6" s="67" t="str">
        <f>"Project Manager(s): " &amp; Project_Manager</f>
        <v>Project Manager(s): Ryan Thomas</v>
      </c>
      <c r="G6" s="75" t="s">
        <v>16</v>
      </c>
      <c r="H6" s="70">
        <v>44013</v>
      </c>
    </row>
    <row r="7" spans="2:12" x14ac:dyDescent="0.3">
      <c r="B7" s="67" t="str">
        <f>"Project Engineer(s): " &amp; Project_Engineer</f>
        <v>Project Engineer(s): Camron Walker (North Add &amp; Site) &amp; David Adams (Historic)</v>
      </c>
      <c r="G7" s="75" t="s">
        <v>31</v>
      </c>
      <c r="H7" s="71" t="s">
        <v>18</v>
      </c>
    </row>
    <row r="8" spans="2:12" x14ac:dyDescent="0.3">
      <c r="B8" s="67" t="str">
        <f>"Superintendent(s):  " &amp; Superintendent</f>
        <v>Superintendent(s):  Jay W. (North Add), Dion G. (Historic), Jason F. (MEP) &amp; Zac G. (Site)</v>
      </c>
      <c r="G8" s="75" t="s">
        <v>32</v>
      </c>
      <c r="H8" s="72">
        <v>0.03</v>
      </c>
    </row>
    <row r="9" spans="2:12" ht="10" customHeight="1" x14ac:dyDescent="0.3"/>
    <row r="10" spans="2:12" ht="16.5" x14ac:dyDescent="0.35">
      <c r="B10" s="11" t="s">
        <v>22</v>
      </c>
      <c r="C10" s="11" t="s">
        <v>23</v>
      </c>
      <c r="D10" s="12" t="s">
        <v>24</v>
      </c>
      <c r="E10" s="12" t="s">
        <v>25</v>
      </c>
      <c r="F10" s="15"/>
      <c r="G10" s="15" t="s">
        <v>36</v>
      </c>
      <c r="H10" s="14" t="s">
        <v>33</v>
      </c>
      <c r="I10" s="12" t="s">
        <v>157</v>
      </c>
      <c r="J10" s="12" t="s">
        <v>35</v>
      </c>
      <c r="K10" s="12" t="s">
        <v>34</v>
      </c>
    </row>
    <row r="11" spans="2:12" ht="15" hidden="1" x14ac:dyDescent="0.3">
      <c r="B11" s="104" t="s">
        <v>26</v>
      </c>
      <c r="C11" s="104"/>
      <c r="D11" s="104"/>
      <c r="E11" s="104"/>
      <c r="F11" s="16"/>
      <c r="G11" s="16"/>
      <c r="H11" s="16"/>
      <c r="I11" s="16"/>
      <c r="J11" s="16"/>
      <c r="K11" s="16"/>
      <c r="L11" s="76" t="s">
        <v>161</v>
      </c>
    </row>
    <row r="12" spans="2:12" hidden="1" x14ac:dyDescent="0.3">
      <c r="B12" s="13"/>
      <c r="G12" s="38"/>
      <c r="H12" s="37"/>
    </row>
    <row r="13" spans="2:12" ht="15" x14ac:dyDescent="0.3">
      <c r="B13" s="104" t="s">
        <v>27</v>
      </c>
      <c r="C13" s="104"/>
      <c r="D13" s="104"/>
      <c r="E13" s="104"/>
      <c r="F13" s="16"/>
      <c r="G13" s="16"/>
      <c r="H13" s="16"/>
      <c r="I13" s="16"/>
      <c r="J13" s="16"/>
      <c r="K13" s="16"/>
      <c r="L13" s="76" t="s">
        <v>161</v>
      </c>
    </row>
    <row r="14" spans="2:12" s="77" customFormat="1" x14ac:dyDescent="0.3">
      <c r="B14" s="9"/>
      <c r="D14" s="107"/>
      <c r="E14" s="107"/>
      <c r="G14" s="73"/>
      <c r="H14" s="37"/>
    </row>
    <row r="15" spans="2:12" ht="15" x14ac:dyDescent="0.3">
      <c r="B15" s="104" t="s">
        <v>28</v>
      </c>
      <c r="C15" s="104"/>
      <c r="D15" s="104"/>
      <c r="E15" s="104"/>
      <c r="F15" s="16"/>
      <c r="G15" s="16"/>
      <c r="H15" s="16"/>
      <c r="I15" s="16"/>
      <c r="J15" s="16"/>
      <c r="K15" s="16"/>
      <c r="L15" s="76" t="s">
        <v>161</v>
      </c>
    </row>
    <row r="16" spans="2:12" s="77" customFormat="1" x14ac:dyDescent="0.3">
      <c r="B16" s="9" t="s">
        <v>150</v>
      </c>
      <c r="C16" s="77" t="s">
        <v>148</v>
      </c>
      <c r="D16" s="10">
        <f ca="1">'0501'!N5</f>
        <v>0</v>
      </c>
      <c r="E16" s="10">
        <f ca="1">'0501'!O5</f>
        <v>0.10714285714285712</v>
      </c>
      <c r="G16" s="73"/>
      <c r="H16" s="37" t="s">
        <v>149</v>
      </c>
      <c r="I16" s="74" t="s">
        <v>162</v>
      </c>
      <c r="J16" s="77" t="s">
        <v>159</v>
      </c>
      <c r="K16" s="77" t="s">
        <v>160</v>
      </c>
    </row>
    <row r="17" spans="2:12" s="76" customFormat="1" x14ac:dyDescent="0.3">
      <c r="B17" s="9"/>
      <c r="D17" s="10"/>
      <c r="E17" s="10"/>
      <c r="G17" s="73"/>
      <c r="H17" s="37"/>
    </row>
    <row r="18" spans="2:12" ht="15" hidden="1" x14ac:dyDescent="0.3">
      <c r="B18" s="104" t="s">
        <v>29</v>
      </c>
      <c r="C18" s="104"/>
      <c r="D18" s="104"/>
      <c r="E18" s="104"/>
      <c r="F18" s="16"/>
      <c r="G18" s="16"/>
      <c r="H18" s="16"/>
      <c r="I18" s="16"/>
      <c r="J18" s="16"/>
      <c r="K18" s="16"/>
      <c r="L18" s="76" t="s">
        <v>161</v>
      </c>
    </row>
    <row r="19" spans="2:12" hidden="1" x14ac:dyDescent="0.3">
      <c r="B19" s="9"/>
      <c r="G19" s="73"/>
      <c r="H19" s="37"/>
    </row>
    <row r="20" spans="2:12" ht="15" hidden="1" x14ac:dyDescent="0.3">
      <c r="B20" s="104" t="s">
        <v>30</v>
      </c>
      <c r="C20" s="104"/>
      <c r="D20" s="104"/>
      <c r="E20" s="104"/>
      <c r="F20" s="16"/>
      <c r="G20" s="16"/>
      <c r="H20" s="16"/>
      <c r="I20" s="16"/>
      <c r="J20" s="16"/>
      <c r="K20" s="16"/>
      <c r="L20" s="76" t="s">
        <v>161</v>
      </c>
    </row>
    <row r="21" spans="2:12" hidden="1" x14ac:dyDescent="0.3">
      <c r="B21" s="9"/>
      <c r="G21" s="73"/>
      <c r="H21" s="37"/>
    </row>
    <row r="22" spans="2:12" ht="15" hidden="1" x14ac:dyDescent="0.3">
      <c r="B22" s="104" t="s">
        <v>127</v>
      </c>
      <c r="C22" s="104"/>
      <c r="D22" s="104"/>
      <c r="E22" s="104"/>
      <c r="F22" s="16"/>
      <c r="G22" s="16"/>
      <c r="H22" s="16"/>
      <c r="I22" s="16"/>
      <c r="J22" s="16"/>
      <c r="K22" s="16"/>
      <c r="L22" s="76" t="s">
        <v>161</v>
      </c>
    </row>
    <row r="23" spans="2:12" hidden="1" x14ac:dyDescent="0.3">
      <c r="B23" s="9"/>
      <c r="G23" s="73"/>
      <c r="H23" s="37"/>
    </row>
    <row r="24" spans="2:12" ht="15" hidden="1" x14ac:dyDescent="0.3">
      <c r="B24" s="104" t="s">
        <v>128</v>
      </c>
      <c r="C24" s="104"/>
      <c r="D24" s="104"/>
      <c r="E24" s="104"/>
      <c r="F24" s="16"/>
      <c r="G24" s="16"/>
      <c r="H24" s="16"/>
      <c r="I24" s="16"/>
      <c r="J24" s="16"/>
      <c r="K24" s="16"/>
      <c r="L24" s="76" t="s">
        <v>161</v>
      </c>
    </row>
    <row r="25" spans="2:12" hidden="1" x14ac:dyDescent="0.3">
      <c r="B25" s="9"/>
      <c r="G25" s="73"/>
      <c r="H25" s="37"/>
    </row>
    <row r="26" spans="2:12" ht="15" hidden="1" x14ac:dyDescent="0.3">
      <c r="B26" s="104" t="s">
        <v>129</v>
      </c>
      <c r="C26" s="104"/>
      <c r="D26" s="104"/>
      <c r="E26" s="104"/>
      <c r="F26" s="16"/>
      <c r="G26" s="16"/>
      <c r="H26" s="16"/>
      <c r="I26" s="16"/>
      <c r="J26" s="16"/>
      <c r="K26" s="16"/>
      <c r="L26" s="76" t="s">
        <v>161</v>
      </c>
    </row>
    <row r="27" spans="2:12" hidden="1" x14ac:dyDescent="0.3">
      <c r="B27" s="9"/>
      <c r="G27" s="73"/>
      <c r="H27" s="37"/>
    </row>
    <row r="28" spans="2:12" ht="15" hidden="1" x14ac:dyDescent="0.3">
      <c r="B28" s="104" t="s">
        <v>130</v>
      </c>
      <c r="C28" s="104"/>
      <c r="D28" s="104"/>
      <c r="E28" s="104"/>
      <c r="F28" s="16"/>
      <c r="G28" s="16"/>
      <c r="H28" s="16"/>
      <c r="I28" s="16"/>
      <c r="J28" s="16"/>
      <c r="K28" s="16"/>
      <c r="L28" s="76" t="s">
        <v>161</v>
      </c>
    </row>
    <row r="29" spans="2:12" hidden="1" x14ac:dyDescent="0.3">
      <c r="B29" s="9"/>
      <c r="G29" s="73"/>
      <c r="H29" s="37"/>
    </row>
    <row r="30" spans="2:12" ht="15" hidden="1" x14ac:dyDescent="0.3">
      <c r="B30" s="104" t="s">
        <v>131</v>
      </c>
      <c r="C30" s="104"/>
      <c r="D30" s="104"/>
      <c r="E30" s="104"/>
      <c r="F30" s="16"/>
      <c r="G30" s="16"/>
      <c r="H30" s="16"/>
      <c r="I30" s="16"/>
      <c r="J30" s="16"/>
      <c r="K30" s="16"/>
      <c r="L30" s="76" t="s">
        <v>161</v>
      </c>
    </row>
    <row r="31" spans="2:12" hidden="1" x14ac:dyDescent="0.3">
      <c r="B31" s="9"/>
      <c r="G31" s="73"/>
      <c r="H31" s="37"/>
    </row>
    <row r="32" spans="2:12" ht="15" x14ac:dyDescent="0.3">
      <c r="B32" s="104" t="s">
        <v>132</v>
      </c>
      <c r="C32" s="104"/>
      <c r="D32" s="104"/>
      <c r="E32" s="104"/>
      <c r="F32" s="16"/>
      <c r="G32" s="16"/>
      <c r="H32" s="16"/>
      <c r="I32" s="16"/>
      <c r="J32" s="16"/>
      <c r="K32" s="16"/>
      <c r="L32" s="67" t="s">
        <v>161</v>
      </c>
    </row>
    <row r="33" spans="2:10" x14ac:dyDescent="0.3">
      <c r="B33" s="9" t="s">
        <v>153</v>
      </c>
      <c r="C33" s="67" t="s">
        <v>133</v>
      </c>
      <c r="G33" s="73"/>
      <c r="H33" s="37" t="s">
        <v>134</v>
      </c>
      <c r="I33" s="74" t="str">
        <f ca="1">IF(Report_Date = INDIRECT(H33 &amp; "!S9"), "Ready", "Not Ready")</f>
        <v>Ready</v>
      </c>
      <c r="J33" s="67" t="s">
        <v>159</v>
      </c>
    </row>
    <row r="34" spans="2:10" x14ac:dyDescent="0.3">
      <c r="G34" s="38"/>
      <c r="H34" s="37"/>
    </row>
    <row r="35" spans="2:10" x14ac:dyDescent="0.3">
      <c r="G35" s="38"/>
      <c r="H35" s="37"/>
    </row>
    <row r="36" spans="2:10" x14ac:dyDescent="0.3">
      <c r="G36" s="38"/>
      <c r="H36" s="37"/>
    </row>
    <row r="37" spans="2:10" x14ac:dyDescent="0.3">
      <c r="G37" s="38"/>
      <c r="H37" s="37"/>
    </row>
    <row r="38" spans="2:10" x14ac:dyDescent="0.3">
      <c r="G38" s="38"/>
      <c r="H38" s="37"/>
    </row>
    <row r="39" spans="2:10" x14ac:dyDescent="0.3">
      <c r="G39" s="38"/>
      <c r="H39" s="37"/>
    </row>
    <row r="40" spans="2:10" x14ac:dyDescent="0.3">
      <c r="G40" s="38"/>
      <c r="H40" s="37"/>
    </row>
    <row r="41" spans="2:10" x14ac:dyDescent="0.3">
      <c r="G41" s="38"/>
      <c r="H41" s="37"/>
    </row>
    <row r="42" spans="2:10" x14ac:dyDescent="0.3">
      <c r="G42" s="38"/>
      <c r="H42" s="37"/>
    </row>
    <row r="43" spans="2:10" x14ac:dyDescent="0.3">
      <c r="G43" s="38"/>
      <c r="H43" s="37"/>
    </row>
    <row r="44" spans="2:10" x14ac:dyDescent="0.3">
      <c r="G44" s="38"/>
      <c r="H44" s="37"/>
    </row>
    <row r="45" spans="2:10" x14ac:dyDescent="0.3">
      <c r="G45" s="38"/>
      <c r="H45" s="37"/>
    </row>
    <row r="46" spans="2:10" x14ac:dyDescent="0.3">
      <c r="G46" s="38"/>
      <c r="H46" s="37"/>
    </row>
    <row r="47" spans="2:10" x14ac:dyDescent="0.3">
      <c r="G47" s="38"/>
      <c r="H47" s="37"/>
    </row>
    <row r="48" spans="2:10" x14ac:dyDescent="0.3">
      <c r="G48" s="38"/>
      <c r="H48" s="37"/>
    </row>
    <row r="49" spans="7:8" x14ac:dyDescent="0.3">
      <c r="G49" s="38"/>
      <c r="H49" s="37"/>
    </row>
    <row r="50" spans="7:8" x14ac:dyDescent="0.3">
      <c r="G50" s="38"/>
      <c r="H50" s="37"/>
    </row>
    <row r="51" spans="7:8" x14ac:dyDescent="0.3">
      <c r="G51" s="38"/>
      <c r="H51" s="37"/>
    </row>
    <row r="52" spans="7:8" x14ac:dyDescent="0.3">
      <c r="G52" s="38"/>
      <c r="H52" s="37"/>
    </row>
    <row r="53" spans="7:8" x14ac:dyDescent="0.3">
      <c r="G53" s="38"/>
      <c r="H53" s="37"/>
    </row>
    <row r="54" spans="7:8" x14ac:dyDescent="0.3">
      <c r="G54" s="38"/>
      <c r="H54" s="37"/>
    </row>
    <row r="55" spans="7:8" x14ac:dyDescent="0.3">
      <c r="G55" s="38"/>
      <c r="H55" s="37"/>
    </row>
    <row r="56" spans="7:8" x14ac:dyDescent="0.3">
      <c r="G56" s="38"/>
      <c r="H56" s="37"/>
    </row>
    <row r="57" spans="7:8" x14ac:dyDescent="0.3">
      <c r="G57" s="38"/>
      <c r="H57" s="37"/>
    </row>
    <row r="58" spans="7:8" x14ac:dyDescent="0.3">
      <c r="G58" s="38"/>
      <c r="H58" s="37"/>
    </row>
    <row r="59" spans="7:8" x14ac:dyDescent="0.3">
      <c r="G59" s="38"/>
      <c r="H59" s="37"/>
    </row>
    <row r="60" spans="7:8" x14ac:dyDescent="0.3">
      <c r="G60" s="38"/>
      <c r="H60" s="37"/>
    </row>
    <row r="61" spans="7:8" x14ac:dyDescent="0.3">
      <c r="G61" s="38"/>
      <c r="H61" s="37"/>
    </row>
    <row r="62" spans="7:8" x14ac:dyDescent="0.3">
      <c r="G62" s="38"/>
      <c r="H62" s="37"/>
    </row>
    <row r="63" spans="7:8" x14ac:dyDescent="0.3">
      <c r="G63" s="38"/>
      <c r="H63" s="37"/>
    </row>
    <row r="64" spans="7:8" x14ac:dyDescent="0.3">
      <c r="G64" s="38"/>
      <c r="H64" s="37"/>
    </row>
    <row r="65" spans="7:8" x14ac:dyDescent="0.3">
      <c r="G65" s="38"/>
      <c r="H65" s="37"/>
    </row>
    <row r="66" spans="7:8" x14ac:dyDescent="0.3">
      <c r="G66" s="38"/>
      <c r="H66" s="37"/>
    </row>
    <row r="67" spans="7:8" x14ac:dyDescent="0.3">
      <c r="G67" s="38"/>
      <c r="H67" s="37"/>
    </row>
    <row r="68" spans="7:8" x14ac:dyDescent="0.3">
      <c r="G68" s="38"/>
      <c r="H68" s="37"/>
    </row>
    <row r="69" spans="7:8" x14ac:dyDescent="0.3">
      <c r="G69" s="38"/>
      <c r="H69" s="37"/>
    </row>
    <row r="70" spans="7:8" x14ac:dyDescent="0.3">
      <c r="G70" s="38"/>
      <c r="H70" s="37"/>
    </row>
    <row r="71" spans="7:8" x14ac:dyDescent="0.3">
      <c r="G71" s="38"/>
      <c r="H71" s="37"/>
    </row>
    <row r="72" spans="7:8" x14ac:dyDescent="0.3">
      <c r="G72" s="38"/>
      <c r="H72" s="37"/>
    </row>
    <row r="73" spans="7:8" x14ac:dyDescent="0.3">
      <c r="G73" s="38"/>
      <c r="H73" s="37"/>
    </row>
    <row r="74" spans="7:8" x14ac:dyDescent="0.3">
      <c r="G74" s="38"/>
      <c r="H74" s="37"/>
    </row>
    <row r="75" spans="7:8" x14ac:dyDescent="0.3">
      <c r="G75" s="38"/>
      <c r="H75" s="37"/>
    </row>
    <row r="76" spans="7:8" x14ac:dyDescent="0.3">
      <c r="G76" s="38"/>
      <c r="H76" s="37"/>
    </row>
    <row r="77" spans="7:8" x14ac:dyDescent="0.3">
      <c r="G77" s="38"/>
      <c r="H77" s="37"/>
    </row>
    <row r="78" spans="7:8" x14ac:dyDescent="0.3">
      <c r="G78" s="38"/>
      <c r="H78" s="37"/>
    </row>
    <row r="79" spans="7:8" x14ac:dyDescent="0.3">
      <c r="G79" s="38"/>
      <c r="H79" s="37"/>
    </row>
    <row r="80" spans="7:8" x14ac:dyDescent="0.3">
      <c r="G80" s="38"/>
      <c r="H80" s="37"/>
    </row>
    <row r="81" spans="7:8" x14ac:dyDescent="0.3">
      <c r="G81" s="38"/>
      <c r="H81" s="37"/>
    </row>
    <row r="82" spans="7:8" x14ac:dyDescent="0.3">
      <c r="G82" s="38"/>
      <c r="H82" s="37"/>
    </row>
    <row r="83" spans="7:8" x14ac:dyDescent="0.3">
      <c r="G83" s="38"/>
      <c r="H83" s="37"/>
    </row>
    <row r="84" spans="7:8" x14ac:dyDescent="0.3">
      <c r="G84" s="38"/>
      <c r="H84" s="37"/>
    </row>
    <row r="85" spans="7:8" x14ac:dyDescent="0.3">
      <c r="G85" s="38"/>
      <c r="H85" s="37"/>
    </row>
    <row r="86" spans="7:8" x14ac:dyDescent="0.3">
      <c r="G86" s="38"/>
      <c r="H86" s="37"/>
    </row>
    <row r="87" spans="7:8" x14ac:dyDescent="0.3">
      <c r="G87" s="38"/>
      <c r="H87" s="37"/>
    </row>
    <row r="88" spans="7:8" x14ac:dyDescent="0.3">
      <c r="G88" s="38"/>
      <c r="H88" s="37"/>
    </row>
    <row r="89" spans="7:8" x14ac:dyDescent="0.3">
      <c r="G89" s="38"/>
      <c r="H89" s="37"/>
    </row>
    <row r="90" spans="7:8" x14ac:dyDescent="0.3">
      <c r="G90" s="38"/>
      <c r="H90" s="37"/>
    </row>
    <row r="91" spans="7:8" x14ac:dyDescent="0.3">
      <c r="G91" s="38"/>
      <c r="H91" s="37"/>
    </row>
    <row r="92" spans="7:8" x14ac:dyDescent="0.3">
      <c r="G92" s="38"/>
      <c r="H92" s="37"/>
    </row>
    <row r="93" spans="7:8" x14ac:dyDescent="0.3">
      <c r="G93" s="38"/>
      <c r="H93" s="37"/>
    </row>
    <row r="94" spans="7:8" x14ac:dyDescent="0.3">
      <c r="G94" s="38"/>
      <c r="H94" s="37"/>
    </row>
    <row r="95" spans="7:8" x14ac:dyDescent="0.3">
      <c r="G95" s="38"/>
      <c r="H95" s="37"/>
    </row>
    <row r="96" spans="7:8" x14ac:dyDescent="0.3">
      <c r="G96" s="38"/>
      <c r="H96" s="37"/>
    </row>
    <row r="97" spans="7:8" x14ac:dyDescent="0.3">
      <c r="G97" s="38"/>
      <c r="H97" s="37"/>
    </row>
    <row r="98" spans="7:8" x14ac:dyDescent="0.3">
      <c r="G98" s="38"/>
      <c r="H98" s="37"/>
    </row>
    <row r="99" spans="7:8" x14ac:dyDescent="0.3">
      <c r="G99" s="38"/>
      <c r="H99" s="37"/>
    </row>
    <row r="100" spans="7:8" x14ac:dyDescent="0.3">
      <c r="G100" s="38"/>
      <c r="H100" s="37"/>
    </row>
    <row r="101" spans="7:8" x14ac:dyDescent="0.3">
      <c r="G101" s="38"/>
      <c r="H101" s="37"/>
    </row>
    <row r="102" spans="7:8" x14ac:dyDescent="0.3">
      <c r="G102" s="38"/>
      <c r="H102" s="37"/>
    </row>
    <row r="103" spans="7:8" x14ac:dyDescent="0.3">
      <c r="G103" s="38"/>
      <c r="H103" s="37"/>
    </row>
    <row r="104" spans="7:8" x14ac:dyDescent="0.3">
      <c r="G104" s="38"/>
      <c r="H104" s="37"/>
    </row>
    <row r="105" spans="7:8" x14ac:dyDescent="0.3">
      <c r="G105" s="38"/>
      <c r="H105" s="37"/>
    </row>
    <row r="106" spans="7:8" x14ac:dyDescent="0.3">
      <c r="G106" s="38"/>
      <c r="H106" s="37"/>
    </row>
    <row r="107" spans="7:8" x14ac:dyDescent="0.3">
      <c r="G107" s="38"/>
      <c r="H107" s="37"/>
    </row>
    <row r="108" spans="7:8" x14ac:dyDescent="0.3">
      <c r="G108" s="38"/>
      <c r="H108" s="37"/>
    </row>
    <row r="109" spans="7:8" x14ac:dyDescent="0.3">
      <c r="G109" s="38"/>
      <c r="H109" s="37"/>
    </row>
    <row r="110" spans="7:8" x14ac:dyDescent="0.3">
      <c r="G110" s="38"/>
      <c r="H110" s="37"/>
    </row>
    <row r="111" spans="7:8" x14ac:dyDescent="0.3">
      <c r="G111" s="38"/>
      <c r="H111" s="37"/>
    </row>
    <row r="112" spans="7:8" x14ac:dyDescent="0.3">
      <c r="G112" s="38"/>
      <c r="H112" s="37"/>
    </row>
    <row r="113" spans="7:8" x14ac:dyDescent="0.3">
      <c r="G113" s="38"/>
      <c r="H113" s="37"/>
    </row>
    <row r="114" spans="7:8" x14ac:dyDescent="0.3">
      <c r="G114" s="38"/>
      <c r="H114" s="37"/>
    </row>
    <row r="115" spans="7:8" x14ac:dyDescent="0.3">
      <c r="G115" s="38"/>
      <c r="H115" s="37"/>
    </row>
    <row r="116" spans="7:8" x14ac:dyDescent="0.3">
      <c r="G116" s="38"/>
      <c r="H116" s="37"/>
    </row>
    <row r="117" spans="7:8" x14ac:dyDescent="0.3">
      <c r="G117" s="38"/>
      <c r="H117" s="37"/>
    </row>
    <row r="118" spans="7:8" x14ac:dyDescent="0.3">
      <c r="G118" s="38"/>
      <c r="H118" s="37"/>
    </row>
    <row r="119" spans="7:8" x14ac:dyDescent="0.3">
      <c r="G119" s="38"/>
      <c r="H119" s="37"/>
    </row>
    <row r="120" spans="7:8" x14ac:dyDescent="0.3">
      <c r="G120" s="38"/>
      <c r="H120" s="37"/>
    </row>
    <row r="121" spans="7:8" x14ac:dyDescent="0.3">
      <c r="G121" s="38"/>
      <c r="H121" s="37"/>
    </row>
    <row r="122" spans="7:8" x14ac:dyDescent="0.3">
      <c r="G122" s="38"/>
      <c r="H122" s="37"/>
    </row>
    <row r="123" spans="7:8" x14ac:dyDescent="0.3">
      <c r="G123" s="38"/>
      <c r="H123" s="37"/>
    </row>
    <row r="124" spans="7:8" x14ac:dyDescent="0.3">
      <c r="G124" s="38"/>
      <c r="H124" s="37"/>
    </row>
    <row r="125" spans="7:8" x14ac:dyDescent="0.3">
      <c r="G125" s="38"/>
      <c r="H125" s="37"/>
    </row>
    <row r="126" spans="7:8" x14ac:dyDescent="0.3">
      <c r="G126" s="38"/>
      <c r="H126" s="37"/>
    </row>
    <row r="127" spans="7:8" x14ac:dyDescent="0.3">
      <c r="G127" s="38"/>
      <c r="H127" s="37"/>
    </row>
    <row r="128" spans="7:8" x14ac:dyDescent="0.3">
      <c r="G128" s="38"/>
      <c r="H128" s="37"/>
    </row>
    <row r="129" spans="7:8" x14ac:dyDescent="0.3">
      <c r="G129" s="38"/>
      <c r="H129" s="37"/>
    </row>
    <row r="130" spans="7:8" x14ac:dyDescent="0.3">
      <c r="G130" s="38"/>
      <c r="H130" s="37"/>
    </row>
    <row r="131" spans="7:8" x14ac:dyDescent="0.3">
      <c r="G131" s="38"/>
      <c r="H131" s="37"/>
    </row>
    <row r="132" spans="7:8" x14ac:dyDescent="0.3">
      <c r="G132" s="38"/>
      <c r="H132" s="37"/>
    </row>
    <row r="133" spans="7:8" x14ac:dyDescent="0.3">
      <c r="G133" s="38"/>
      <c r="H133" s="37"/>
    </row>
    <row r="134" spans="7:8" x14ac:dyDescent="0.3">
      <c r="G134" s="38"/>
      <c r="H134" s="37"/>
    </row>
    <row r="135" spans="7:8" x14ac:dyDescent="0.3">
      <c r="G135" s="38"/>
      <c r="H135" s="37"/>
    </row>
    <row r="136" spans="7:8" x14ac:dyDescent="0.3">
      <c r="G136" s="38"/>
      <c r="H136" s="37"/>
    </row>
    <row r="137" spans="7:8" x14ac:dyDescent="0.3">
      <c r="G137" s="38"/>
      <c r="H137" s="37"/>
    </row>
    <row r="138" spans="7:8" x14ac:dyDescent="0.3">
      <c r="G138" s="38"/>
      <c r="H138" s="37"/>
    </row>
    <row r="139" spans="7:8" x14ac:dyDescent="0.3">
      <c r="G139" s="38"/>
      <c r="H139" s="37"/>
    </row>
    <row r="140" spans="7:8" x14ac:dyDescent="0.3">
      <c r="G140" s="38"/>
      <c r="H140" s="37"/>
    </row>
    <row r="141" spans="7:8" x14ac:dyDescent="0.3">
      <c r="G141" s="38"/>
      <c r="H141" s="37"/>
    </row>
    <row r="142" spans="7:8" x14ac:dyDescent="0.3">
      <c r="G142" s="38"/>
      <c r="H142" s="37"/>
    </row>
    <row r="143" spans="7:8" x14ac:dyDescent="0.3">
      <c r="G143" s="38"/>
      <c r="H143" s="37"/>
    </row>
    <row r="144" spans="7:8" x14ac:dyDescent="0.3">
      <c r="G144" s="38"/>
      <c r="H144" s="37"/>
    </row>
    <row r="145" spans="7:8" x14ac:dyDescent="0.3">
      <c r="G145" s="38"/>
      <c r="H145" s="37"/>
    </row>
    <row r="146" spans="7:8" x14ac:dyDescent="0.3">
      <c r="G146" s="38"/>
      <c r="H146" s="37"/>
    </row>
    <row r="147" spans="7:8" x14ac:dyDescent="0.3">
      <c r="G147" s="38"/>
      <c r="H147" s="37"/>
    </row>
    <row r="148" spans="7:8" x14ac:dyDescent="0.3">
      <c r="G148" s="38"/>
      <c r="H148" s="37"/>
    </row>
    <row r="149" spans="7:8" x14ac:dyDescent="0.3">
      <c r="G149" s="38"/>
      <c r="H149" s="37"/>
    </row>
    <row r="150" spans="7:8" x14ac:dyDescent="0.3">
      <c r="G150" s="38"/>
      <c r="H150" s="37"/>
    </row>
    <row r="151" spans="7:8" x14ac:dyDescent="0.3">
      <c r="G151" s="38"/>
      <c r="H151" s="37"/>
    </row>
    <row r="152" spans="7:8" x14ac:dyDescent="0.3">
      <c r="G152" s="38"/>
      <c r="H152" s="37"/>
    </row>
    <row r="153" spans="7:8" x14ac:dyDescent="0.3">
      <c r="G153" s="38"/>
      <c r="H153" s="37"/>
    </row>
    <row r="154" spans="7:8" x14ac:dyDescent="0.3">
      <c r="G154" s="38"/>
      <c r="H154" s="37"/>
    </row>
    <row r="155" spans="7:8" x14ac:dyDescent="0.3">
      <c r="G155" s="38"/>
      <c r="H155" s="37"/>
    </row>
    <row r="156" spans="7:8" x14ac:dyDescent="0.3">
      <c r="G156" s="38"/>
      <c r="H156" s="37"/>
    </row>
    <row r="157" spans="7:8" x14ac:dyDescent="0.3">
      <c r="G157" s="38"/>
      <c r="H157" s="37"/>
    </row>
    <row r="158" spans="7:8" x14ac:dyDescent="0.3">
      <c r="G158" s="38"/>
      <c r="H158" s="37"/>
    </row>
    <row r="159" spans="7:8" x14ac:dyDescent="0.3">
      <c r="G159" s="38"/>
      <c r="H159" s="37"/>
    </row>
    <row r="160" spans="7:8" x14ac:dyDescent="0.3">
      <c r="G160" s="38"/>
      <c r="H160" s="37"/>
    </row>
    <row r="161" spans="7:8" x14ac:dyDescent="0.3">
      <c r="G161" s="38"/>
      <c r="H161" s="37"/>
    </row>
    <row r="162" spans="7:8" x14ac:dyDescent="0.3">
      <c r="G162" s="38"/>
      <c r="H162" s="37"/>
    </row>
    <row r="163" spans="7:8" x14ac:dyDescent="0.3">
      <c r="G163" s="38"/>
      <c r="H163" s="37"/>
    </row>
    <row r="164" spans="7:8" x14ac:dyDescent="0.3">
      <c r="G164" s="38"/>
      <c r="H164" s="37"/>
    </row>
    <row r="165" spans="7:8" x14ac:dyDescent="0.3">
      <c r="G165" s="38"/>
      <c r="H165" s="37"/>
    </row>
    <row r="166" spans="7:8" x14ac:dyDescent="0.3">
      <c r="G166" s="38"/>
      <c r="H166" s="37"/>
    </row>
    <row r="167" spans="7:8" x14ac:dyDescent="0.3">
      <c r="G167" s="38"/>
      <c r="H167" s="37"/>
    </row>
    <row r="168" spans="7:8" x14ac:dyDescent="0.3">
      <c r="G168" s="38"/>
      <c r="H168" s="37"/>
    </row>
    <row r="169" spans="7:8" x14ac:dyDescent="0.3">
      <c r="G169" s="38"/>
      <c r="H169" s="37"/>
    </row>
    <row r="170" spans="7:8" x14ac:dyDescent="0.3">
      <c r="G170" s="38"/>
      <c r="H170" s="37"/>
    </row>
    <row r="171" spans="7:8" x14ac:dyDescent="0.3">
      <c r="G171" s="38"/>
      <c r="H171" s="37"/>
    </row>
    <row r="172" spans="7:8" x14ac:dyDescent="0.3">
      <c r="G172" s="38"/>
      <c r="H172" s="37"/>
    </row>
    <row r="173" spans="7:8" x14ac:dyDescent="0.3">
      <c r="G173" s="38"/>
      <c r="H173" s="37"/>
    </row>
    <row r="174" spans="7:8" x14ac:dyDescent="0.3">
      <c r="G174" s="38"/>
      <c r="H174" s="37"/>
    </row>
    <row r="175" spans="7:8" x14ac:dyDescent="0.3">
      <c r="G175" s="38"/>
      <c r="H175" s="37"/>
    </row>
    <row r="176" spans="7:8" x14ac:dyDescent="0.3">
      <c r="G176" s="38"/>
      <c r="H176" s="37"/>
    </row>
    <row r="177" spans="7:8" x14ac:dyDescent="0.3">
      <c r="G177" s="38"/>
      <c r="H177" s="37"/>
    </row>
    <row r="178" spans="7:8" x14ac:dyDescent="0.3">
      <c r="G178" s="38"/>
      <c r="H178" s="37"/>
    </row>
    <row r="179" spans="7:8" x14ac:dyDescent="0.3">
      <c r="G179" s="38"/>
      <c r="H179" s="37"/>
    </row>
    <row r="180" spans="7:8" x14ac:dyDescent="0.3">
      <c r="G180" s="38"/>
      <c r="H180" s="37"/>
    </row>
    <row r="181" spans="7:8" x14ac:dyDescent="0.3">
      <c r="G181" s="38"/>
      <c r="H181" s="37"/>
    </row>
    <row r="182" spans="7:8" x14ac:dyDescent="0.3">
      <c r="G182" s="38"/>
      <c r="H182" s="37"/>
    </row>
    <row r="183" spans="7:8" x14ac:dyDescent="0.3">
      <c r="G183" s="38"/>
      <c r="H183" s="37"/>
    </row>
    <row r="184" spans="7:8" x14ac:dyDescent="0.3">
      <c r="G184" s="38"/>
      <c r="H184" s="37"/>
    </row>
    <row r="185" spans="7:8" x14ac:dyDescent="0.3">
      <c r="G185" s="38"/>
      <c r="H185" s="37"/>
    </row>
    <row r="186" spans="7:8" x14ac:dyDescent="0.3">
      <c r="G186" s="38"/>
      <c r="H186" s="37"/>
    </row>
    <row r="187" spans="7:8" x14ac:dyDescent="0.3">
      <c r="G187" s="38"/>
      <c r="H187" s="37"/>
    </row>
    <row r="188" spans="7:8" x14ac:dyDescent="0.3">
      <c r="G188" s="38"/>
      <c r="H188" s="37"/>
    </row>
    <row r="189" spans="7:8" x14ac:dyDescent="0.3">
      <c r="G189" s="38"/>
      <c r="H189" s="37"/>
    </row>
    <row r="190" spans="7:8" x14ac:dyDescent="0.3">
      <c r="G190" s="38"/>
      <c r="H190" s="37"/>
    </row>
    <row r="191" spans="7:8" x14ac:dyDescent="0.3">
      <c r="G191" s="38"/>
      <c r="H191" s="37"/>
    </row>
    <row r="192" spans="7:8" x14ac:dyDescent="0.3">
      <c r="G192" s="38"/>
      <c r="H192" s="37"/>
    </row>
    <row r="193" spans="7:8" x14ac:dyDescent="0.3">
      <c r="G193" s="38"/>
      <c r="H193" s="37"/>
    </row>
    <row r="194" spans="7:8" x14ac:dyDescent="0.3">
      <c r="G194" s="38"/>
      <c r="H194" s="37"/>
    </row>
    <row r="195" spans="7:8" x14ac:dyDescent="0.3">
      <c r="G195" s="38"/>
      <c r="H195" s="37"/>
    </row>
    <row r="196" spans="7:8" x14ac:dyDescent="0.3">
      <c r="G196" s="38"/>
      <c r="H196" s="37"/>
    </row>
    <row r="197" spans="7:8" x14ac:dyDescent="0.3">
      <c r="G197" s="38"/>
      <c r="H197" s="37"/>
    </row>
    <row r="198" spans="7:8" x14ac:dyDescent="0.3">
      <c r="G198" s="38"/>
      <c r="H198" s="37"/>
    </row>
    <row r="199" spans="7:8" x14ac:dyDescent="0.3">
      <c r="G199" s="38"/>
      <c r="H199" s="37"/>
    </row>
    <row r="200" spans="7:8" x14ac:dyDescent="0.3">
      <c r="G200" s="38"/>
      <c r="H200" s="37"/>
    </row>
    <row r="201" spans="7:8" x14ac:dyDescent="0.3">
      <c r="G201" s="38"/>
      <c r="H201" s="37"/>
    </row>
    <row r="202" spans="7:8" x14ac:dyDescent="0.3">
      <c r="G202" s="38"/>
      <c r="H202" s="37"/>
    </row>
    <row r="203" spans="7:8" x14ac:dyDescent="0.3">
      <c r="G203" s="38"/>
      <c r="H203" s="37"/>
    </row>
    <row r="204" spans="7:8" x14ac:dyDescent="0.3">
      <c r="G204" s="38"/>
      <c r="H204" s="37"/>
    </row>
    <row r="205" spans="7:8" x14ac:dyDescent="0.3">
      <c r="G205" s="38"/>
      <c r="H205" s="37"/>
    </row>
    <row r="206" spans="7:8" x14ac:dyDescent="0.3">
      <c r="G206" s="38"/>
      <c r="H206" s="37"/>
    </row>
    <row r="207" spans="7:8" x14ac:dyDescent="0.3">
      <c r="G207" s="38"/>
      <c r="H207" s="37"/>
    </row>
    <row r="208" spans="7:8" x14ac:dyDescent="0.3">
      <c r="G208" s="38"/>
      <c r="H208" s="37"/>
    </row>
    <row r="209" spans="7:8" x14ac:dyDescent="0.3">
      <c r="G209" s="38"/>
      <c r="H209" s="37"/>
    </row>
    <row r="210" spans="7:8" x14ac:dyDescent="0.3">
      <c r="G210" s="38"/>
      <c r="H210" s="37"/>
    </row>
    <row r="211" spans="7:8" x14ac:dyDescent="0.3">
      <c r="G211" s="38"/>
      <c r="H211" s="37"/>
    </row>
    <row r="212" spans="7:8" x14ac:dyDescent="0.3">
      <c r="G212" s="38"/>
      <c r="H212" s="37"/>
    </row>
    <row r="213" spans="7:8" x14ac:dyDescent="0.3">
      <c r="G213" s="38"/>
      <c r="H213" s="37"/>
    </row>
    <row r="214" spans="7:8" x14ac:dyDescent="0.3">
      <c r="G214" s="38"/>
      <c r="H214" s="37"/>
    </row>
    <row r="215" spans="7:8" x14ac:dyDescent="0.3">
      <c r="G215" s="38"/>
      <c r="H215" s="37"/>
    </row>
    <row r="216" spans="7:8" x14ac:dyDescent="0.3">
      <c r="G216" s="38"/>
      <c r="H216" s="37"/>
    </row>
    <row r="217" spans="7:8" x14ac:dyDescent="0.3">
      <c r="G217" s="38"/>
      <c r="H217" s="37"/>
    </row>
    <row r="218" spans="7:8" x14ac:dyDescent="0.3">
      <c r="G218" s="38"/>
      <c r="H218" s="37"/>
    </row>
    <row r="219" spans="7:8" x14ac:dyDescent="0.3">
      <c r="G219" s="38"/>
      <c r="H219" s="37"/>
    </row>
    <row r="220" spans="7:8" x14ac:dyDescent="0.3">
      <c r="G220" s="38"/>
      <c r="H220" s="37"/>
    </row>
    <row r="221" spans="7:8" x14ac:dyDescent="0.3">
      <c r="G221" s="38"/>
      <c r="H221" s="37"/>
    </row>
    <row r="222" spans="7:8" x14ac:dyDescent="0.3">
      <c r="G222" s="38"/>
      <c r="H222" s="37"/>
    </row>
    <row r="223" spans="7:8" x14ac:dyDescent="0.3">
      <c r="G223" s="38"/>
      <c r="H223" s="37"/>
    </row>
    <row r="224" spans="7:8" x14ac:dyDescent="0.3">
      <c r="G224" s="38"/>
      <c r="H224" s="37"/>
    </row>
    <row r="225" spans="7:8" x14ac:dyDescent="0.3">
      <c r="G225" s="38"/>
      <c r="H225" s="37"/>
    </row>
    <row r="226" spans="7:8" x14ac:dyDescent="0.3">
      <c r="G226" s="38"/>
      <c r="H226" s="37"/>
    </row>
    <row r="227" spans="7:8" x14ac:dyDescent="0.3">
      <c r="G227" s="38"/>
      <c r="H227" s="37"/>
    </row>
    <row r="228" spans="7:8" x14ac:dyDescent="0.3">
      <c r="G228" s="38"/>
      <c r="H228" s="37"/>
    </row>
    <row r="229" spans="7:8" x14ac:dyDescent="0.3">
      <c r="G229" s="38"/>
      <c r="H229" s="37"/>
    </row>
    <row r="230" spans="7:8" x14ac:dyDescent="0.3">
      <c r="G230" s="38"/>
      <c r="H230" s="37"/>
    </row>
    <row r="231" spans="7:8" x14ac:dyDescent="0.3">
      <c r="G231" s="38"/>
      <c r="H231" s="37"/>
    </row>
    <row r="232" spans="7:8" x14ac:dyDescent="0.3">
      <c r="G232" s="38"/>
      <c r="H232" s="37"/>
    </row>
    <row r="233" spans="7:8" x14ac:dyDescent="0.3">
      <c r="G233" s="38"/>
      <c r="H233" s="37"/>
    </row>
    <row r="234" spans="7:8" x14ac:dyDescent="0.3">
      <c r="G234" s="38"/>
      <c r="H234" s="37"/>
    </row>
    <row r="235" spans="7:8" x14ac:dyDescent="0.3">
      <c r="G235" s="38"/>
      <c r="H235" s="37"/>
    </row>
    <row r="236" spans="7:8" x14ac:dyDescent="0.3">
      <c r="G236" s="38"/>
      <c r="H236" s="37"/>
    </row>
    <row r="237" spans="7:8" x14ac:dyDescent="0.3">
      <c r="G237" s="38"/>
      <c r="H237" s="37"/>
    </row>
    <row r="238" spans="7:8" x14ac:dyDescent="0.3">
      <c r="G238" s="38"/>
      <c r="H238" s="37"/>
    </row>
    <row r="239" spans="7:8" x14ac:dyDescent="0.3">
      <c r="G239" s="38"/>
      <c r="H239" s="37"/>
    </row>
    <row r="240" spans="7:8" x14ac:dyDescent="0.3">
      <c r="G240" s="38"/>
      <c r="H240" s="37"/>
    </row>
    <row r="241" spans="7:8" x14ac:dyDescent="0.3">
      <c r="G241" s="38"/>
      <c r="H241" s="37"/>
    </row>
    <row r="242" spans="7:8" x14ac:dyDescent="0.3">
      <c r="G242" s="38"/>
      <c r="H242" s="37"/>
    </row>
    <row r="243" spans="7:8" x14ac:dyDescent="0.3">
      <c r="G243" s="38"/>
      <c r="H243" s="37"/>
    </row>
    <row r="244" spans="7:8" x14ac:dyDescent="0.3">
      <c r="G244" s="38"/>
      <c r="H244" s="37"/>
    </row>
    <row r="245" spans="7:8" x14ac:dyDescent="0.3">
      <c r="G245" s="38"/>
      <c r="H245" s="37"/>
    </row>
    <row r="246" spans="7:8" x14ac:dyDescent="0.3">
      <c r="G246" s="38"/>
      <c r="H246" s="37"/>
    </row>
    <row r="247" spans="7:8" x14ac:dyDescent="0.3">
      <c r="G247" s="38"/>
      <c r="H247" s="37"/>
    </row>
    <row r="248" spans="7:8" x14ac:dyDescent="0.3">
      <c r="G248" s="38"/>
      <c r="H248" s="37"/>
    </row>
    <row r="249" spans="7:8" x14ac:dyDescent="0.3">
      <c r="G249" s="38"/>
      <c r="H249" s="37"/>
    </row>
    <row r="250" spans="7:8" x14ac:dyDescent="0.3">
      <c r="G250" s="38"/>
      <c r="H250" s="37"/>
    </row>
    <row r="251" spans="7:8" x14ac:dyDescent="0.3">
      <c r="G251" s="38"/>
      <c r="H251" s="37"/>
    </row>
    <row r="252" spans="7:8" x14ac:dyDescent="0.3">
      <c r="G252" s="38"/>
      <c r="H252" s="37"/>
    </row>
    <row r="253" spans="7:8" x14ac:dyDescent="0.3">
      <c r="G253" s="38"/>
      <c r="H253" s="37"/>
    </row>
    <row r="254" spans="7:8" x14ac:dyDescent="0.3">
      <c r="G254" s="38"/>
      <c r="H254" s="37"/>
    </row>
    <row r="255" spans="7:8" x14ac:dyDescent="0.3">
      <c r="G255" s="38"/>
      <c r="H255" s="37"/>
    </row>
    <row r="256" spans="7:8" x14ac:dyDescent="0.3">
      <c r="G256" s="38"/>
      <c r="H256" s="37"/>
    </row>
    <row r="257" spans="7:8" x14ac:dyDescent="0.3">
      <c r="G257" s="38"/>
      <c r="H257" s="37"/>
    </row>
    <row r="258" spans="7:8" x14ac:dyDescent="0.3">
      <c r="G258" s="38"/>
      <c r="H258" s="37"/>
    </row>
    <row r="259" spans="7:8" x14ac:dyDescent="0.3">
      <c r="G259" s="38"/>
      <c r="H259" s="37"/>
    </row>
    <row r="260" spans="7:8" x14ac:dyDescent="0.3">
      <c r="G260" s="38"/>
      <c r="H260" s="37"/>
    </row>
    <row r="261" spans="7:8" x14ac:dyDescent="0.3">
      <c r="G261" s="38"/>
      <c r="H261" s="37"/>
    </row>
    <row r="262" spans="7:8" x14ac:dyDescent="0.3">
      <c r="G262" s="38"/>
      <c r="H262" s="37"/>
    </row>
    <row r="263" spans="7:8" x14ac:dyDescent="0.3">
      <c r="H263" s="37"/>
    </row>
    <row r="264" spans="7:8" x14ac:dyDescent="0.3">
      <c r="H264" s="37"/>
    </row>
    <row r="265" spans="7:8" x14ac:dyDescent="0.3">
      <c r="H265" s="37"/>
    </row>
    <row r="266" spans="7:8" x14ac:dyDescent="0.3">
      <c r="H266" s="37"/>
    </row>
    <row r="267" spans="7:8" x14ac:dyDescent="0.3">
      <c r="H267" s="37"/>
    </row>
    <row r="268" spans="7:8" x14ac:dyDescent="0.3">
      <c r="H268" s="37"/>
    </row>
    <row r="269" spans="7:8" x14ac:dyDescent="0.3">
      <c r="H269" s="37"/>
    </row>
    <row r="270" spans="7:8" x14ac:dyDescent="0.3">
      <c r="H270" s="37"/>
    </row>
    <row r="271" spans="7:8" x14ac:dyDescent="0.3">
      <c r="H271" s="37"/>
    </row>
    <row r="272" spans="7:8" x14ac:dyDescent="0.3">
      <c r="H272" s="37"/>
    </row>
    <row r="273" spans="8:8" x14ac:dyDescent="0.3">
      <c r="H273" s="37"/>
    </row>
    <row r="274" spans="8:8" x14ac:dyDescent="0.3">
      <c r="H274" s="37"/>
    </row>
    <row r="275" spans="8:8" x14ac:dyDescent="0.3">
      <c r="H275" s="37"/>
    </row>
    <row r="276" spans="8:8" x14ac:dyDescent="0.3">
      <c r="H276" s="37"/>
    </row>
    <row r="277" spans="8:8" x14ac:dyDescent="0.3">
      <c r="H277" s="37"/>
    </row>
    <row r="278" spans="8:8" x14ac:dyDescent="0.3">
      <c r="H278" s="37"/>
    </row>
    <row r="279" spans="8:8" x14ac:dyDescent="0.3">
      <c r="H279" s="37"/>
    </row>
    <row r="280" spans="8:8" x14ac:dyDescent="0.3">
      <c r="H280" s="37"/>
    </row>
    <row r="281" spans="8:8" x14ac:dyDescent="0.3">
      <c r="H281" s="37"/>
    </row>
    <row r="282" spans="8:8" x14ac:dyDescent="0.3">
      <c r="H282" s="37"/>
    </row>
    <row r="283" spans="8:8" x14ac:dyDescent="0.3">
      <c r="H283" s="37"/>
    </row>
    <row r="284" spans="8:8" x14ac:dyDescent="0.3">
      <c r="H284" s="37"/>
    </row>
    <row r="285" spans="8:8" x14ac:dyDescent="0.3">
      <c r="H285" s="37"/>
    </row>
    <row r="286" spans="8:8" x14ac:dyDescent="0.3">
      <c r="H286" s="37"/>
    </row>
    <row r="287" spans="8:8" x14ac:dyDescent="0.3">
      <c r="H287" s="37"/>
    </row>
    <row r="288" spans="8:8" x14ac:dyDescent="0.3">
      <c r="H288" s="37"/>
    </row>
    <row r="289" spans="8:8" x14ac:dyDescent="0.3">
      <c r="H289" s="37"/>
    </row>
    <row r="290" spans="8:8" x14ac:dyDescent="0.3">
      <c r="H290" s="37"/>
    </row>
    <row r="291" spans="8:8" x14ac:dyDescent="0.3">
      <c r="H291" s="37"/>
    </row>
    <row r="292" spans="8:8" x14ac:dyDescent="0.3">
      <c r="H292" s="37"/>
    </row>
    <row r="293" spans="8:8" x14ac:dyDescent="0.3">
      <c r="H293" s="37"/>
    </row>
    <row r="294" spans="8:8" x14ac:dyDescent="0.3">
      <c r="H294" s="37"/>
    </row>
    <row r="295" spans="8:8" x14ac:dyDescent="0.3">
      <c r="H295" s="37"/>
    </row>
    <row r="296" spans="8:8" x14ac:dyDescent="0.3">
      <c r="H296" s="37"/>
    </row>
    <row r="297" spans="8:8" x14ac:dyDescent="0.3">
      <c r="H297" s="37"/>
    </row>
    <row r="298" spans="8:8" x14ac:dyDescent="0.3">
      <c r="H298" s="37"/>
    </row>
    <row r="299" spans="8:8" x14ac:dyDescent="0.3">
      <c r="H299" s="37"/>
    </row>
    <row r="300" spans="8:8" x14ac:dyDescent="0.3">
      <c r="H300" s="37"/>
    </row>
    <row r="301" spans="8:8" x14ac:dyDescent="0.3">
      <c r="H301" s="37"/>
    </row>
    <row r="302" spans="8:8" x14ac:dyDescent="0.3">
      <c r="H302" s="37"/>
    </row>
    <row r="303" spans="8:8" x14ac:dyDescent="0.3">
      <c r="H303" s="37"/>
    </row>
    <row r="304" spans="8:8" x14ac:dyDescent="0.3">
      <c r="H304" s="37"/>
    </row>
    <row r="305" spans="8:8" x14ac:dyDescent="0.3">
      <c r="H305" s="37"/>
    </row>
    <row r="306" spans="8:8" x14ac:dyDescent="0.3">
      <c r="H306" s="37"/>
    </row>
    <row r="307" spans="8:8" x14ac:dyDescent="0.3">
      <c r="H307" s="37"/>
    </row>
    <row r="308" spans="8:8" x14ac:dyDescent="0.3">
      <c r="H308" s="37"/>
    </row>
    <row r="309" spans="8:8" x14ac:dyDescent="0.3">
      <c r="H309" s="37"/>
    </row>
    <row r="310" spans="8:8" x14ac:dyDescent="0.3">
      <c r="H310" s="37"/>
    </row>
    <row r="311" spans="8:8" x14ac:dyDescent="0.3">
      <c r="H311" s="37"/>
    </row>
    <row r="312" spans="8:8" x14ac:dyDescent="0.3">
      <c r="H312" s="37"/>
    </row>
    <row r="313" spans="8:8" x14ac:dyDescent="0.3">
      <c r="H313" s="37"/>
    </row>
    <row r="314" spans="8:8" x14ac:dyDescent="0.3">
      <c r="H314" s="37"/>
    </row>
    <row r="315" spans="8:8" x14ac:dyDescent="0.3">
      <c r="H315" s="37"/>
    </row>
    <row r="316" spans="8:8" x14ac:dyDescent="0.3">
      <c r="H316" s="37"/>
    </row>
    <row r="317" spans="8:8" x14ac:dyDescent="0.3">
      <c r="H317" s="37"/>
    </row>
    <row r="318" spans="8:8" x14ac:dyDescent="0.3">
      <c r="H318" s="37"/>
    </row>
    <row r="319" spans="8:8" x14ac:dyDescent="0.3">
      <c r="H319" s="37"/>
    </row>
    <row r="320" spans="8:8" x14ac:dyDescent="0.3">
      <c r="H320" s="37"/>
    </row>
    <row r="321" spans="8:8" x14ac:dyDescent="0.3">
      <c r="H321" s="37"/>
    </row>
    <row r="322" spans="8:8" x14ac:dyDescent="0.3">
      <c r="H322" s="37"/>
    </row>
    <row r="323" spans="8:8" x14ac:dyDescent="0.3">
      <c r="H323" s="37"/>
    </row>
    <row r="324" spans="8:8" x14ac:dyDescent="0.3">
      <c r="H324" s="37"/>
    </row>
    <row r="325" spans="8:8" x14ac:dyDescent="0.3">
      <c r="H325" s="37"/>
    </row>
    <row r="326" spans="8:8" x14ac:dyDescent="0.3">
      <c r="H326" s="37"/>
    </row>
    <row r="327" spans="8:8" x14ac:dyDescent="0.3">
      <c r="H327" s="37"/>
    </row>
    <row r="328" spans="8:8" x14ac:dyDescent="0.3">
      <c r="H328" s="37"/>
    </row>
    <row r="329" spans="8:8" x14ac:dyDescent="0.3">
      <c r="H329" s="37"/>
    </row>
    <row r="330" spans="8:8" x14ac:dyDescent="0.3">
      <c r="H330" s="37"/>
    </row>
    <row r="331" spans="8:8" x14ac:dyDescent="0.3">
      <c r="H331" s="37"/>
    </row>
    <row r="332" spans="8:8" x14ac:dyDescent="0.3">
      <c r="H332" s="37"/>
    </row>
    <row r="333" spans="8:8" x14ac:dyDescent="0.3">
      <c r="H333" s="37"/>
    </row>
    <row r="334" spans="8:8" x14ac:dyDescent="0.3">
      <c r="H334" s="37"/>
    </row>
    <row r="335" spans="8:8" x14ac:dyDescent="0.3">
      <c r="H335" s="37"/>
    </row>
    <row r="336" spans="8:8" x14ac:dyDescent="0.3">
      <c r="H336" s="37"/>
    </row>
    <row r="337" spans="8:8" x14ac:dyDescent="0.3">
      <c r="H337" s="37"/>
    </row>
    <row r="338" spans="8:8" x14ac:dyDescent="0.3">
      <c r="H338" s="37"/>
    </row>
    <row r="339" spans="8:8" x14ac:dyDescent="0.3">
      <c r="H339" s="37"/>
    </row>
    <row r="340" spans="8:8" x14ac:dyDescent="0.3">
      <c r="H340" s="37"/>
    </row>
    <row r="341" spans="8:8" x14ac:dyDescent="0.3">
      <c r="H341" s="37"/>
    </row>
    <row r="342" spans="8:8" x14ac:dyDescent="0.3">
      <c r="H342" s="37"/>
    </row>
    <row r="343" spans="8:8" x14ac:dyDescent="0.3">
      <c r="H343" s="37"/>
    </row>
    <row r="344" spans="8:8" x14ac:dyDescent="0.3">
      <c r="H344" s="37"/>
    </row>
    <row r="345" spans="8:8" x14ac:dyDescent="0.3">
      <c r="H345" s="37"/>
    </row>
    <row r="346" spans="8:8" x14ac:dyDescent="0.3">
      <c r="H346" s="37"/>
    </row>
    <row r="347" spans="8:8" x14ac:dyDescent="0.3">
      <c r="H347" s="37"/>
    </row>
    <row r="348" spans="8:8" x14ac:dyDescent="0.3">
      <c r="H348" s="37"/>
    </row>
    <row r="349" spans="8:8" x14ac:dyDescent="0.3">
      <c r="H349" s="37"/>
    </row>
    <row r="350" spans="8:8" x14ac:dyDescent="0.3">
      <c r="H350" s="37"/>
    </row>
    <row r="351" spans="8:8" x14ac:dyDescent="0.3">
      <c r="H351" s="37"/>
    </row>
    <row r="352" spans="8:8" x14ac:dyDescent="0.3">
      <c r="H352" s="37"/>
    </row>
    <row r="353" spans="8:8" x14ac:dyDescent="0.3">
      <c r="H353" s="37"/>
    </row>
    <row r="354" spans="8:8" x14ac:dyDescent="0.3">
      <c r="H354" s="37"/>
    </row>
    <row r="355" spans="8:8" x14ac:dyDescent="0.3">
      <c r="H355" s="37"/>
    </row>
    <row r="356" spans="8:8" x14ac:dyDescent="0.3">
      <c r="H356" s="37"/>
    </row>
    <row r="357" spans="8:8" x14ac:dyDescent="0.3">
      <c r="H357" s="37"/>
    </row>
    <row r="358" spans="8:8" x14ac:dyDescent="0.3">
      <c r="H358" s="37"/>
    </row>
    <row r="359" spans="8:8" x14ac:dyDescent="0.3">
      <c r="H359" s="37"/>
    </row>
    <row r="360" spans="8:8" x14ac:dyDescent="0.3">
      <c r="H360" s="37"/>
    </row>
    <row r="361" spans="8:8" x14ac:dyDescent="0.3">
      <c r="H361" s="37"/>
    </row>
    <row r="362" spans="8:8" x14ac:dyDescent="0.3">
      <c r="H362" s="37"/>
    </row>
    <row r="363" spans="8:8" x14ac:dyDescent="0.3">
      <c r="H363" s="37"/>
    </row>
    <row r="364" spans="8:8" x14ac:dyDescent="0.3">
      <c r="H364" s="37"/>
    </row>
    <row r="365" spans="8:8" x14ac:dyDescent="0.3">
      <c r="H365" s="37"/>
    </row>
    <row r="366" spans="8:8" x14ac:dyDescent="0.3">
      <c r="H366" s="37"/>
    </row>
    <row r="367" spans="8:8" x14ac:dyDescent="0.3">
      <c r="H367" s="37"/>
    </row>
    <row r="368" spans="8:8" x14ac:dyDescent="0.3">
      <c r="H368" s="37"/>
    </row>
    <row r="369" spans="8:8" x14ac:dyDescent="0.3">
      <c r="H369" s="37"/>
    </row>
    <row r="370" spans="8:8" x14ac:dyDescent="0.3">
      <c r="H370" s="37"/>
    </row>
    <row r="371" spans="8:8" x14ac:dyDescent="0.3">
      <c r="H371" s="37"/>
    </row>
    <row r="372" spans="8:8" x14ac:dyDescent="0.3">
      <c r="H372" s="37"/>
    </row>
    <row r="373" spans="8:8" x14ac:dyDescent="0.3">
      <c r="H373" s="37"/>
    </row>
    <row r="374" spans="8:8" x14ac:dyDescent="0.3">
      <c r="H374" s="37"/>
    </row>
    <row r="375" spans="8:8" x14ac:dyDescent="0.3">
      <c r="H375" s="37"/>
    </row>
    <row r="376" spans="8:8" x14ac:dyDescent="0.3">
      <c r="H376" s="37"/>
    </row>
    <row r="377" spans="8:8" x14ac:dyDescent="0.3">
      <c r="H377" s="37"/>
    </row>
    <row r="378" spans="8:8" x14ac:dyDescent="0.3">
      <c r="H378" s="37"/>
    </row>
    <row r="379" spans="8:8" x14ac:dyDescent="0.3">
      <c r="H379" s="37"/>
    </row>
    <row r="380" spans="8:8" x14ac:dyDescent="0.3">
      <c r="H380" s="37"/>
    </row>
    <row r="381" spans="8:8" x14ac:dyDescent="0.3">
      <c r="H381" s="37"/>
    </row>
    <row r="382" spans="8:8" x14ac:dyDescent="0.3">
      <c r="H382" s="37"/>
    </row>
    <row r="383" spans="8:8" x14ac:dyDescent="0.3">
      <c r="H383" s="37"/>
    </row>
    <row r="384" spans="8:8" x14ac:dyDescent="0.3">
      <c r="H384" s="37"/>
    </row>
    <row r="385" spans="8:8" x14ac:dyDescent="0.3">
      <c r="H385" s="37"/>
    </row>
    <row r="386" spans="8:8" x14ac:dyDescent="0.3">
      <c r="H386" s="37"/>
    </row>
    <row r="387" spans="8:8" x14ac:dyDescent="0.3">
      <c r="H387" s="37"/>
    </row>
    <row r="388" spans="8:8" x14ac:dyDescent="0.3">
      <c r="H388" s="37"/>
    </row>
    <row r="389" spans="8:8" x14ac:dyDescent="0.3">
      <c r="H389" s="37"/>
    </row>
    <row r="390" spans="8:8" x14ac:dyDescent="0.3">
      <c r="H390" s="37"/>
    </row>
    <row r="391" spans="8:8" x14ac:dyDescent="0.3">
      <c r="H391" s="37"/>
    </row>
    <row r="392" spans="8:8" x14ac:dyDescent="0.3">
      <c r="H392" s="37"/>
    </row>
    <row r="393" spans="8:8" x14ac:dyDescent="0.3">
      <c r="H393" s="37"/>
    </row>
    <row r="394" spans="8:8" x14ac:dyDescent="0.3">
      <c r="H394" s="37"/>
    </row>
    <row r="395" spans="8:8" x14ac:dyDescent="0.3">
      <c r="H395" s="37"/>
    </row>
    <row r="396" spans="8:8" x14ac:dyDescent="0.3">
      <c r="H396" s="37"/>
    </row>
    <row r="397" spans="8:8" x14ac:dyDescent="0.3">
      <c r="H397" s="37"/>
    </row>
    <row r="398" spans="8:8" x14ac:dyDescent="0.3">
      <c r="H398" s="37"/>
    </row>
    <row r="399" spans="8:8" x14ac:dyDescent="0.3">
      <c r="H399" s="37"/>
    </row>
    <row r="400" spans="8:8" x14ac:dyDescent="0.3">
      <c r="H400" s="37"/>
    </row>
    <row r="401" spans="8:8" x14ac:dyDescent="0.3">
      <c r="H401" s="37"/>
    </row>
    <row r="402" spans="8:8" x14ac:dyDescent="0.3">
      <c r="H402" s="37"/>
    </row>
    <row r="403" spans="8:8" x14ac:dyDescent="0.3">
      <c r="H403" s="37"/>
    </row>
    <row r="404" spans="8:8" x14ac:dyDescent="0.3">
      <c r="H404" s="37"/>
    </row>
    <row r="405" spans="8:8" x14ac:dyDescent="0.3">
      <c r="H405" s="37"/>
    </row>
    <row r="406" spans="8:8" x14ac:dyDescent="0.3">
      <c r="H406" s="37"/>
    </row>
    <row r="407" spans="8:8" x14ac:dyDescent="0.3">
      <c r="H407" s="37"/>
    </row>
    <row r="408" spans="8:8" x14ac:dyDescent="0.3">
      <c r="H408" s="37"/>
    </row>
    <row r="409" spans="8:8" x14ac:dyDescent="0.3">
      <c r="H409" s="37"/>
    </row>
    <row r="410" spans="8:8" x14ac:dyDescent="0.3">
      <c r="H410" s="37"/>
    </row>
    <row r="411" spans="8:8" x14ac:dyDescent="0.3">
      <c r="H411" s="37"/>
    </row>
    <row r="412" spans="8:8" x14ac:dyDescent="0.3">
      <c r="H412" s="37"/>
    </row>
    <row r="413" spans="8:8" x14ac:dyDescent="0.3">
      <c r="H413" s="37"/>
    </row>
    <row r="414" spans="8:8" x14ac:dyDescent="0.3">
      <c r="H414" s="37"/>
    </row>
    <row r="415" spans="8:8" x14ac:dyDescent="0.3">
      <c r="H415" s="37"/>
    </row>
    <row r="416" spans="8:8" x14ac:dyDescent="0.3">
      <c r="H416" s="37"/>
    </row>
    <row r="417" spans="8:8" x14ac:dyDescent="0.3">
      <c r="H417" s="37"/>
    </row>
    <row r="418" spans="8:8" x14ac:dyDescent="0.3">
      <c r="H418" s="37"/>
    </row>
    <row r="419" spans="8:8" x14ac:dyDescent="0.3">
      <c r="H419" s="37"/>
    </row>
    <row r="420" spans="8:8" x14ac:dyDescent="0.3">
      <c r="H420" s="37"/>
    </row>
    <row r="421" spans="8:8" x14ac:dyDescent="0.3">
      <c r="H421" s="37"/>
    </row>
    <row r="422" spans="8:8" x14ac:dyDescent="0.3">
      <c r="H422" s="37"/>
    </row>
    <row r="423" spans="8:8" x14ac:dyDescent="0.3">
      <c r="H423" s="37"/>
    </row>
    <row r="424" spans="8:8" x14ac:dyDescent="0.3">
      <c r="H424" s="37"/>
    </row>
    <row r="425" spans="8:8" x14ac:dyDescent="0.3">
      <c r="H425" s="37"/>
    </row>
    <row r="426" spans="8:8" x14ac:dyDescent="0.3">
      <c r="H426" s="37"/>
    </row>
    <row r="427" spans="8:8" x14ac:dyDescent="0.3">
      <c r="H427" s="37"/>
    </row>
    <row r="428" spans="8:8" x14ac:dyDescent="0.3">
      <c r="H428" s="37"/>
    </row>
    <row r="429" spans="8:8" x14ac:dyDescent="0.3">
      <c r="H429" s="37"/>
    </row>
    <row r="430" spans="8:8" x14ac:dyDescent="0.3">
      <c r="H430" s="37"/>
    </row>
    <row r="431" spans="8:8" x14ac:dyDescent="0.3">
      <c r="H431" s="37"/>
    </row>
    <row r="432" spans="8:8" x14ac:dyDescent="0.3">
      <c r="H432" s="37"/>
    </row>
    <row r="433" spans="8:8" x14ac:dyDescent="0.3">
      <c r="H433" s="37"/>
    </row>
    <row r="434" spans="8:8" x14ac:dyDescent="0.3">
      <c r="H434" s="37"/>
    </row>
    <row r="435" spans="8:8" x14ac:dyDescent="0.3">
      <c r="H435" s="37"/>
    </row>
    <row r="436" spans="8:8" x14ac:dyDescent="0.3">
      <c r="H436" s="37"/>
    </row>
    <row r="437" spans="8:8" x14ac:dyDescent="0.3">
      <c r="H437" s="37"/>
    </row>
    <row r="438" spans="8:8" x14ac:dyDescent="0.3">
      <c r="H438" s="37"/>
    </row>
    <row r="439" spans="8:8" x14ac:dyDescent="0.3">
      <c r="H439" s="37"/>
    </row>
    <row r="440" spans="8:8" x14ac:dyDescent="0.3">
      <c r="H440" s="37"/>
    </row>
    <row r="441" spans="8:8" x14ac:dyDescent="0.3">
      <c r="H441" s="37"/>
    </row>
    <row r="442" spans="8:8" x14ac:dyDescent="0.3">
      <c r="H442" s="37"/>
    </row>
    <row r="443" spans="8:8" x14ac:dyDescent="0.3">
      <c r="H443" s="37"/>
    </row>
    <row r="444" spans="8:8" x14ac:dyDescent="0.3">
      <c r="H444" s="37"/>
    </row>
    <row r="445" spans="8:8" x14ac:dyDescent="0.3">
      <c r="H445" s="37"/>
    </row>
    <row r="446" spans="8:8" x14ac:dyDescent="0.3">
      <c r="H446" s="37"/>
    </row>
    <row r="447" spans="8:8" x14ac:dyDescent="0.3">
      <c r="H447" s="37"/>
    </row>
    <row r="448" spans="8:8" x14ac:dyDescent="0.3">
      <c r="H448" s="37"/>
    </row>
    <row r="449" spans="8:8" x14ac:dyDescent="0.3">
      <c r="H449" s="37"/>
    </row>
    <row r="450" spans="8:8" x14ac:dyDescent="0.3">
      <c r="H450" s="37"/>
    </row>
    <row r="451" spans="8:8" x14ac:dyDescent="0.3">
      <c r="H451" s="37"/>
    </row>
    <row r="452" spans="8:8" x14ac:dyDescent="0.3">
      <c r="H452" s="37"/>
    </row>
    <row r="453" spans="8:8" x14ac:dyDescent="0.3">
      <c r="H453" s="37"/>
    </row>
    <row r="454" spans="8:8" x14ac:dyDescent="0.3">
      <c r="H454" s="37"/>
    </row>
    <row r="455" spans="8:8" x14ac:dyDescent="0.3">
      <c r="H455" s="37"/>
    </row>
    <row r="456" spans="8:8" x14ac:dyDescent="0.3">
      <c r="H456" s="37"/>
    </row>
    <row r="457" spans="8:8" x14ac:dyDescent="0.3">
      <c r="H457" s="37"/>
    </row>
    <row r="458" spans="8:8" x14ac:dyDescent="0.3">
      <c r="H458" s="37"/>
    </row>
    <row r="459" spans="8:8" x14ac:dyDescent="0.3">
      <c r="H459" s="37"/>
    </row>
    <row r="460" spans="8:8" x14ac:dyDescent="0.3">
      <c r="H460" s="37"/>
    </row>
    <row r="461" spans="8:8" x14ac:dyDescent="0.3">
      <c r="H461" s="37"/>
    </row>
    <row r="462" spans="8:8" x14ac:dyDescent="0.3">
      <c r="H462" s="37"/>
    </row>
    <row r="463" spans="8:8" x14ac:dyDescent="0.3">
      <c r="H463" s="37"/>
    </row>
    <row r="464" spans="8:8" x14ac:dyDescent="0.3">
      <c r="H464" s="37"/>
    </row>
    <row r="465" spans="8:8" x14ac:dyDescent="0.3">
      <c r="H465" s="37"/>
    </row>
    <row r="466" spans="8:8" x14ac:dyDescent="0.3">
      <c r="H466" s="37"/>
    </row>
    <row r="467" spans="8:8" x14ac:dyDescent="0.3">
      <c r="H467" s="37"/>
    </row>
    <row r="468" spans="8:8" x14ac:dyDescent="0.3">
      <c r="H468" s="37"/>
    </row>
    <row r="469" spans="8:8" x14ac:dyDescent="0.3">
      <c r="H469" s="37"/>
    </row>
    <row r="470" spans="8:8" x14ac:dyDescent="0.3">
      <c r="H470" s="37"/>
    </row>
    <row r="471" spans="8:8" x14ac:dyDescent="0.3">
      <c r="H471" s="37"/>
    </row>
    <row r="472" spans="8:8" x14ac:dyDescent="0.3">
      <c r="H472" s="37"/>
    </row>
    <row r="473" spans="8:8" x14ac:dyDescent="0.3">
      <c r="H473" s="37"/>
    </row>
    <row r="474" spans="8:8" x14ac:dyDescent="0.3">
      <c r="H474" s="37"/>
    </row>
    <row r="475" spans="8:8" x14ac:dyDescent="0.3">
      <c r="H475" s="37"/>
    </row>
    <row r="476" spans="8:8" x14ac:dyDescent="0.3">
      <c r="H476" s="37"/>
    </row>
    <row r="477" spans="8:8" x14ac:dyDescent="0.3">
      <c r="H477" s="37"/>
    </row>
    <row r="478" spans="8:8" x14ac:dyDescent="0.3">
      <c r="H478" s="37"/>
    </row>
    <row r="479" spans="8:8" x14ac:dyDescent="0.3">
      <c r="H479" s="37"/>
    </row>
    <row r="480" spans="8:8" x14ac:dyDescent="0.3">
      <c r="H480" s="37"/>
    </row>
    <row r="481" spans="8:8" x14ac:dyDescent="0.3">
      <c r="H481" s="37"/>
    </row>
    <row r="482" spans="8:8" x14ac:dyDescent="0.3">
      <c r="H482" s="37"/>
    </row>
    <row r="483" spans="8:8" x14ac:dyDescent="0.3">
      <c r="H483" s="37"/>
    </row>
    <row r="484" spans="8:8" x14ac:dyDescent="0.3">
      <c r="H484" s="37"/>
    </row>
    <row r="485" spans="8:8" x14ac:dyDescent="0.3">
      <c r="H485" s="37"/>
    </row>
    <row r="486" spans="8:8" x14ac:dyDescent="0.3">
      <c r="H486" s="37"/>
    </row>
    <row r="487" spans="8:8" x14ac:dyDescent="0.3">
      <c r="H487" s="37"/>
    </row>
    <row r="488" spans="8:8" x14ac:dyDescent="0.3">
      <c r="H488" s="37"/>
    </row>
    <row r="489" spans="8:8" x14ac:dyDescent="0.3">
      <c r="H489" s="37"/>
    </row>
    <row r="490" spans="8:8" x14ac:dyDescent="0.3">
      <c r="H490" s="37"/>
    </row>
    <row r="491" spans="8:8" x14ac:dyDescent="0.3">
      <c r="H491" s="37"/>
    </row>
    <row r="492" spans="8:8" x14ac:dyDescent="0.3">
      <c r="H492" s="37"/>
    </row>
    <row r="493" spans="8:8" x14ac:dyDescent="0.3">
      <c r="H493" s="37"/>
    </row>
    <row r="494" spans="8:8" x14ac:dyDescent="0.3">
      <c r="H494" s="37"/>
    </row>
    <row r="495" spans="8:8" x14ac:dyDescent="0.3">
      <c r="H495" s="37"/>
    </row>
    <row r="496" spans="8:8" x14ac:dyDescent="0.3">
      <c r="H496" s="37"/>
    </row>
    <row r="497" spans="8:8" x14ac:dyDescent="0.3">
      <c r="H497" s="37"/>
    </row>
    <row r="498" spans="8:8" x14ac:dyDescent="0.3">
      <c r="H498" s="37"/>
    </row>
    <row r="499" spans="8:8" x14ac:dyDescent="0.3">
      <c r="H499" s="37"/>
    </row>
    <row r="500" spans="8:8" x14ac:dyDescent="0.3">
      <c r="H500" s="37"/>
    </row>
    <row r="501" spans="8:8" x14ac:dyDescent="0.3">
      <c r="H501" s="37"/>
    </row>
    <row r="502" spans="8:8" x14ac:dyDescent="0.3">
      <c r="H502" s="37"/>
    </row>
    <row r="503" spans="8:8" x14ac:dyDescent="0.3">
      <c r="H503" s="37"/>
    </row>
    <row r="504" spans="8:8" x14ac:dyDescent="0.3">
      <c r="H504" s="37"/>
    </row>
    <row r="505" spans="8:8" x14ac:dyDescent="0.3">
      <c r="H505" s="37"/>
    </row>
    <row r="506" spans="8:8" x14ac:dyDescent="0.3">
      <c r="H506" s="37"/>
    </row>
    <row r="507" spans="8:8" x14ac:dyDescent="0.3">
      <c r="H507" s="37"/>
    </row>
    <row r="508" spans="8:8" x14ac:dyDescent="0.3">
      <c r="H508" s="37"/>
    </row>
    <row r="509" spans="8:8" x14ac:dyDescent="0.3">
      <c r="H509" s="37"/>
    </row>
    <row r="510" spans="8:8" x14ac:dyDescent="0.3">
      <c r="H510" s="37"/>
    </row>
    <row r="511" spans="8:8" x14ac:dyDescent="0.3">
      <c r="H511" s="37"/>
    </row>
    <row r="512" spans="8:8" x14ac:dyDescent="0.3">
      <c r="H512" s="37"/>
    </row>
    <row r="513" spans="8:8" x14ac:dyDescent="0.3">
      <c r="H513" s="37"/>
    </row>
    <row r="514" spans="8:8" x14ac:dyDescent="0.3">
      <c r="H514" s="37"/>
    </row>
    <row r="515" spans="8:8" x14ac:dyDescent="0.3">
      <c r="H515" s="37"/>
    </row>
    <row r="516" spans="8:8" x14ac:dyDescent="0.3">
      <c r="H516" s="37"/>
    </row>
    <row r="517" spans="8:8" x14ac:dyDescent="0.3">
      <c r="H517" s="37"/>
    </row>
    <row r="518" spans="8:8" x14ac:dyDescent="0.3">
      <c r="H518" s="37"/>
    </row>
    <row r="519" spans="8:8" x14ac:dyDescent="0.3">
      <c r="H519" s="37"/>
    </row>
    <row r="520" spans="8:8" x14ac:dyDescent="0.3">
      <c r="H520" s="37"/>
    </row>
    <row r="521" spans="8:8" x14ac:dyDescent="0.3">
      <c r="H521" s="37"/>
    </row>
    <row r="522" spans="8:8" x14ac:dyDescent="0.3">
      <c r="H522" s="37"/>
    </row>
    <row r="523" spans="8:8" x14ac:dyDescent="0.3">
      <c r="H523" s="37"/>
    </row>
    <row r="524" spans="8:8" x14ac:dyDescent="0.3">
      <c r="H524" s="37"/>
    </row>
    <row r="525" spans="8:8" x14ac:dyDescent="0.3">
      <c r="H525" s="37"/>
    </row>
    <row r="526" spans="8:8" x14ac:dyDescent="0.3">
      <c r="H526" s="37"/>
    </row>
    <row r="527" spans="8:8" x14ac:dyDescent="0.3">
      <c r="H527" s="37"/>
    </row>
    <row r="528" spans="8:8" x14ac:dyDescent="0.3">
      <c r="H528" s="37"/>
    </row>
    <row r="529" spans="8:8" x14ac:dyDescent="0.3">
      <c r="H529" s="37"/>
    </row>
    <row r="530" spans="8:8" x14ac:dyDescent="0.3">
      <c r="H530" s="37"/>
    </row>
    <row r="531" spans="8:8" x14ac:dyDescent="0.3">
      <c r="H531" s="37"/>
    </row>
    <row r="532" spans="8:8" x14ac:dyDescent="0.3">
      <c r="H532" s="37"/>
    </row>
    <row r="533" spans="8:8" x14ac:dyDescent="0.3">
      <c r="H533" s="37"/>
    </row>
    <row r="534" spans="8:8" x14ac:dyDescent="0.3">
      <c r="H534" s="37"/>
    </row>
    <row r="535" spans="8:8" x14ac:dyDescent="0.3">
      <c r="H535" s="37"/>
    </row>
    <row r="536" spans="8:8" x14ac:dyDescent="0.3">
      <c r="H536" s="37"/>
    </row>
    <row r="537" spans="8:8" x14ac:dyDescent="0.3">
      <c r="H537" s="37"/>
    </row>
    <row r="538" spans="8:8" x14ac:dyDescent="0.3">
      <c r="H538" s="37"/>
    </row>
    <row r="539" spans="8:8" x14ac:dyDescent="0.3">
      <c r="H539" s="37"/>
    </row>
    <row r="540" spans="8:8" x14ac:dyDescent="0.3">
      <c r="H540" s="37"/>
    </row>
    <row r="541" spans="8:8" x14ac:dyDescent="0.3">
      <c r="H541" s="37"/>
    </row>
    <row r="542" spans="8:8" x14ac:dyDescent="0.3">
      <c r="H542" s="37"/>
    </row>
    <row r="543" spans="8:8" x14ac:dyDescent="0.3">
      <c r="H543" s="37"/>
    </row>
    <row r="544" spans="8:8" x14ac:dyDescent="0.3">
      <c r="H544" s="37"/>
    </row>
    <row r="545" spans="8:8" x14ac:dyDescent="0.3">
      <c r="H545" s="37"/>
    </row>
    <row r="546" spans="8:8" x14ac:dyDescent="0.3">
      <c r="H546" s="37"/>
    </row>
    <row r="547" spans="8:8" x14ac:dyDescent="0.3">
      <c r="H547" s="37"/>
    </row>
    <row r="548" spans="8:8" x14ac:dyDescent="0.3">
      <c r="H548" s="37"/>
    </row>
    <row r="549" spans="8:8" x14ac:dyDescent="0.3">
      <c r="H549" s="37"/>
    </row>
    <row r="550" spans="8:8" x14ac:dyDescent="0.3">
      <c r="H550" s="37"/>
    </row>
    <row r="551" spans="8:8" x14ac:dyDescent="0.3">
      <c r="H551" s="37"/>
    </row>
    <row r="552" spans="8:8" x14ac:dyDescent="0.3">
      <c r="H552" s="37"/>
    </row>
    <row r="553" spans="8:8" x14ac:dyDescent="0.3">
      <c r="H553" s="37"/>
    </row>
    <row r="554" spans="8:8" x14ac:dyDescent="0.3">
      <c r="H554" s="37"/>
    </row>
    <row r="555" spans="8:8" x14ac:dyDescent="0.3">
      <c r="H555" s="37"/>
    </row>
    <row r="556" spans="8:8" x14ac:dyDescent="0.3">
      <c r="H556" s="37"/>
    </row>
    <row r="557" spans="8:8" x14ac:dyDescent="0.3">
      <c r="H557" s="37"/>
    </row>
    <row r="558" spans="8:8" x14ac:dyDescent="0.3">
      <c r="H558" s="37"/>
    </row>
    <row r="559" spans="8:8" x14ac:dyDescent="0.3">
      <c r="H559" s="37"/>
    </row>
    <row r="560" spans="8:8" x14ac:dyDescent="0.3">
      <c r="H560" s="37"/>
    </row>
    <row r="561" spans="8:8" x14ac:dyDescent="0.3">
      <c r="H561" s="37"/>
    </row>
    <row r="562" spans="8:8" x14ac:dyDescent="0.3">
      <c r="H562" s="37"/>
    </row>
    <row r="563" spans="8:8" x14ac:dyDescent="0.3">
      <c r="H563" s="37"/>
    </row>
    <row r="564" spans="8:8" x14ac:dyDescent="0.3">
      <c r="H564" s="37"/>
    </row>
    <row r="565" spans="8:8" x14ac:dyDescent="0.3">
      <c r="H565" s="37"/>
    </row>
    <row r="566" spans="8:8" x14ac:dyDescent="0.3">
      <c r="H566" s="37"/>
    </row>
    <row r="567" spans="8:8" x14ac:dyDescent="0.3">
      <c r="H567" s="37"/>
    </row>
    <row r="568" spans="8:8" x14ac:dyDescent="0.3">
      <c r="H568" s="37"/>
    </row>
    <row r="569" spans="8:8" x14ac:dyDescent="0.3">
      <c r="H569" s="37"/>
    </row>
    <row r="570" spans="8:8" x14ac:dyDescent="0.3">
      <c r="H570" s="37"/>
    </row>
    <row r="571" spans="8:8" x14ac:dyDescent="0.3">
      <c r="H571" s="37"/>
    </row>
    <row r="572" spans="8:8" x14ac:dyDescent="0.3">
      <c r="H572" s="37"/>
    </row>
    <row r="573" spans="8:8" x14ac:dyDescent="0.3">
      <c r="H573" s="37"/>
    </row>
    <row r="574" spans="8:8" x14ac:dyDescent="0.3">
      <c r="H574" s="37"/>
    </row>
    <row r="575" spans="8:8" x14ac:dyDescent="0.3">
      <c r="H575" s="37"/>
    </row>
    <row r="576" spans="8:8" x14ac:dyDescent="0.3">
      <c r="H576" s="37"/>
    </row>
    <row r="577" spans="8:8" x14ac:dyDescent="0.3">
      <c r="H577" s="37"/>
    </row>
    <row r="578" spans="8:8" x14ac:dyDescent="0.3">
      <c r="H578" s="37"/>
    </row>
    <row r="579" spans="8:8" x14ac:dyDescent="0.3">
      <c r="H579" s="37"/>
    </row>
    <row r="580" spans="8:8" x14ac:dyDescent="0.3">
      <c r="H580" s="37"/>
    </row>
    <row r="581" spans="8:8" x14ac:dyDescent="0.3">
      <c r="H581" s="37"/>
    </row>
    <row r="582" spans="8:8" x14ac:dyDescent="0.3">
      <c r="H582" s="37"/>
    </row>
    <row r="583" spans="8:8" x14ac:dyDescent="0.3">
      <c r="H583" s="37"/>
    </row>
    <row r="584" spans="8:8" x14ac:dyDescent="0.3">
      <c r="H584" s="37"/>
    </row>
    <row r="585" spans="8:8" x14ac:dyDescent="0.3">
      <c r="H585" s="37"/>
    </row>
    <row r="586" spans="8:8" x14ac:dyDescent="0.3">
      <c r="H586" s="37"/>
    </row>
    <row r="587" spans="8:8" x14ac:dyDescent="0.3">
      <c r="H587" s="37"/>
    </row>
    <row r="588" spans="8:8" x14ac:dyDescent="0.3">
      <c r="H588" s="37"/>
    </row>
    <row r="589" spans="8:8" x14ac:dyDescent="0.3">
      <c r="H589" s="37"/>
    </row>
    <row r="590" spans="8:8" x14ac:dyDescent="0.3">
      <c r="H590" s="37"/>
    </row>
    <row r="591" spans="8:8" x14ac:dyDescent="0.3">
      <c r="H591" s="37"/>
    </row>
    <row r="592" spans="8:8" x14ac:dyDescent="0.3">
      <c r="H592" s="37"/>
    </row>
    <row r="593" spans="8:8" x14ac:dyDescent="0.3">
      <c r="H593" s="37"/>
    </row>
    <row r="594" spans="8:8" x14ac:dyDescent="0.3">
      <c r="H594" s="37"/>
    </row>
    <row r="595" spans="8:8" x14ac:dyDescent="0.3">
      <c r="H595" s="37"/>
    </row>
    <row r="596" spans="8:8" x14ac:dyDescent="0.3">
      <c r="H596" s="37"/>
    </row>
    <row r="597" spans="8:8" x14ac:dyDescent="0.3">
      <c r="H597" s="37"/>
    </row>
    <row r="598" spans="8:8" x14ac:dyDescent="0.3">
      <c r="H598" s="37"/>
    </row>
    <row r="599" spans="8:8" x14ac:dyDescent="0.3">
      <c r="H599" s="37"/>
    </row>
    <row r="600" spans="8:8" x14ac:dyDescent="0.3">
      <c r="H600" s="37"/>
    </row>
    <row r="601" spans="8:8" x14ac:dyDescent="0.3">
      <c r="H601" s="37"/>
    </row>
    <row r="602" spans="8:8" x14ac:dyDescent="0.3">
      <c r="H602" s="37"/>
    </row>
    <row r="603" spans="8:8" x14ac:dyDescent="0.3">
      <c r="H603" s="37"/>
    </row>
    <row r="604" spans="8:8" x14ac:dyDescent="0.3">
      <c r="H604" s="37"/>
    </row>
    <row r="605" spans="8:8" x14ac:dyDescent="0.3">
      <c r="H605" s="37"/>
    </row>
    <row r="606" spans="8:8" x14ac:dyDescent="0.3">
      <c r="H606" s="37"/>
    </row>
    <row r="607" spans="8:8" x14ac:dyDescent="0.3">
      <c r="H607" s="37"/>
    </row>
    <row r="608" spans="8:8" x14ac:dyDescent="0.3">
      <c r="H608" s="37"/>
    </row>
    <row r="609" spans="8:8" x14ac:dyDescent="0.3">
      <c r="H609" s="37"/>
    </row>
    <row r="610" spans="8:8" x14ac:dyDescent="0.3">
      <c r="H610" s="37"/>
    </row>
    <row r="611" spans="8:8" x14ac:dyDescent="0.3">
      <c r="H611" s="37"/>
    </row>
    <row r="612" spans="8:8" x14ac:dyDescent="0.3">
      <c r="H612" s="37"/>
    </row>
    <row r="613" spans="8:8" x14ac:dyDescent="0.3">
      <c r="H613" s="37"/>
    </row>
    <row r="614" spans="8:8" x14ac:dyDescent="0.3">
      <c r="H614" s="37"/>
    </row>
    <row r="615" spans="8:8" x14ac:dyDescent="0.3">
      <c r="H615" s="37"/>
    </row>
    <row r="616" spans="8:8" x14ac:dyDescent="0.3">
      <c r="H616" s="37"/>
    </row>
    <row r="617" spans="8:8" x14ac:dyDescent="0.3">
      <c r="H617" s="37"/>
    </row>
    <row r="618" spans="8:8" x14ac:dyDescent="0.3">
      <c r="H618" s="37"/>
    </row>
    <row r="619" spans="8:8" x14ac:dyDescent="0.3">
      <c r="H619" s="37"/>
    </row>
    <row r="620" spans="8:8" x14ac:dyDescent="0.3">
      <c r="H620" s="37"/>
    </row>
    <row r="621" spans="8:8" x14ac:dyDescent="0.3">
      <c r="H621" s="37"/>
    </row>
    <row r="622" spans="8:8" x14ac:dyDescent="0.3">
      <c r="H622" s="37"/>
    </row>
    <row r="623" spans="8:8" x14ac:dyDescent="0.3">
      <c r="H623" s="37"/>
    </row>
    <row r="624" spans="8:8" x14ac:dyDescent="0.3">
      <c r="H624" s="37"/>
    </row>
    <row r="625" spans="8:8" x14ac:dyDescent="0.3">
      <c r="H625" s="37"/>
    </row>
    <row r="626" spans="8:8" x14ac:dyDescent="0.3">
      <c r="H626" s="37"/>
    </row>
    <row r="627" spans="8:8" x14ac:dyDescent="0.3">
      <c r="H627" s="37"/>
    </row>
    <row r="628" spans="8:8" x14ac:dyDescent="0.3">
      <c r="H628" s="37"/>
    </row>
    <row r="629" spans="8:8" x14ac:dyDescent="0.3">
      <c r="H629" s="37"/>
    </row>
    <row r="630" spans="8:8" x14ac:dyDescent="0.3">
      <c r="H630" s="37"/>
    </row>
    <row r="631" spans="8:8" x14ac:dyDescent="0.3">
      <c r="H631" s="37"/>
    </row>
    <row r="632" spans="8:8" x14ac:dyDescent="0.3">
      <c r="H632" s="37"/>
    </row>
    <row r="633" spans="8:8" x14ac:dyDescent="0.3">
      <c r="H633" s="37"/>
    </row>
    <row r="634" spans="8:8" x14ac:dyDescent="0.3">
      <c r="H634" s="37"/>
    </row>
    <row r="635" spans="8:8" x14ac:dyDescent="0.3">
      <c r="H635" s="37"/>
    </row>
    <row r="636" spans="8:8" x14ac:dyDescent="0.3">
      <c r="H636" s="37"/>
    </row>
    <row r="637" spans="8:8" x14ac:dyDescent="0.3">
      <c r="H637" s="37"/>
    </row>
    <row r="638" spans="8:8" x14ac:dyDescent="0.3">
      <c r="H638" s="37"/>
    </row>
    <row r="639" spans="8:8" x14ac:dyDescent="0.3">
      <c r="H639" s="37"/>
    </row>
    <row r="640" spans="8:8" x14ac:dyDescent="0.3">
      <c r="H640" s="37"/>
    </row>
    <row r="641" spans="8:8" x14ac:dyDescent="0.3">
      <c r="H641" s="37"/>
    </row>
    <row r="642" spans="8:8" x14ac:dyDescent="0.3">
      <c r="H642" s="37"/>
    </row>
    <row r="643" spans="8:8" x14ac:dyDescent="0.3">
      <c r="H643" s="37"/>
    </row>
    <row r="644" spans="8:8" x14ac:dyDescent="0.3">
      <c r="H644" s="37"/>
    </row>
    <row r="645" spans="8:8" x14ac:dyDescent="0.3">
      <c r="H645" s="37"/>
    </row>
    <row r="646" spans="8:8" x14ac:dyDescent="0.3">
      <c r="H646" s="37"/>
    </row>
    <row r="647" spans="8:8" x14ac:dyDescent="0.3">
      <c r="H647" s="37"/>
    </row>
    <row r="648" spans="8:8" x14ac:dyDescent="0.3">
      <c r="H648" s="37"/>
    </row>
    <row r="649" spans="8:8" x14ac:dyDescent="0.3">
      <c r="H649" s="37"/>
    </row>
    <row r="650" spans="8:8" x14ac:dyDescent="0.3">
      <c r="H650" s="37"/>
    </row>
    <row r="651" spans="8:8" x14ac:dyDescent="0.3">
      <c r="H651" s="37"/>
    </row>
    <row r="652" spans="8:8" x14ac:dyDescent="0.3">
      <c r="H652" s="37"/>
    </row>
    <row r="653" spans="8:8" x14ac:dyDescent="0.3">
      <c r="H653" s="37"/>
    </row>
    <row r="654" spans="8:8" x14ac:dyDescent="0.3">
      <c r="H654" s="37"/>
    </row>
    <row r="655" spans="8:8" x14ac:dyDescent="0.3">
      <c r="H655" s="37"/>
    </row>
    <row r="656" spans="8:8" x14ac:dyDescent="0.3">
      <c r="H656" s="37"/>
    </row>
    <row r="657" spans="8:8" x14ac:dyDescent="0.3">
      <c r="H657" s="37"/>
    </row>
    <row r="658" spans="8:8" x14ac:dyDescent="0.3">
      <c r="H658" s="37"/>
    </row>
    <row r="659" spans="8:8" x14ac:dyDescent="0.3">
      <c r="H659" s="37"/>
    </row>
    <row r="660" spans="8:8" x14ac:dyDescent="0.3">
      <c r="H660" s="37"/>
    </row>
    <row r="661" spans="8:8" x14ac:dyDescent="0.3">
      <c r="H661" s="37"/>
    </row>
    <row r="662" spans="8:8" x14ac:dyDescent="0.3">
      <c r="H662" s="37"/>
    </row>
    <row r="663" spans="8:8" x14ac:dyDescent="0.3">
      <c r="H663" s="37"/>
    </row>
    <row r="664" spans="8:8" x14ac:dyDescent="0.3">
      <c r="H664" s="37"/>
    </row>
    <row r="665" spans="8:8" x14ac:dyDescent="0.3">
      <c r="H665" s="37"/>
    </row>
    <row r="666" spans="8:8" x14ac:dyDescent="0.3">
      <c r="H666" s="37"/>
    </row>
    <row r="667" spans="8:8" x14ac:dyDescent="0.3">
      <c r="H667" s="37"/>
    </row>
    <row r="668" spans="8:8" x14ac:dyDescent="0.3">
      <c r="H668" s="37"/>
    </row>
    <row r="669" spans="8:8" x14ac:dyDescent="0.3">
      <c r="H669" s="37"/>
    </row>
    <row r="670" spans="8:8" x14ac:dyDescent="0.3">
      <c r="H670" s="37"/>
    </row>
    <row r="671" spans="8:8" x14ac:dyDescent="0.3">
      <c r="H671" s="37"/>
    </row>
    <row r="672" spans="8:8" x14ac:dyDescent="0.3">
      <c r="H672" s="37"/>
    </row>
    <row r="673" spans="8:8" x14ac:dyDescent="0.3">
      <c r="H673" s="37"/>
    </row>
    <row r="674" spans="8:8" x14ac:dyDescent="0.3">
      <c r="H674" s="37"/>
    </row>
    <row r="675" spans="8:8" x14ac:dyDescent="0.3">
      <c r="H675" s="37"/>
    </row>
    <row r="676" spans="8:8" x14ac:dyDescent="0.3">
      <c r="H676" s="37"/>
    </row>
    <row r="677" spans="8:8" x14ac:dyDescent="0.3">
      <c r="H677" s="37"/>
    </row>
    <row r="678" spans="8:8" x14ac:dyDescent="0.3">
      <c r="H678" s="37"/>
    </row>
    <row r="679" spans="8:8" x14ac:dyDescent="0.3">
      <c r="H679" s="37"/>
    </row>
    <row r="680" spans="8:8" x14ac:dyDescent="0.3">
      <c r="H680" s="37"/>
    </row>
    <row r="681" spans="8:8" x14ac:dyDescent="0.3">
      <c r="H681" s="37"/>
    </row>
    <row r="682" spans="8:8" x14ac:dyDescent="0.3">
      <c r="H682" s="37"/>
    </row>
    <row r="683" spans="8:8" x14ac:dyDescent="0.3">
      <c r="H683" s="37"/>
    </row>
    <row r="684" spans="8:8" x14ac:dyDescent="0.3">
      <c r="H684" s="37"/>
    </row>
    <row r="685" spans="8:8" x14ac:dyDescent="0.3">
      <c r="H685" s="37"/>
    </row>
    <row r="686" spans="8:8" x14ac:dyDescent="0.3">
      <c r="H686" s="37"/>
    </row>
    <row r="687" spans="8:8" x14ac:dyDescent="0.3">
      <c r="H687" s="37"/>
    </row>
    <row r="688" spans="8:8" x14ac:dyDescent="0.3">
      <c r="H688" s="37"/>
    </row>
    <row r="689" spans="8:8" x14ac:dyDescent="0.3">
      <c r="H689" s="37"/>
    </row>
    <row r="690" spans="8:8" x14ac:dyDescent="0.3">
      <c r="H690" s="37"/>
    </row>
    <row r="691" spans="8:8" x14ac:dyDescent="0.3">
      <c r="H691" s="37"/>
    </row>
  </sheetData>
  <mergeCells count="12">
    <mergeCell ref="B32:E32"/>
    <mergeCell ref="B22:E22"/>
    <mergeCell ref="B24:E24"/>
    <mergeCell ref="B26:E26"/>
    <mergeCell ref="B28:E28"/>
    <mergeCell ref="B30:E30"/>
    <mergeCell ref="B20:E20"/>
    <mergeCell ref="B2:E2"/>
    <mergeCell ref="B11:E11"/>
    <mergeCell ref="B13:E13"/>
    <mergeCell ref="B15:E15"/>
    <mergeCell ref="B18:E18"/>
  </mergeCells>
  <phoneticPr fontId="6" type="noConversion"/>
  <conditionalFormatting sqref="E35:E76 E31 E29 E27 E25 E23 E17:E21 E12:E15">
    <cfRule type="expression" dxfId="37" priority="63">
      <formula>IF(ISBLANK($D12), FALSE, IF(RedGreen_Formatting = "Enabled", $D12 &lt;= $E12 + Percent_Error, FALSE))</formula>
    </cfRule>
    <cfRule type="expression" dxfId="36" priority="64">
      <formula>IF(ISBLANK($D12), FALSE, IF(RedGreen_Formatting = "Enabled", $D12 &gt; $E12 + Percent_Error, FALSE))</formula>
    </cfRule>
  </conditionalFormatting>
  <conditionalFormatting sqref="E22">
    <cfRule type="expression" dxfId="35" priority="61">
      <formula>IF(ISBLANK($D22), FALSE, IF(RedGreen_Formatting = "Enabled", $D22 &lt;= $E22 + Percent_Error, FALSE))</formula>
    </cfRule>
    <cfRule type="expression" dxfId="34" priority="62">
      <formula>IF(ISBLANK($D22), FALSE, IF(RedGreen_Formatting = "Enabled", $D22 &gt; $E22 + Percent_Error, FALSE))</formula>
    </cfRule>
  </conditionalFormatting>
  <conditionalFormatting sqref="E24">
    <cfRule type="expression" dxfId="33" priority="59">
      <formula>IF(ISBLANK($D24), FALSE, IF(RedGreen_Formatting = "Enabled", $D24 &lt;= $E24 + Percent_Error, FALSE))</formula>
    </cfRule>
    <cfRule type="expression" dxfId="32" priority="60">
      <formula>IF(ISBLANK($D24), FALSE, IF(RedGreen_Formatting = "Enabled", $D24 &gt; $E24 + Percent_Error, FALSE))</formula>
    </cfRule>
  </conditionalFormatting>
  <conditionalFormatting sqref="E26">
    <cfRule type="expression" dxfId="31" priority="57">
      <formula>IF(ISBLANK($D26), FALSE, IF(RedGreen_Formatting = "Enabled", $D26 &lt;= $E26 + Percent_Error, FALSE))</formula>
    </cfRule>
    <cfRule type="expression" dxfId="30" priority="58">
      <formula>IF(ISBLANK($D26), FALSE, IF(RedGreen_Formatting = "Enabled", $D26 &gt; $E26 + Percent_Error, FALSE))</formula>
    </cfRule>
  </conditionalFormatting>
  <conditionalFormatting sqref="E28">
    <cfRule type="expression" dxfId="29" priority="55">
      <formula>IF(ISBLANK($D28), FALSE, IF(RedGreen_Formatting = "Enabled", $D28 &lt;= $E28 + Percent_Error, FALSE))</formula>
    </cfRule>
    <cfRule type="expression" dxfId="28" priority="56">
      <formula>IF(ISBLANK($D28), FALSE, IF(RedGreen_Formatting = "Enabled", $D28 &gt; $E28 + Percent_Error, FALSE))</formula>
    </cfRule>
  </conditionalFormatting>
  <conditionalFormatting sqref="E30">
    <cfRule type="expression" dxfId="27" priority="53">
      <formula>IF(ISBLANK($D30), FALSE, IF(RedGreen_Formatting = "Enabled", $D30 &lt;= $E30 + Percent_Error, FALSE))</formula>
    </cfRule>
    <cfRule type="expression" dxfId="26" priority="54">
      <formula>IF(ISBLANK($D30), FALSE, IF(RedGreen_Formatting = "Enabled", $D30 &gt; $E30 + Percent_Error, FALSE))</formula>
    </cfRule>
  </conditionalFormatting>
  <conditionalFormatting sqref="E32">
    <cfRule type="expression" dxfId="25" priority="51">
      <formula>IF(ISBLANK($D32), FALSE, IF(RedGreen_Formatting = "Enabled", $D32 &lt;= $E32 + Percent_Error, FALSE))</formula>
    </cfRule>
    <cfRule type="expression" dxfId="24" priority="52">
      <formula>IF(ISBLANK($D32), FALSE, IF(RedGreen_Formatting = "Enabled", $D32 &gt; $E32 + Percent_Error, FALSE))</formula>
    </cfRule>
  </conditionalFormatting>
  <conditionalFormatting sqref="E34">
    <cfRule type="expression" dxfId="23" priority="33">
      <formula>IF(ISBLANK($D34), FALSE, IF(RedGreen_Formatting = "Enabled", $D34 &lt;= $E34 + Percent_Error, FALSE))</formula>
    </cfRule>
    <cfRule type="expression" dxfId="22" priority="34">
      <formula>IF(ISBLANK($D34), FALSE, IF(RedGreen_Formatting = "Enabled", $D34 &gt; $E34 + Percent_Error, FALSE))</formula>
    </cfRule>
  </conditionalFormatting>
  <conditionalFormatting sqref="E33">
    <cfRule type="expression" dxfId="21" priority="13">
      <formula>IF(ISBLANK($D33), FALSE, IF(RedGreen_Formatting = "Enabled", $D33 &lt;= $E33 + Percent_Error, FALSE))</formula>
    </cfRule>
    <cfRule type="expression" dxfId="20" priority="14">
      <formula>IF(ISBLANK($D33), FALSE, IF(RedGreen_Formatting = "Enabled", $D33 &gt; $E33 + Percent_Error, FALSE))</formula>
    </cfRule>
  </conditionalFormatting>
  <conditionalFormatting sqref="I33">
    <cfRule type="cellIs" dxfId="19" priority="7" operator="equal">
      <formula>"Not Ready"</formula>
    </cfRule>
    <cfRule type="cellIs" dxfId="18" priority="8" operator="equal">
      <formula>"Ready"</formula>
    </cfRule>
  </conditionalFormatting>
  <conditionalFormatting sqref="I16">
    <cfRule type="cellIs" dxfId="17" priority="1" operator="equal">
      <formula>"Not Ready"</formula>
    </cfRule>
    <cfRule type="cellIs" dxfId="16" priority="2" operator="equal">
      <formula>"Ready"</formula>
    </cfRule>
  </conditionalFormatting>
  <conditionalFormatting sqref="E16">
    <cfRule type="expression" dxfId="15" priority="3">
      <formula>IF(ISBLANK($D16), FALSE, IF(RedGreen_Formatting = "Enabled", $D16 &lt;= $E16 + Percent_Error, FALSE))</formula>
    </cfRule>
    <cfRule type="expression" dxfId="14" priority="4">
      <formula>IF(ISBLANK($D16), FALSE, IF(RedGreen_Formatting = "Enabled", $D16 &gt; $E16 + Percent_Error, FALSE))</formula>
    </cfRule>
  </conditionalFormatting>
  <dataValidations disablePrompts="1" count="3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H6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H7" xr:uid="{8A1B03EA-7214-45DD-9A9F-E88973826651}">
      <formula1>"Enabled, Disabled"</formula1>
    </dataValidation>
    <dataValidation type="decimal" allowBlank="1" showInputMessage="1" showErrorMessage="1" promptTitle="Percent Error" prompt="This is the amount behind you can be before the actual % cell turns red. Only works if RedGreen Formatting is enabled." sqref="H8" xr:uid="{D4688425-FF77-46A3-BA3A-083E585F7651}">
      <formula1>0</formula1>
      <formula2>0.25</formula2>
    </dataValidation>
  </dataValidations>
  <pageMargins left="0.7" right="0.7" top="0.75" bottom="0.75" header="0.3" footer="0.3"/>
  <pageSetup scale="96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Add_New_Trade_Sub">
                <anchor moveWithCells="1" sizeWithCells="1">
                  <from>
                    <xdr:col>6</xdr:col>
                    <xdr:colOff>19050</xdr:colOff>
                    <xdr:row>1</xdr:row>
                    <xdr:rowOff>19050</xdr:rowOff>
                  </from>
                  <to>
                    <xdr:col>6</xdr:col>
                    <xdr:colOff>1504950</xdr:colOff>
                    <xdr:row>3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5" name="Button 9">
              <controlPr defaultSize="0" print="0" autoFill="0" autoPict="0" macro="[0]!GenerateReports">
                <anchor moveWithCells="1" sizeWithCells="1">
                  <from>
                    <xdr:col>8</xdr:col>
                    <xdr:colOff>38100</xdr:colOff>
                    <xdr:row>1</xdr:row>
                    <xdr:rowOff>19050</xdr:rowOff>
                  </from>
                  <to>
                    <xdr:col>8</xdr:col>
                    <xdr:colOff>1314450</xdr:colOff>
                    <xdr:row>3</xdr:row>
                    <xdr:rowOff>196850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31946-9860-4825-9865-9A67EC69006A}">
  <sheetPr codeName="Sheet6">
    <pageSetUpPr fitToPage="1"/>
  </sheetPr>
  <dimension ref="B1:AW45"/>
  <sheetViews>
    <sheetView zoomScaleNormal="100" workbookViewId="0">
      <selection activeCell="R30" sqref="R30"/>
    </sheetView>
  </sheetViews>
  <sheetFormatPr defaultColWidth="8.7265625" defaultRowHeight="14" x14ac:dyDescent="0.3"/>
  <cols>
    <col min="1" max="1" width="2.54296875" style="65" customWidth="1"/>
    <col min="2" max="2" width="18.26953125" style="65" customWidth="1"/>
    <col min="3" max="3" width="9.1796875" style="65" customWidth="1"/>
    <col min="4" max="8" width="8.7265625" style="65"/>
    <col min="9" max="9" width="14.54296875" style="65" customWidth="1"/>
    <col min="10" max="10" width="9.1796875" style="65" customWidth="1"/>
    <col min="11" max="11" width="8.7265625" style="65"/>
    <col min="12" max="12" width="9.453125" style="65" customWidth="1"/>
    <col min="13" max="13" width="12.08984375" style="65" customWidth="1"/>
    <col min="14" max="15" width="10.54296875" style="65" customWidth="1"/>
    <col min="16" max="17" width="2.54296875" style="65" customWidth="1"/>
    <col min="18" max="18" width="18.453125" style="17" customWidth="1"/>
    <col min="19" max="19" width="24.7265625" style="65" customWidth="1"/>
    <col min="20" max="20" width="22.08984375" style="65" bestFit="1" customWidth="1"/>
    <col min="21" max="21" width="15.54296875" style="65" bestFit="1" customWidth="1"/>
    <col min="22" max="22" width="14.54296875" style="65" customWidth="1"/>
    <col min="23" max="24" width="17.26953125" style="65" customWidth="1"/>
    <col min="25" max="26" width="2.54296875" style="65" customWidth="1"/>
    <col min="27" max="27" width="14.81640625" style="65" customWidth="1"/>
    <col min="28" max="28" width="16.54296875" style="50" customWidth="1"/>
    <col min="29" max="29" width="16.453125" style="65" bestFit="1" customWidth="1"/>
    <col min="30" max="30" width="19.26953125" style="65" customWidth="1"/>
    <col min="31" max="31" width="20.26953125" style="65" customWidth="1"/>
    <col min="32" max="32" width="22.1796875" style="65" customWidth="1"/>
    <col min="33" max="16384" width="8.7265625" style="65"/>
  </cols>
  <sheetData>
    <row r="1" spans="2:49" ht="15" thickBot="1" x14ac:dyDescent="0.4">
      <c r="R1" s="106" t="str">
        <f>HYPERLINK("#Main!A1", "Back to Main")</f>
        <v>Back to Main</v>
      </c>
      <c r="AA1" s="78" t="s">
        <v>80</v>
      </c>
      <c r="AB1" s="79"/>
    </row>
    <row r="2" spans="2:49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0501</v>
      </c>
      <c r="T2" s="17" t="s">
        <v>59</v>
      </c>
      <c r="U2" s="27" t="b">
        <v>1</v>
      </c>
      <c r="V2" s="10">
        <f ca="1">1-N5</f>
        <v>1</v>
      </c>
      <c r="AA2" s="52"/>
      <c r="AB2" s="53"/>
    </row>
    <row r="3" spans="2:49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10">
        <f ca="1">1-O5</f>
        <v>0.8928571428571429</v>
      </c>
      <c r="AA3" s="52"/>
      <c r="AB3" s="53"/>
      <c r="AC3" s="60">
        <v>44022.573796296296</v>
      </c>
      <c r="AE3" s="38"/>
      <c r="AF3" s="60"/>
    </row>
    <row r="4" spans="2:4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v>43985</v>
      </c>
      <c r="T4" s="17" t="s">
        <v>61</v>
      </c>
      <c r="U4" s="27" t="b">
        <v>1</v>
      </c>
      <c r="AA4" s="52"/>
      <c r="AB4" s="53"/>
      <c r="AC4" s="60">
        <v>44022.575659722221</v>
      </c>
      <c r="AE4" s="38"/>
      <c r="AF4" s="60"/>
    </row>
    <row r="5" spans="2:4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</v>
      </c>
      <c r="O5" s="26">
        <f ca="1">IF(ISERROR(O7/O6), 0, O7/O6)</f>
        <v>0.10714285714285712</v>
      </c>
      <c r="R5" s="17" t="s">
        <v>79</v>
      </c>
      <c r="S5" s="24">
        <f>MAX(Input_0501[Finish Date])+(7-WEEKDAY(MAX(Input_0501[Finish Date]),2)+_xlfn.SWITCH(Reporting_Day, "Sunday", 7, "Monday", 1, "Tuesday", 2, "Wednesday", 3, "Thursday", 4, "Friday", 5, "Saturday", 6))</f>
        <v>44202</v>
      </c>
      <c r="T5" s="17" t="s">
        <v>62</v>
      </c>
      <c r="U5" s="27" t="b">
        <v>1</v>
      </c>
      <c r="AA5" s="52"/>
      <c r="AB5" s="53"/>
    </row>
    <row r="6" spans="2:49" ht="15" x14ac:dyDescent="0.3">
      <c r="B6" s="21" t="s">
        <v>43</v>
      </c>
      <c r="C6" s="108" t="str">
        <f>Main!C16</f>
        <v>Glassey Steel Works</v>
      </c>
      <c r="D6" s="108"/>
      <c r="E6" s="108"/>
      <c r="F6" s="108"/>
      <c r="G6" s="108"/>
      <c r="H6" s="108"/>
      <c r="I6" s="108"/>
      <c r="J6" s="90" t="str">
        <f>_xlfn.CONCAT("Overall Totals (", IF(ISBLANK($S$6),"",$S$6), ")")</f>
        <v>Overall Totals (Count)</v>
      </c>
      <c r="K6" s="90"/>
      <c r="L6" s="90"/>
      <c r="M6" s="90"/>
      <c r="N6" s="28">
        <f ca="1">SUM(INDIRECT("Input_"&amp;$S$2&amp;"[Total]"))</f>
        <v>1344</v>
      </c>
      <c r="O6" s="29">
        <f ca="1">SUM(INDIRECT("Output_"&amp;$S$2&amp;"[Weekly Plan]"))</f>
        <v>1344.0000000000002</v>
      </c>
      <c r="R6" s="17" t="s">
        <v>51</v>
      </c>
      <c r="S6" s="19" t="s">
        <v>88</v>
      </c>
      <c r="T6" s="17" t="s">
        <v>63</v>
      </c>
      <c r="U6" s="27" t="b">
        <v>1</v>
      </c>
      <c r="AA6" s="52"/>
      <c r="AB6" s="53"/>
    </row>
    <row r="7" spans="2:49" ht="15.5" thickBot="1" x14ac:dyDescent="0.35">
      <c r="B7" s="21" t="s">
        <v>44</v>
      </c>
      <c r="C7" s="97" t="str">
        <f>RIGHT(Main!B16, LEN(Main!B16) - 4)</f>
        <v>Structural Steel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(Count)</v>
      </c>
      <c r="K7" s="90"/>
      <c r="L7" s="90"/>
      <c r="M7" s="90"/>
      <c r="N7" s="28">
        <f ca="1">VLOOKUP($S$3, INDIRECT("Output_"&amp;$S$2), 5, FALSE)</f>
        <v>0</v>
      </c>
      <c r="O7" s="29">
        <f ca="1">_xlfn.IFNA(VLOOKUP($S$3, INDIRECT("Output_"&amp;$S$2), 6, FALSE), 0)</f>
        <v>144</v>
      </c>
      <c r="R7" s="17" t="s">
        <v>66</v>
      </c>
      <c r="S7" s="24">
        <v>43962</v>
      </c>
      <c r="T7" s="17" t="s">
        <v>64</v>
      </c>
      <c r="U7" s="27" t="b">
        <v>0</v>
      </c>
      <c r="AA7" s="54"/>
      <c r="AB7" s="55"/>
      <c r="AC7" s="65" t="str">
        <f>TEXT(AC4-AC3, "hh:mm:ss")</f>
        <v>00:02:41</v>
      </c>
    </row>
    <row r="8" spans="2:49" ht="15" x14ac:dyDescent="0.3">
      <c r="B8" s="30"/>
      <c r="C8" s="64"/>
      <c r="D8" s="64"/>
      <c r="E8" s="64"/>
      <c r="F8" s="64"/>
      <c r="G8" s="64"/>
      <c r="H8" s="64"/>
      <c r="I8" s="64"/>
      <c r="J8" s="90" t="str">
        <f>_xlfn.CONCAT("This Week's Production (", IF(ISBLANK($S$6),"",$S$6), ")")</f>
        <v>This Week's Production (Count)</v>
      </c>
      <c r="K8" s="90"/>
      <c r="L8" s="90"/>
      <c r="M8" s="90"/>
      <c r="N8" s="28">
        <f ca="1">VLOOKUP($S$3, INDIRECT("Output_"&amp;$S$2), 3, FALSE)</f>
        <v>0</v>
      </c>
      <c r="O8" s="29">
        <f ca="1">VLOOKUP($S$3, INDIRECT("Output_"&amp;$S$2), 4, FALSE)</f>
        <v>69</v>
      </c>
      <c r="R8" s="17" t="s">
        <v>50</v>
      </c>
      <c r="S8" s="19" t="s">
        <v>87</v>
      </c>
      <c r="T8" s="17" t="s">
        <v>65</v>
      </c>
      <c r="U8" s="27" t="b">
        <v>0</v>
      </c>
    </row>
    <row r="9" spans="2:49" ht="15" x14ac:dyDescent="0.3">
      <c r="B9" s="30"/>
      <c r="C9" s="64"/>
      <c r="D9" s="64"/>
      <c r="E9" s="64"/>
      <c r="F9" s="64"/>
      <c r="G9" s="64"/>
      <c r="H9" s="64"/>
      <c r="I9" s="64"/>
      <c r="J9" s="90" t="str">
        <f>_xlfn.CONCAT("Weekly Average (", IF(ISBLANK($S$6),"",$S$6), ")")</f>
        <v>Weekly Average (Count)</v>
      </c>
      <c r="K9" s="90"/>
      <c r="L9" s="90"/>
      <c r="M9" s="90"/>
      <c r="N9" s="32">
        <f ca="1">AVERAGE(INDIRECT("Output_"&amp;$S$2&amp;"[Weekly Plan]"))</f>
        <v>42.000000000000007</v>
      </c>
      <c r="O9" s="33">
        <f ca="1">AVERAGE(INDIRECT("AD14:AD" &amp;MATCH($S$3,INDIRECT("Output_"&amp;$S$2&amp;"[Date]"),0)+14))</f>
        <v>28.8</v>
      </c>
      <c r="R9" s="17" t="s">
        <v>158</v>
      </c>
      <c r="S9" s="20">
        <v>44013</v>
      </c>
      <c r="T9" s="17" t="s">
        <v>114</v>
      </c>
      <c r="U9" s="84" t="s">
        <v>116</v>
      </c>
      <c r="V9" s="84"/>
      <c r="W9" s="84"/>
      <c r="X9" s="84"/>
      <c r="AB9" s="63"/>
    </row>
    <row r="10" spans="2:49" ht="15" x14ac:dyDescent="0.3">
      <c r="B10" s="30"/>
      <c r="C10" s="64"/>
      <c r="D10" s="64"/>
      <c r="E10" s="64"/>
      <c r="F10" s="64"/>
      <c r="G10" s="64"/>
      <c r="H10" s="64"/>
      <c r="I10" s="64"/>
      <c r="J10" s="90" t="str">
        <f>_xlfn.CONCAT("Average Past 4 Weeks (", IF(ISBLANK($S$6),"",$S$6), ")")</f>
        <v>Average Past 4 Weeks (Count)</v>
      </c>
      <c r="K10" s="90"/>
      <c r="L10" s="90"/>
      <c r="M10" s="9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0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31.25</v>
      </c>
      <c r="T10" s="17" t="s">
        <v>115</v>
      </c>
      <c r="U10" s="85"/>
      <c r="V10" s="85"/>
      <c r="W10" s="85"/>
      <c r="X10" s="85"/>
      <c r="AB10" s="62"/>
      <c r="AC10" s="61"/>
      <c r="AD10" s="59"/>
    </row>
    <row r="11" spans="2:49" ht="15" x14ac:dyDescent="0.3">
      <c r="B11" s="30"/>
      <c r="C11" s="64"/>
      <c r="D11" s="64"/>
      <c r="E11" s="64"/>
      <c r="F11" s="64"/>
      <c r="G11" s="64"/>
      <c r="H11" s="64"/>
      <c r="I11" s="64"/>
      <c r="J11" s="90" t="str">
        <f>_xlfn.CONCAT("On Schedule Average (", IF(ISBLANK($S$6),"",$S$6), ")")</f>
        <v>On Schedule Average (Count)</v>
      </c>
      <c r="K11" s="90"/>
      <c r="L11" s="90"/>
      <c r="M11" s="90"/>
      <c r="N11" s="32">
        <f ca="1">IF($S$3&lt;MAX(Input_0501[Finish Date])+(7-WEEKDAY(MAX(Input_0501[Finish Date]),2)+_xlfn.SWITCH(Reporting_Day, "Sunday", 7, "Monday", 1, "Tuesday", 2, "Wednesday", 3, "Thursday", 4, "Friday", 5, "Saturday", 6)),AVERAGE(INDIRECT("AC"&amp;MATCH($S$3, Output_0501[Date],0)+13&amp;":AC"&amp;ROW(Output_0501[Weekly Plan])-1+ROWS(Output_0501[Weekly Plan]))), "-")</f>
        <v>48.000000000000007</v>
      </c>
      <c r="O11" s="33">
        <f ca="1">IF($O$5&gt;0.998, "-", (SUM(Input_0501[Total])-INDIRECT("AF"&amp;MATCH($S$3, Output_0501[Date],0)+13))/(ROW(Output_0501[Weekly Plan])-1+ROWS(Output_0501[Weekly Plan])-(MATCH($S$3, Output_0501[Date],0)+13)))</f>
        <v>44.444444444444443</v>
      </c>
      <c r="U11" s="85"/>
      <c r="V11" s="85"/>
      <c r="W11" s="85"/>
      <c r="X11" s="85"/>
      <c r="AC11" s="59"/>
      <c r="AD11" s="59"/>
    </row>
    <row r="12" spans="2:49" ht="15" x14ac:dyDescent="0.3">
      <c r="B12" s="30"/>
      <c r="C12" s="64"/>
      <c r="D12" s="64"/>
      <c r="E12" s="64"/>
      <c r="F12" s="64"/>
      <c r="G12" s="64"/>
      <c r="H12" s="64"/>
      <c r="I12" s="64"/>
      <c r="J12" s="80" t="s">
        <v>45</v>
      </c>
      <c r="K12" s="80"/>
      <c r="L12" s="80"/>
      <c r="M12" s="80"/>
      <c r="N12" s="81">
        <f ca="1">MAX(INDIRECT("Input_"&amp;$S$2&amp;"[Finish Date]"))</f>
        <v>44195</v>
      </c>
      <c r="O12" s="82"/>
    </row>
    <row r="13" spans="2:49" ht="15.5" x14ac:dyDescent="0.35">
      <c r="B13" s="30"/>
      <c r="C13" s="64"/>
      <c r="D13" s="64"/>
      <c r="E13" s="64"/>
      <c r="F13" s="64"/>
      <c r="G13" s="64"/>
      <c r="H13" s="64"/>
      <c r="I13" s="64"/>
      <c r="J13" s="80" t="s">
        <v>46</v>
      </c>
      <c r="K13" s="80"/>
      <c r="L13" s="80"/>
      <c r="M13" s="80"/>
      <c r="N13" s="81">
        <f ca="1">IF($O$5&gt;0.999, "Completed", WORKDAY($S$3, ROUNDUP((SUM(Input_0501[Total])-(INDIRECT("AF"&amp;MATCH($S$3, Output_0501[Date],0)+13)))/($O$10/COUNTIF($U$2:$U$8, TRUE)),0), Holidays_Table[Holidays]))</f>
        <v>44285</v>
      </c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91</v>
      </c>
      <c r="AH13" s="56" t="s">
        <v>92</v>
      </c>
      <c r="AI13" s="56" t="s">
        <v>100</v>
      </c>
      <c r="AJ13" s="56" t="s">
        <v>101</v>
      </c>
      <c r="AK13" s="56" t="s">
        <v>102</v>
      </c>
      <c r="AL13" s="56" t="s">
        <v>103</v>
      </c>
      <c r="AM13" s="56" t="s">
        <v>104</v>
      </c>
      <c r="AN13" s="56" t="s">
        <v>105</v>
      </c>
      <c r="AO13" s="56" t="s">
        <v>106</v>
      </c>
      <c r="AP13" s="56" t="s">
        <v>107</v>
      </c>
      <c r="AQ13" s="56" t="s">
        <v>108</v>
      </c>
      <c r="AR13" s="56" t="s">
        <v>109</v>
      </c>
      <c r="AS13" s="56" t="s">
        <v>110</v>
      </c>
      <c r="AT13" s="56" t="s">
        <v>111</v>
      </c>
      <c r="AU13" s="56" t="s">
        <v>112</v>
      </c>
      <c r="AV13" s="56" t="s">
        <v>113</v>
      </c>
      <c r="AW13" s="48"/>
    </row>
    <row r="14" spans="2:49" ht="15.5" x14ac:dyDescent="0.35">
      <c r="B14" s="30"/>
      <c r="C14" s="64"/>
      <c r="D14" s="64"/>
      <c r="E14" s="64"/>
      <c r="F14" s="64"/>
      <c r="G14" s="64"/>
      <c r="H14" s="64"/>
      <c r="I14" s="64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05/11/2020.</v>
      </c>
      <c r="M14" s="86"/>
      <c r="N14" s="86"/>
      <c r="O14" s="87"/>
      <c r="R14" s="36"/>
      <c r="S14" s="37" t="s">
        <v>136</v>
      </c>
      <c r="T14" s="37" t="s">
        <v>90</v>
      </c>
      <c r="U14" s="38">
        <v>44040</v>
      </c>
      <c r="V14" s="38">
        <v>44053</v>
      </c>
      <c r="W14" s="65">
        <v>202</v>
      </c>
      <c r="X14" s="65">
        <v>143</v>
      </c>
      <c r="AA14" s="47">
        <f t="shared" ref="AA14:AA22" si="0">IF(AA13 = "Date", $S$4, AA13+7)</f>
        <v>43985</v>
      </c>
      <c r="AB14" s="49">
        <f t="shared" ref="AB14" ca="1" si="1">PrimaryAreas(8)</f>
        <v>0</v>
      </c>
      <c r="AC1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4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19</v>
      </c>
      <c r="AE14" s="51">
        <f ca="1">SUM($AC$14:AC14)</f>
        <v>0</v>
      </c>
      <c r="AF14" s="51">
        <f>IF(AD14="",NA(),SUM($AD$14:AD14))</f>
        <v>19</v>
      </c>
      <c r="AG14" s="51" t="str">
        <f ca="1">WeeklyPlanned(Output_0501[[#Headers],[WP_ABC]], Output_0501[[#This Row],[Date]])</f>
        <v/>
      </c>
      <c r="AH14" s="51">
        <v>19</v>
      </c>
      <c r="AI14" s="51" t="str">
        <f ca="1">WeeklyPlanned(Output_0501[[#Headers],[WP_ACS]], Output_0501[[#This Row],[Date]])</f>
        <v/>
      </c>
      <c r="AJ14" s="51">
        <v>0</v>
      </c>
      <c r="AK14" s="51" t="str">
        <f ca="1">WeeklyPlanned(Output_0501[[#Headers],[WP_AL1]], Output_0501[[#This Row],[Date]])</f>
        <v/>
      </c>
      <c r="AL14" s="51">
        <v>0</v>
      </c>
      <c r="AM14" s="51" t="str">
        <f ca="1">WeeklyPlanned(Output_0501[[#Headers],[WP_HBase]], Output_0501[[#This Row],[Date]])</f>
        <v/>
      </c>
      <c r="AN14" s="51">
        <v>0</v>
      </c>
      <c r="AO14" s="51" t="str">
        <f ca="1">WeeklyPlanned(Output_0501[[#Headers],[WP_HWST]], Output_0501[[#This Row],[Date]])</f>
        <v/>
      </c>
      <c r="AP14" s="51">
        <v>0</v>
      </c>
      <c r="AQ14" s="51" t="str">
        <f ca="1">WeeklyPlanned(Output_0501[[#Headers],[WP_HWSR]], Output_0501[[#This Row],[Date]])</f>
        <v/>
      </c>
      <c r="AR14" s="51">
        <v>0</v>
      </c>
      <c r="AS14" s="51" t="str">
        <f ca="1">WeeklyPlanned(Output_0501[[#Headers],[WP_HL2]], Output_0501[[#This Row],[Date]])</f>
        <v/>
      </c>
      <c r="AT14" s="51">
        <v>0</v>
      </c>
      <c r="AU14" s="51" t="str">
        <f ca="1">WeeklyPlanned(Output_0501[[#Headers],[WP_HBCeil]], Output_0501[[#This Row],[Date]])</f>
        <v/>
      </c>
      <c r="AV14" s="51">
        <v>0</v>
      </c>
    </row>
    <row r="15" spans="2:49" ht="16" thickBot="1" x14ac:dyDescent="0.4">
      <c r="B15" s="30"/>
      <c r="C15" s="64"/>
      <c r="D15" s="64"/>
      <c r="E15" s="64"/>
      <c r="F15" s="64"/>
      <c r="G15" s="64"/>
      <c r="H15" s="64"/>
      <c r="I15" s="64"/>
      <c r="J15" s="39"/>
      <c r="K15" s="39"/>
      <c r="L15" s="88"/>
      <c r="M15" s="88"/>
      <c r="N15" s="88"/>
      <c r="O15" s="89"/>
      <c r="R15" s="36"/>
      <c r="S15" s="37" t="s">
        <v>137</v>
      </c>
      <c r="T15" s="37" t="s">
        <v>93</v>
      </c>
      <c r="U15" s="38">
        <v>44105</v>
      </c>
      <c r="V15" s="38">
        <v>44111</v>
      </c>
      <c r="W15" s="65">
        <v>102</v>
      </c>
      <c r="X15" s="65">
        <v>0</v>
      </c>
      <c r="AA15" s="47">
        <f t="shared" si="0"/>
        <v>43992</v>
      </c>
      <c r="AB15" s="49">
        <f t="shared" ref="AB15:AB45" ca="1" si="2">PrimaryAreas(8)</f>
        <v>0</v>
      </c>
      <c r="AC1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5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0</v>
      </c>
      <c r="AE15" s="51">
        <f ca="1">SUM($AC$14:AC15)</f>
        <v>0</v>
      </c>
      <c r="AF15" s="51">
        <f>IF(AD15="",NA(),SUM($AD$14:AD15))</f>
        <v>19</v>
      </c>
      <c r="AG15" s="51" t="str">
        <f ca="1">WeeklyPlanned(Output_0501[[#Headers],[WP_ABC]], Output_0501[[#This Row],[Date]])</f>
        <v/>
      </c>
      <c r="AH15" s="51">
        <v>0</v>
      </c>
      <c r="AI15" s="51" t="str">
        <f ca="1">WeeklyPlanned(Output_0501[[#Headers],[WP_ACS]], Output_0501[[#This Row],[Date]])</f>
        <v/>
      </c>
      <c r="AJ15" s="51">
        <v>0</v>
      </c>
      <c r="AK15" s="51" t="str">
        <f ca="1">WeeklyPlanned(Output_0501[[#Headers],[WP_AL1]], Output_0501[[#This Row],[Date]])</f>
        <v/>
      </c>
      <c r="AL15" s="51">
        <v>0</v>
      </c>
      <c r="AM15" s="51" t="str">
        <f ca="1">WeeklyPlanned(Output_0501[[#Headers],[WP_HBase]], Output_0501[[#This Row],[Date]])</f>
        <v/>
      </c>
      <c r="AN15" s="51">
        <v>0</v>
      </c>
      <c r="AO15" s="51" t="str">
        <f ca="1">WeeklyPlanned(Output_0501[[#Headers],[WP_HWST]], Output_0501[[#This Row],[Date]])</f>
        <v/>
      </c>
      <c r="AP15" s="51">
        <v>0</v>
      </c>
      <c r="AQ15" s="51" t="str">
        <f ca="1">WeeklyPlanned(Output_0501[[#Headers],[WP_HWSR]], Output_0501[[#This Row],[Date]])</f>
        <v/>
      </c>
      <c r="AR15" s="51">
        <v>0</v>
      </c>
      <c r="AS15" s="51" t="str">
        <f ca="1">WeeklyPlanned(Output_0501[[#Headers],[WP_HL2]], Output_0501[[#This Row],[Date]])</f>
        <v/>
      </c>
      <c r="AT15" s="51">
        <v>0</v>
      </c>
      <c r="AU15" s="51" t="str">
        <f ca="1">WeeklyPlanned(Output_0501[[#Headers],[WP_HBCeil]], Output_0501[[#This Row],[Date]])</f>
        <v/>
      </c>
      <c r="AV15" s="51">
        <v>0</v>
      </c>
    </row>
    <row r="16" spans="2:4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/>
      <c r="S16" s="37" t="s">
        <v>138</v>
      </c>
      <c r="T16" s="37" t="s">
        <v>94</v>
      </c>
      <c r="U16" s="38">
        <v>44133</v>
      </c>
      <c r="V16" s="38">
        <v>44146</v>
      </c>
      <c r="W16" s="65">
        <v>324</v>
      </c>
      <c r="X16" s="65">
        <v>1</v>
      </c>
      <c r="AA16" s="47">
        <f t="shared" si="0"/>
        <v>43999</v>
      </c>
      <c r="AB16" s="49">
        <f t="shared" ca="1" si="2"/>
        <v>0</v>
      </c>
      <c r="AC1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6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17</v>
      </c>
      <c r="AE16" s="51">
        <f ca="1">SUM($AC$14:AC16)</f>
        <v>0</v>
      </c>
      <c r="AF16" s="51">
        <f>IF(AD16="",NA(),SUM($AD$14:AD16))</f>
        <v>36</v>
      </c>
      <c r="AG16" s="51" t="str">
        <f ca="1">WeeklyPlanned(Output_0501[[#Headers],[WP_ABC]], Output_0501[[#This Row],[Date]])</f>
        <v/>
      </c>
      <c r="AH16" s="51">
        <v>17</v>
      </c>
      <c r="AI16" s="51" t="str">
        <f ca="1">WeeklyPlanned(Output_0501[[#Headers],[WP_ACS]], Output_0501[[#This Row],[Date]])</f>
        <v/>
      </c>
      <c r="AJ16" s="51">
        <v>0</v>
      </c>
      <c r="AK16" s="51" t="str">
        <f ca="1">WeeklyPlanned(Output_0501[[#Headers],[WP_AL1]], Output_0501[[#This Row],[Date]])</f>
        <v/>
      </c>
      <c r="AL16" s="51">
        <v>0</v>
      </c>
      <c r="AM16" s="51" t="str">
        <f ca="1">WeeklyPlanned(Output_0501[[#Headers],[WP_HBase]], Output_0501[[#This Row],[Date]])</f>
        <v/>
      </c>
      <c r="AN16" s="51">
        <v>0</v>
      </c>
      <c r="AO16" s="51" t="str">
        <f ca="1">WeeklyPlanned(Output_0501[[#Headers],[WP_HWST]], Output_0501[[#This Row],[Date]])</f>
        <v/>
      </c>
      <c r="AP16" s="51">
        <v>0</v>
      </c>
      <c r="AQ16" s="51" t="str">
        <f ca="1">WeeklyPlanned(Output_0501[[#Headers],[WP_HWSR]], Output_0501[[#This Row],[Date]])</f>
        <v/>
      </c>
      <c r="AR16" s="51">
        <v>0</v>
      </c>
      <c r="AS16" s="51" t="str">
        <f ca="1">WeeklyPlanned(Output_0501[[#Headers],[WP_HL2]], Output_0501[[#This Row],[Date]])</f>
        <v/>
      </c>
      <c r="AT16" s="51">
        <v>0</v>
      </c>
      <c r="AU16" s="51" t="str">
        <f ca="1">WeeklyPlanned(Output_0501[[#Headers],[WP_HBCeil]], Output_0501[[#This Row],[Date]])</f>
        <v/>
      </c>
      <c r="AV16" s="51">
        <v>0</v>
      </c>
    </row>
    <row r="17" spans="2:48" ht="15.5" x14ac:dyDescent="0.35">
      <c r="B17" s="30"/>
      <c r="C17" s="64"/>
      <c r="D17" s="64"/>
      <c r="E17" s="64"/>
      <c r="F17" s="64"/>
      <c r="G17" s="64"/>
      <c r="H17" s="64"/>
      <c r="I17" s="64"/>
      <c r="J17" s="64"/>
      <c r="K17" s="64"/>
      <c r="L17" s="64"/>
      <c r="M17" s="64"/>
      <c r="N17" s="64"/>
      <c r="O17" s="43"/>
      <c r="R17" s="36"/>
      <c r="S17" s="57" t="s">
        <v>139</v>
      </c>
      <c r="T17" s="57" t="s">
        <v>95</v>
      </c>
      <c r="U17" s="58">
        <v>44131</v>
      </c>
      <c r="V17" s="58">
        <v>44140</v>
      </c>
      <c r="W17" s="65">
        <v>132</v>
      </c>
      <c r="X17" s="65">
        <v>0</v>
      </c>
      <c r="AA17" s="47">
        <f t="shared" si="0"/>
        <v>44006</v>
      </c>
      <c r="AB17" s="49">
        <f t="shared" ca="1" si="2"/>
        <v>0</v>
      </c>
      <c r="AC1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7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39</v>
      </c>
      <c r="AE17" s="51">
        <f ca="1">SUM($AC$14:AC17)</f>
        <v>0</v>
      </c>
      <c r="AF17" s="51">
        <f>IF(AD17="",NA(),SUM($AD$14:AD17))</f>
        <v>75</v>
      </c>
      <c r="AG17" s="51" t="str">
        <f ca="1">WeeklyPlanned(Output_0501[[#Headers],[WP_ABC]], Output_0501[[#This Row],[Date]])</f>
        <v/>
      </c>
      <c r="AH17" s="51">
        <v>39</v>
      </c>
      <c r="AI17" s="51" t="str">
        <f ca="1">WeeklyPlanned(Output_0501[[#Headers],[WP_ACS]], Output_0501[[#This Row],[Date]])</f>
        <v/>
      </c>
      <c r="AJ17" s="51">
        <v>0</v>
      </c>
      <c r="AK17" s="51" t="str">
        <f ca="1">WeeklyPlanned(Output_0501[[#Headers],[WP_AL1]], Output_0501[[#This Row],[Date]])</f>
        <v/>
      </c>
      <c r="AL17" s="51">
        <v>0</v>
      </c>
      <c r="AM17" s="51" t="str">
        <f ca="1">WeeklyPlanned(Output_0501[[#Headers],[WP_HBase]], Output_0501[[#This Row],[Date]])</f>
        <v/>
      </c>
      <c r="AN17" s="51">
        <v>0</v>
      </c>
      <c r="AO17" s="51" t="str">
        <f ca="1">WeeklyPlanned(Output_0501[[#Headers],[WP_HWST]], Output_0501[[#This Row],[Date]])</f>
        <v/>
      </c>
      <c r="AP17" s="51">
        <v>0</v>
      </c>
      <c r="AQ17" s="51" t="str">
        <f ca="1">WeeklyPlanned(Output_0501[[#Headers],[WP_HWSR]], Output_0501[[#This Row],[Date]])</f>
        <v/>
      </c>
      <c r="AR17" s="51">
        <v>0</v>
      </c>
      <c r="AS17" s="51" t="str">
        <f ca="1">WeeklyPlanned(Output_0501[[#Headers],[WP_HL2]], Output_0501[[#This Row],[Date]])</f>
        <v/>
      </c>
      <c r="AT17" s="51">
        <v>0</v>
      </c>
      <c r="AU17" s="51" t="str">
        <f ca="1">WeeklyPlanned(Output_0501[[#Headers],[WP_HBCeil]], Output_0501[[#This Row],[Date]])</f>
        <v/>
      </c>
      <c r="AV17" s="51">
        <v>0</v>
      </c>
    </row>
    <row r="18" spans="2:48" ht="15.5" x14ac:dyDescent="0.35">
      <c r="B18" s="30"/>
      <c r="C18" s="64"/>
      <c r="D18" s="64"/>
      <c r="E18" s="64"/>
      <c r="F18" s="64"/>
      <c r="G18" s="64"/>
      <c r="H18" s="64"/>
      <c r="I18" s="64"/>
      <c r="J18" s="64"/>
      <c r="K18" s="64"/>
      <c r="L18" s="64"/>
      <c r="M18" s="64"/>
      <c r="N18" s="64"/>
      <c r="O18" s="43"/>
      <c r="R18" s="36"/>
      <c r="S18" s="57" t="s">
        <v>143</v>
      </c>
      <c r="T18" s="57" t="s">
        <v>96</v>
      </c>
      <c r="U18" s="58">
        <v>44113</v>
      </c>
      <c r="V18" s="58">
        <v>44181</v>
      </c>
      <c r="W18" s="65">
        <v>273</v>
      </c>
      <c r="X18" s="65">
        <v>0</v>
      </c>
      <c r="AA18" s="47">
        <f t="shared" si="0"/>
        <v>44013</v>
      </c>
      <c r="AB18" s="49">
        <f t="shared" ca="1" si="2"/>
        <v>0</v>
      </c>
      <c r="AC1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8" s="51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>69</v>
      </c>
      <c r="AE18" s="51">
        <f ca="1">SUM($AC$14:AC18)</f>
        <v>0</v>
      </c>
      <c r="AF18" s="51">
        <f>IF(AD18="",NA(),SUM($AD$14:AD18))</f>
        <v>144</v>
      </c>
      <c r="AG18" s="51" t="str">
        <f ca="1">WeeklyPlanned(Output_0501[[#Headers],[WP_ABC]], Output_0501[[#This Row],[Date]])</f>
        <v/>
      </c>
      <c r="AH18" s="51">
        <v>68</v>
      </c>
      <c r="AI18" s="51" t="str">
        <f ca="1">WeeklyPlanned(Output_0501[[#Headers],[WP_ACS]], Output_0501[[#This Row],[Date]])</f>
        <v/>
      </c>
      <c r="AJ18" s="51">
        <v>0</v>
      </c>
      <c r="AK18" s="51" t="str">
        <f ca="1">WeeklyPlanned(Output_0501[[#Headers],[WP_AL1]], Output_0501[[#This Row],[Date]])</f>
        <v/>
      </c>
      <c r="AL18" s="51">
        <v>1</v>
      </c>
      <c r="AM18" s="51" t="str">
        <f ca="1">WeeklyPlanned(Output_0501[[#Headers],[WP_HBase]], Output_0501[[#This Row],[Date]])</f>
        <v/>
      </c>
      <c r="AN18" s="51">
        <v>0</v>
      </c>
      <c r="AO18" s="51" t="str">
        <f ca="1">WeeklyPlanned(Output_0501[[#Headers],[WP_HWST]], Output_0501[[#This Row],[Date]])</f>
        <v/>
      </c>
      <c r="AP18" s="51">
        <v>0</v>
      </c>
      <c r="AQ18" s="51" t="str">
        <f ca="1">WeeklyPlanned(Output_0501[[#Headers],[WP_HWSR]], Output_0501[[#This Row],[Date]])</f>
        <v/>
      </c>
      <c r="AR18" s="51">
        <v>0</v>
      </c>
      <c r="AS18" s="51" t="str">
        <f ca="1">WeeklyPlanned(Output_0501[[#Headers],[WP_HL2]], Output_0501[[#This Row],[Date]])</f>
        <v/>
      </c>
      <c r="AT18" s="51">
        <v>0</v>
      </c>
      <c r="AU18" s="51" t="str">
        <f ca="1">WeeklyPlanned(Output_0501[[#Headers],[WP_HBCeil]], Output_0501[[#This Row],[Date]])</f>
        <v/>
      </c>
      <c r="AV18" s="51">
        <v>0</v>
      </c>
    </row>
    <row r="19" spans="2:48" ht="15.5" x14ac:dyDescent="0.35">
      <c r="B19" s="30"/>
      <c r="C19" s="64"/>
      <c r="D19" s="64"/>
      <c r="E19" s="64"/>
      <c r="F19" s="64"/>
      <c r="G19" s="64"/>
      <c r="H19" s="64"/>
      <c r="I19" s="64"/>
      <c r="J19" s="64"/>
      <c r="K19" s="64"/>
      <c r="L19" s="64"/>
      <c r="M19" s="64"/>
      <c r="N19" s="64"/>
      <c r="O19" s="43"/>
      <c r="R19" s="36"/>
      <c r="S19" s="57" t="s">
        <v>142</v>
      </c>
      <c r="T19" s="57" t="s">
        <v>97</v>
      </c>
      <c r="U19" s="58">
        <v>44182</v>
      </c>
      <c r="V19" s="58">
        <v>44195</v>
      </c>
      <c r="W19" s="65">
        <v>32</v>
      </c>
      <c r="X19" s="65">
        <v>0</v>
      </c>
      <c r="AA19" s="47">
        <f t="shared" si="0"/>
        <v>44020</v>
      </c>
      <c r="AB19" s="49">
        <f t="shared" ca="1" si="2"/>
        <v>0</v>
      </c>
      <c r="AC1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1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19" s="51">
        <f ca="1">SUM($AC$14:AC19)</f>
        <v>0</v>
      </c>
      <c r="AF19" s="51" t="e">
        <f>IF(AD19="",NA(),SUM($AD$14:AD19))</f>
        <v>#N/A</v>
      </c>
      <c r="AG19" s="51" t="str">
        <f ca="1">WeeklyPlanned(Output_0501[[#Headers],[WP_ABC]], Output_0501[[#This Row],[Date]])</f>
        <v/>
      </c>
      <c r="AH19" s="51"/>
      <c r="AI19" s="51" t="str">
        <f ca="1">WeeklyPlanned(Output_0501[[#Headers],[WP_ACS]], Output_0501[[#This Row],[Date]])</f>
        <v/>
      </c>
      <c r="AJ19" s="51"/>
      <c r="AK19" s="51" t="str">
        <f ca="1">WeeklyPlanned(Output_0501[[#Headers],[WP_AL1]], Output_0501[[#This Row],[Date]])</f>
        <v/>
      </c>
      <c r="AL19" s="51"/>
      <c r="AM19" s="51" t="str">
        <f ca="1">WeeklyPlanned(Output_0501[[#Headers],[WP_HBase]], Output_0501[[#This Row],[Date]])</f>
        <v/>
      </c>
      <c r="AN19" s="51"/>
      <c r="AO19" s="51" t="str">
        <f ca="1">WeeklyPlanned(Output_0501[[#Headers],[WP_HWST]], Output_0501[[#This Row],[Date]])</f>
        <v/>
      </c>
      <c r="AP19" s="51"/>
      <c r="AQ19" s="51" t="str">
        <f ca="1">WeeklyPlanned(Output_0501[[#Headers],[WP_HWSR]], Output_0501[[#This Row],[Date]])</f>
        <v/>
      </c>
      <c r="AR19" s="51"/>
      <c r="AS19" s="51" t="str">
        <f ca="1">WeeklyPlanned(Output_0501[[#Headers],[WP_HL2]], Output_0501[[#This Row],[Date]])</f>
        <v/>
      </c>
      <c r="AT19" s="51"/>
      <c r="AU19" s="51" t="str">
        <f ca="1">WeeklyPlanned(Output_0501[[#Headers],[WP_HBCeil]], Output_0501[[#This Row],[Date]])</f>
        <v/>
      </c>
      <c r="AV19" s="51"/>
    </row>
    <row r="20" spans="2:48" ht="15.5" x14ac:dyDescent="0.35">
      <c r="B20" s="30"/>
      <c r="C20" s="64"/>
      <c r="D20" s="64"/>
      <c r="E20" s="64"/>
      <c r="F20" s="64"/>
      <c r="G20" s="64"/>
      <c r="H20" s="64"/>
      <c r="I20" s="64"/>
      <c r="J20" s="64"/>
      <c r="K20" s="64"/>
      <c r="L20" s="64"/>
      <c r="M20" s="64"/>
      <c r="N20" s="64"/>
      <c r="O20" s="43"/>
      <c r="R20" s="36"/>
      <c r="S20" s="57" t="s">
        <v>141</v>
      </c>
      <c r="T20" s="57" t="s">
        <v>98</v>
      </c>
      <c r="U20" s="58">
        <v>44109</v>
      </c>
      <c r="V20" s="58">
        <v>44127</v>
      </c>
      <c r="W20" s="65">
        <v>250</v>
      </c>
      <c r="X20" s="65">
        <v>0</v>
      </c>
      <c r="AA20" s="47">
        <f t="shared" si="0"/>
        <v>44027</v>
      </c>
      <c r="AB20" s="49">
        <f t="shared" ca="1" si="2"/>
        <v>0</v>
      </c>
      <c r="AC2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0" s="51">
        <f ca="1">SUM($AC$14:AC20)</f>
        <v>0</v>
      </c>
      <c r="AF20" s="51" t="e">
        <f>IF(AD20="",NA(),SUM($AD$14:AD20))</f>
        <v>#N/A</v>
      </c>
      <c r="AG20" s="51" t="str">
        <f ca="1">WeeklyPlanned(Output_0501[[#Headers],[WP_ABC]], Output_0501[[#This Row],[Date]])</f>
        <v/>
      </c>
      <c r="AH20" s="51"/>
      <c r="AI20" s="51" t="str">
        <f ca="1">WeeklyPlanned(Output_0501[[#Headers],[WP_ACS]], Output_0501[[#This Row],[Date]])</f>
        <v/>
      </c>
      <c r="AJ20" s="51"/>
      <c r="AK20" s="51" t="str">
        <f ca="1">WeeklyPlanned(Output_0501[[#Headers],[WP_AL1]], Output_0501[[#This Row],[Date]])</f>
        <v/>
      </c>
      <c r="AL20" s="51"/>
      <c r="AM20" s="51" t="str">
        <f ca="1">WeeklyPlanned(Output_0501[[#Headers],[WP_HBase]], Output_0501[[#This Row],[Date]])</f>
        <v/>
      </c>
      <c r="AN20" s="51"/>
      <c r="AO20" s="51" t="str">
        <f ca="1">WeeklyPlanned(Output_0501[[#Headers],[WP_HWST]], Output_0501[[#This Row],[Date]])</f>
        <v/>
      </c>
      <c r="AP20" s="51"/>
      <c r="AQ20" s="51" t="str">
        <f ca="1">WeeklyPlanned(Output_0501[[#Headers],[WP_HWSR]], Output_0501[[#This Row],[Date]])</f>
        <v/>
      </c>
      <c r="AR20" s="51"/>
      <c r="AS20" s="51" t="str">
        <f ca="1">WeeklyPlanned(Output_0501[[#Headers],[WP_HL2]], Output_0501[[#This Row],[Date]])</f>
        <v/>
      </c>
      <c r="AT20" s="51"/>
      <c r="AU20" s="51" t="str">
        <f ca="1">WeeklyPlanned(Output_0501[[#Headers],[WP_HBCeil]], Output_0501[[#This Row],[Date]])</f>
        <v/>
      </c>
      <c r="AV20" s="51"/>
    </row>
    <row r="21" spans="2:48" ht="15.5" x14ac:dyDescent="0.35">
      <c r="B21" s="30"/>
      <c r="C21" s="64"/>
      <c r="D21" s="64"/>
      <c r="E21" s="64"/>
      <c r="F21" s="64"/>
      <c r="G21" s="64"/>
      <c r="H21" s="64"/>
      <c r="I21" s="64"/>
      <c r="J21" s="64"/>
      <c r="K21" s="64"/>
      <c r="L21" s="64"/>
      <c r="M21" s="64"/>
      <c r="N21" s="64"/>
      <c r="O21" s="43"/>
      <c r="R21" s="36"/>
      <c r="S21" s="57" t="s">
        <v>140</v>
      </c>
      <c r="T21" s="57" t="s">
        <v>99</v>
      </c>
      <c r="U21" s="58">
        <v>44089</v>
      </c>
      <c r="V21" s="58">
        <v>44104</v>
      </c>
      <c r="W21" s="65">
        <v>29</v>
      </c>
      <c r="X21" s="65">
        <v>0</v>
      </c>
      <c r="AA21" s="47">
        <f t="shared" si="0"/>
        <v>44034</v>
      </c>
      <c r="AB21" s="49">
        <f t="shared" ca="1" si="2"/>
        <v>0</v>
      </c>
      <c r="AC2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1" s="51">
        <f ca="1">SUM($AC$14:AC21)</f>
        <v>0</v>
      </c>
      <c r="AF21" s="51" t="e">
        <f>IF(AD21="",NA(),SUM($AD$14:AD21))</f>
        <v>#N/A</v>
      </c>
      <c r="AG21" s="51" t="str">
        <f ca="1">WeeklyPlanned(Output_0501[[#Headers],[WP_ABC]], Output_0501[[#This Row],[Date]])</f>
        <v/>
      </c>
      <c r="AH21" s="51"/>
      <c r="AI21" s="51" t="str">
        <f ca="1">WeeklyPlanned(Output_0501[[#Headers],[WP_ACS]], Output_0501[[#This Row],[Date]])</f>
        <v/>
      </c>
      <c r="AJ21" s="51"/>
      <c r="AK21" s="51" t="str">
        <f ca="1">WeeklyPlanned(Output_0501[[#Headers],[WP_AL1]], Output_0501[[#This Row],[Date]])</f>
        <v/>
      </c>
      <c r="AL21" s="51"/>
      <c r="AM21" s="51" t="str">
        <f ca="1">WeeklyPlanned(Output_0501[[#Headers],[WP_HBase]], Output_0501[[#This Row],[Date]])</f>
        <v/>
      </c>
      <c r="AN21" s="51"/>
      <c r="AO21" s="51" t="str">
        <f ca="1">WeeklyPlanned(Output_0501[[#Headers],[WP_HWST]], Output_0501[[#This Row],[Date]])</f>
        <v/>
      </c>
      <c r="AP21" s="51"/>
      <c r="AQ21" s="51" t="str">
        <f ca="1">WeeklyPlanned(Output_0501[[#Headers],[WP_HWSR]], Output_0501[[#This Row],[Date]])</f>
        <v/>
      </c>
      <c r="AR21" s="51"/>
      <c r="AS21" s="51" t="str">
        <f ca="1">WeeklyPlanned(Output_0501[[#Headers],[WP_HL2]], Output_0501[[#This Row],[Date]])</f>
        <v/>
      </c>
      <c r="AT21" s="51"/>
      <c r="AU21" s="51" t="str">
        <f ca="1">WeeklyPlanned(Output_0501[[#Headers],[WP_HBCeil]], Output_0501[[#This Row],[Date]])</f>
        <v/>
      </c>
      <c r="AV21" s="51"/>
    </row>
    <row r="22" spans="2:48" ht="15.5" x14ac:dyDescent="0.35">
      <c r="B22" s="30"/>
      <c r="C22" s="64"/>
      <c r="D22" s="64"/>
      <c r="E22" s="64"/>
      <c r="F22" s="64"/>
      <c r="G22" s="64"/>
      <c r="H22" s="64"/>
      <c r="I22" s="64"/>
      <c r="J22" s="64"/>
      <c r="K22" s="64"/>
      <c r="L22" s="64"/>
      <c r="M22" s="64"/>
      <c r="N22" s="64"/>
      <c r="O22" s="43"/>
      <c r="AA22" s="47">
        <f t="shared" si="0"/>
        <v>44041</v>
      </c>
      <c r="AB22" s="49" t="str">
        <f t="shared" ca="1" si="2"/>
        <v>ABC</v>
      </c>
      <c r="AC2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20.2</v>
      </c>
      <c r="AD2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2" s="51">
        <f ca="1">SUM($AC$14:AC22)</f>
        <v>20.2</v>
      </c>
      <c r="AF22" s="51" t="e">
        <f>IF(AD22="",NA(),SUM($AD$14:AD22))</f>
        <v>#N/A</v>
      </c>
      <c r="AG22" s="51">
        <f ca="1">WeeklyPlanned(Output_0501[[#Headers],[WP_ABC]], Output_0501[[#This Row],[Date]])</f>
        <v>20.2</v>
      </c>
      <c r="AH22" s="51"/>
      <c r="AI22" s="51" t="str">
        <f ca="1">WeeklyPlanned(Output_0501[[#Headers],[WP_ACS]], Output_0501[[#This Row],[Date]])</f>
        <v/>
      </c>
      <c r="AJ22" s="51"/>
      <c r="AK22" s="51" t="str">
        <f ca="1">WeeklyPlanned(Output_0501[[#Headers],[WP_AL1]], Output_0501[[#This Row],[Date]])</f>
        <v/>
      </c>
      <c r="AL22" s="51"/>
      <c r="AM22" s="51" t="str">
        <f ca="1">WeeklyPlanned(Output_0501[[#Headers],[WP_HBase]], Output_0501[[#This Row],[Date]])</f>
        <v/>
      </c>
      <c r="AN22" s="51"/>
      <c r="AO22" s="51" t="str">
        <f ca="1">WeeklyPlanned(Output_0501[[#Headers],[WP_HWST]], Output_0501[[#This Row],[Date]])</f>
        <v/>
      </c>
      <c r="AP22" s="51"/>
      <c r="AQ22" s="51" t="str">
        <f ca="1">WeeklyPlanned(Output_0501[[#Headers],[WP_HWSR]], Output_0501[[#This Row],[Date]])</f>
        <v/>
      </c>
      <c r="AR22" s="51"/>
      <c r="AS22" s="51" t="str">
        <f ca="1">WeeklyPlanned(Output_0501[[#Headers],[WP_HL2]], Output_0501[[#This Row],[Date]])</f>
        <v/>
      </c>
      <c r="AT22" s="51"/>
      <c r="AU22" s="51" t="str">
        <f ca="1">WeeklyPlanned(Output_0501[[#Headers],[WP_HBCeil]], Output_0501[[#This Row],[Date]])</f>
        <v/>
      </c>
      <c r="AV22" s="51"/>
    </row>
    <row r="23" spans="2:48" ht="15.5" x14ac:dyDescent="0.35">
      <c r="B23" s="30"/>
      <c r="C23" s="64"/>
      <c r="D23" s="64"/>
      <c r="E23" s="64"/>
      <c r="F23" s="64"/>
      <c r="G23" s="64"/>
      <c r="H23" s="64"/>
      <c r="I23" s="64"/>
      <c r="J23" s="64"/>
      <c r="K23" s="64"/>
      <c r="L23" s="64"/>
      <c r="M23" s="64"/>
      <c r="N23" s="64"/>
      <c r="O23" s="43"/>
      <c r="AA23" s="47">
        <f t="shared" ref="AA23:AA45" si="3">IF(AA22 = "Date", $S$4, AA22+7)</f>
        <v>44048</v>
      </c>
      <c r="AB23" s="49" t="str">
        <f t="shared" ca="1" si="2"/>
        <v>ABC</v>
      </c>
      <c r="AC2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101</v>
      </c>
      <c r="AD2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3" s="51">
        <f ca="1">SUM($AC$14:AC23)</f>
        <v>121.2</v>
      </c>
      <c r="AF23" s="51" t="e">
        <f>IF(AD23="",NA(),SUM($AD$14:AD23))</f>
        <v>#N/A</v>
      </c>
      <c r="AG23" s="51">
        <f ca="1">WeeklyPlanned(Output_0501[[#Headers],[WP_ABC]], Output_0501[[#This Row],[Date]])</f>
        <v>101</v>
      </c>
      <c r="AH23" s="51"/>
      <c r="AI23" s="51" t="str">
        <f ca="1">WeeklyPlanned(Output_0501[[#Headers],[WP_ACS]], Output_0501[[#This Row],[Date]])</f>
        <v/>
      </c>
      <c r="AJ23" s="51"/>
      <c r="AK23" s="51" t="str">
        <f ca="1">WeeklyPlanned(Output_0501[[#Headers],[WP_AL1]], Output_0501[[#This Row],[Date]])</f>
        <v/>
      </c>
      <c r="AL23" s="51"/>
      <c r="AM23" s="51" t="str">
        <f ca="1">WeeklyPlanned(Output_0501[[#Headers],[WP_HBase]], Output_0501[[#This Row],[Date]])</f>
        <v/>
      </c>
      <c r="AN23" s="51"/>
      <c r="AO23" s="51" t="str">
        <f ca="1">WeeklyPlanned(Output_0501[[#Headers],[WP_HWST]], Output_0501[[#This Row],[Date]])</f>
        <v/>
      </c>
      <c r="AP23" s="51"/>
      <c r="AQ23" s="51" t="str">
        <f ca="1">WeeklyPlanned(Output_0501[[#Headers],[WP_HWSR]], Output_0501[[#This Row],[Date]])</f>
        <v/>
      </c>
      <c r="AR23" s="51"/>
      <c r="AS23" s="51" t="str">
        <f ca="1">WeeklyPlanned(Output_0501[[#Headers],[WP_HL2]], Output_0501[[#This Row],[Date]])</f>
        <v/>
      </c>
      <c r="AT23" s="51"/>
      <c r="AU23" s="51" t="str">
        <f ca="1">WeeklyPlanned(Output_0501[[#Headers],[WP_HBCeil]], Output_0501[[#This Row],[Date]])</f>
        <v/>
      </c>
      <c r="AV23" s="51"/>
    </row>
    <row r="24" spans="2:48" ht="15.5" x14ac:dyDescent="0.35">
      <c r="B24" s="30"/>
      <c r="C24" s="64" t="s">
        <v>47</v>
      </c>
      <c r="D24" s="64"/>
      <c r="E24" s="64"/>
      <c r="F24" s="64"/>
      <c r="G24" s="64"/>
      <c r="H24" s="64"/>
      <c r="I24" s="64"/>
      <c r="J24" s="64"/>
      <c r="K24" s="64"/>
      <c r="L24" s="64"/>
      <c r="M24" s="64"/>
      <c r="N24" s="64"/>
      <c r="O24" s="43"/>
      <c r="AA24" s="47">
        <f t="shared" si="3"/>
        <v>44055</v>
      </c>
      <c r="AB24" s="49" t="str">
        <f t="shared" ca="1" si="2"/>
        <v>ABC</v>
      </c>
      <c r="AC2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80.8</v>
      </c>
      <c r="AD2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4" s="51">
        <f ca="1">SUM($AC$14:AC24)</f>
        <v>202</v>
      </c>
      <c r="AF24" s="51" t="e">
        <f>IF(AD24="",NA(),SUM($AD$14:AD24))</f>
        <v>#N/A</v>
      </c>
      <c r="AG24" s="51">
        <f ca="1">WeeklyPlanned(Output_0501[[#Headers],[WP_ABC]], Output_0501[[#This Row],[Date]])</f>
        <v>80.8</v>
      </c>
      <c r="AH24" s="51"/>
      <c r="AI24" s="51" t="str">
        <f ca="1">WeeklyPlanned(Output_0501[[#Headers],[WP_ACS]], Output_0501[[#This Row],[Date]])</f>
        <v/>
      </c>
      <c r="AJ24" s="51"/>
      <c r="AK24" s="51" t="str">
        <f ca="1">WeeklyPlanned(Output_0501[[#Headers],[WP_AL1]], Output_0501[[#This Row],[Date]])</f>
        <v/>
      </c>
      <c r="AL24" s="51"/>
      <c r="AM24" s="51" t="str">
        <f ca="1">WeeklyPlanned(Output_0501[[#Headers],[WP_HBase]], Output_0501[[#This Row],[Date]])</f>
        <v/>
      </c>
      <c r="AN24" s="51"/>
      <c r="AO24" s="51" t="str">
        <f ca="1">WeeklyPlanned(Output_0501[[#Headers],[WP_HWST]], Output_0501[[#This Row],[Date]])</f>
        <v/>
      </c>
      <c r="AP24" s="51"/>
      <c r="AQ24" s="51" t="str">
        <f ca="1">WeeklyPlanned(Output_0501[[#Headers],[WP_HWSR]], Output_0501[[#This Row],[Date]])</f>
        <v/>
      </c>
      <c r="AR24" s="51"/>
      <c r="AS24" s="51" t="str">
        <f ca="1">WeeklyPlanned(Output_0501[[#Headers],[WP_HL2]], Output_0501[[#This Row],[Date]])</f>
        <v/>
      </c>
      <c r="AT24" s="51"/>
      <c r="AU24" s="51" t="str">
        <f ca="1">WeeklyPlanned(Output_0501[[#Headers],[WP_HBCeil]], Output_0501[[#This Row],[Date]])</f>
        <v/>
      </c>
      <c r="AV24" s="51"/>
    </row>
    <row r="25" spans="2:48" ht="15.5" x14ac:dyDescent="0.35">
      <c r="B25" s="30"/>
      <c r="C25" s="64"/>
      <c r="D25" s="64"/>
      <c r="E25" s="64"/>
      <c r="F25" s="64"/>
      <c r="G25" s="64"/>
      <c r="H25" s="64"/>
      <c r="I25" s="64"/>
      <c r="J25" s="64"/>
      <c r="K25" s="64"/>
      <c r="L25" s="64"/>
      <c r="M25" s="64"/>
      <c r="N25" s="64"/>
      <c r="O25" s="43"/>
      <c r="AA25" s="47">
        <f t="shared" si="3"/>
        <v>44062</v>
      </c>
      <c r="AB25" s="49">
        <f t="shared" ca="1" si="2"/>
        <v>0</v>
      </c>
      <c r="AC2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5" s="51">
        <f ca="1">SUM($AC$14:AC25)</f>
        <v>202</v>
      </c>
      <c r="AF25" s="51" t="e">
        <f>IF(AD25="",NA(),SUM($AD$14:AD25))</f>
        <v>#N/A</v>
      </c>
      <c r="AG25" s="51" t="str">
        <f ca="1">WeeklyPlanned(Output_0501[[#Headers],[WP_ABC]], Output_0501[[#This Row],[Date]])</f>
        <v/>
      </c>
      <c r="AH25" s="51"/>
      <c r="AI25" s="51" t="str">
        <f ca="1">WeeklyPlanned(Output_0501[[#Headers],[WP_ACS]], Output_0501[[#This Row],[Date]])</f>
        <v/>
      </c>
      <c r="AJ25" s="51"/>
      <c r="AK25" s="51" t="str">
        <f ca="1">WeeklyPlanned(Output_0501[[#Headers],[WP_AL1]], Output_0501[[#This Row],[Date]])</f>
        <v/>
      </c>
      <c r="AL25" s="51"/>
      <c r="AM25" s="51" t="str">
        <f ca="1">WeeklyPlanned(Output_0501[[#Headers],[WP_HBase]], Output_0501[[#This Row],[Date]])</f>
        <v/>
      </c>
      <c r="AN25" s="51"/>
      <c r="AO25" s="51" t="str">
        <f ca="1">WeeklyPlanned(Output_0501[[#Headers],[WP_HWST]], Output_0501[[#This Row],[Date]])</f>
        <v/>
      </c>
      <c r="AP25" s="51"/>
      <c r="AQ25" s="51" t="str">
        <f ca="1">WeeklyPlanned(Output_0501[[#Headers],[WP_HWSR]], Output_0501[[#This Row],[Date]])</f>
        <v/>
      </c>
      <c r="AR25" s="51"/>
      <c r="AS25" s="51" t="str">
        <f ca="1">WeeklyPlanned(Output_0501[[#Headers],[WP_HL2]], Output_0501[[#This Row],[Date]])</f>
        <v/>
      </c>
      <c r="AT25" s="51"/>
      <c r="AU25" s="51" t="str">
        <f ca="1">WeeklyPlanned(Output_0501[[#Headers],[WP_HBCeil]], Output_0501[[#This Row],[Date]])</f>
        <v/>
      </c>
      <c r="AV25" s="51"/>
    </row>
    <row r="26" spans="2:48" ht="15.5" x14ac:dyDescent="0.35">
      <c r="B26" s="30"/>
      <c r="C26" s="64"/>
      <c r="D26" s="64"/>
      <c r="E26" s="64"/>
      <c r="F26" s="64"/>
      <c r="G26" s="64"/>
      <c r="H26" s="64"/>
      <c r="I26" s="64"/>
      <c r="J26" s="64"/>
      <c r="K26" s="64"/>
      <c r="L26" s="64"/>
      <c r="M26" s="64"/>
      <c r="N26" s="64"/>
      <c r="O26" s="43"/>
      <c r="S26" s="37"/>
      <c r="AA26" s="47">
        <f t="shared" si="3"/>
        <v>44069</v>
      </c>
      <c r="AB26" s="49">
        <f t="shared" ca="1" si="2"/>
        <v>0</v>
      </c>
      <c r="AC2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6" s="51">
        <f ca="1">SUM($AC$14:AC26)</f>
        <v>202</v>
      </c>
      <c r="AF26" s="51" t="e">
        <f>IF(AD26="",NA(),SUM($AD$14:AD26))</f>
        <v>#N/A</v>
      </c>
      <c r="AG26" s="51" t="str">
        <f ca="1">WeeklyPlanned(Output_0501[[#Headers],[WP_ABC]], Output_0501[[#This Row],[Date]])</f>
        <v/>
      </c>
      <c r="AH26" s="51"/>
      <c r="AI26" s="51" t="str">
        <f ca="1">WeeklyPlanned(Output_0501[[#Headers],[WP_ACS]], Output_0501[[#This Row],[Date]])</f>
        <v/>
      </c>
      <c r="AJ26" s="51"/>
      <c r="AK26" s="51" t="str">
        <f ca="1">WeeklyPlanned(Output_0501[[#Headers],[WP_AL1]], Output_0501[[#This Row],[Date]])</f>
        <v/>
      </c>
      <c r="AL26" s="51"/>
      <c r="AM26" s="51" t="str">
        <f ca="1">WeeklyPlanned(Output_0501[[#Headers],[WP_HBase]], Output_0501[[#This Row],[Date]])</f>
        <v/>
      </c>
      <c r="AN26" s="51"/>
      <c r="AO26" s="51" t="str">
        <f ca="1">WeeklyPlanned(Output_0501[[#Headers],[WP_HWST]], Output_0501[[#This Row],[Date]])</f>
        <v/>
      </c>
      <c r="AP26" s="51"/>
      <c r="AQ26" s="51" t="str">
        <f ca="1">WeeklyPlanned(Output_0501[[#Headers],[WP_HWSR]], Output_0501[[#This Row],[Date]])</f>
        <v/>
      </c>
      <c r="AR26" s="51"/>
      <c r="AS26" s="51" t="str">
        <f ca="1">WeeklyPlanned(Output_0501[[#Headers],[WP_HL2]], Output_0501[[#This Row],[Date]])</f>
        <v/>
      </c>
      <c r="AT26" s="51"/>
      <c r="AU26" s="51" t="str">
        <f ca="1">WeeklyPlanned(Output_0501[[#Headers],[WP_HBCeil]], Output_0501[[#This Row],[Date]])</f>
        <v/>
      </c>
      <c r="AV26" s="51"/>
    </row>
    <row r="27" spans="2:48" ht="15.5" x14ac:dyDescent="0.35">
      <c r="B27" s="30"/>
      <c r="C27" s="64"/>
      <c r="D27" s="64"/>
      <c r="E27" s="64"/>
      <c r="F27" s="64"/>
      <c r="G27" s="64"/>
      <c r="H27" s="64"/>
      <c r="I27" s="64"/>
      <c r="J27" s="64"/>
      <c r="K27" s="64"/>
      <c r="L27" s="64"/>
      <c r="M27" s="64"/>
      <c r="N27" s="64"/>
      <c r="O27" s="43"/>
      <c r="AA27" s="47">
        <f t="shared" si="3"/>
        <v>44076</v>
      </c>
      <c r="AB27" s="49">
        <f t="shared" ca="1" si="2"/>
        <v>0</v>
      </c>
      <c r="AC2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7" s="51">
        <f ca="1">SUM($AC$14:AC27)</f>
        <v>202</v>
      </c>
      <c r="AF27" s="51" t="e">
        <f>IF(AD27="",NA(),SUM($AD$14:AD27))</f>
        <v>#N/A</v>
      </c>
      <c r="AG27" s="51" t="str">
        <f ca="1">WeeklyPlanned(Output_0501[[#Headers],[WP_ABC]], Output_0501[[#This Row],[Date]])</f>
        <v/>
      </c>
      <c r="AH27" s="51"/>
      <c r="AI27" s="51" t="str">
        <f ca="1">WeeklyPlanned(Output_0501[[#Headers],[WP_ACS]], Output_0501[[#This Row],[Date]])</f>
        <v/>
      </c>
      <c r="AJ27" s="51"/>
      <c r="AK27" s="51" t="str">
        <f ca="1">WeeklyPlanned(Output_0501[[#Headers],[WP_AL1]], Output_0501[[#This Row],[Date]])</f>
        <v/>
      </c>
      <c r="AL27" s="51"/>
      <c r="AM27" s="51" t="str">
        <f ca="1">WeeklyPlanned(Output_0501[[#Headers],[WP_HBase]], Output_0501[[#This Row],[Date]])</f>
        <v/>
      </c>
      <c r="AN27" s="51"/>
      <c r="AO27" s="51" t="str">
        <f ca="1">WeeklyPlanned(Output_0501[[#Headers],[WP_HWST]], Output_0501[[#This Row],[Date]])</f>
        <v/>
      </c>
      <c r="AP27" s="51"/>
      <c r="AQ27" s="51" t="str">
        <f ca="1">WeeklyPlanned(Output_0501[[#Headers],[WP_HWSR]], Output_0501[[#This Row],[Date]])</f>
        <v/>
      </c>
      <c r="AR27" s="51"/>
      <c r="AS27" s="51" t="str">
        <f ca="1">WeeklyPlanned(Output_0501[[#Headers],[WP_HL2]], Output_0501[[#This Row],[Date]])</f>
        <v/>
      </c>
      <c r="AT27" s="51"/>
      <c r="AU27" s="51" t="str">
        <f ca="1">WeeklyPlanned(Output_0501[[#Headers],[WP_HBCeil]], Output_0501[[#This Row],[Date]])</f>
        <v/>
      </c>
      <c r="AV27" s="51"/>
    </row>
    <row r="28" spans="2:48" ht="15.5" x14ac:dyDescent="0.35">
      <c r="B28" s="30"/>
      <c r="C28" s="64"/>
      <c r="D28" s="64"/>
      <c r="E28" s="64"/>
      <c r="F28" s="64"/>
      <c r="G28" s="64"/>
      <c r="H28" s="64"/>
      <c r="I28" s="64"/>
      <c r="J28" s="64"/>
      <c r="K28" s="64"/>
      <c r="L28" s="64"/>
      <c r="M28" s="64"/>
      <c r="N28" s="64"/>
      <c r="O28" s="43"/>
      <c r="AA28" s="47">
        <f t="shared" si="3"/>
        <v>44083</v>
      </c>
      <c r="AB28" s="49">
        <f t="shared" ca="1" si="2"/>
        <v>0</v>
      </c>
      <c r="AC2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0</v>
      </c>
      <c r="AD2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8" s="51">
        <f ca="1">SUM($AC$14:AC28)</f>
        <v>202</v>
      </c>
      <c r="AF28" s="51" t="e">
        <f>IF(AD28="",NA(),SUM($AD$14:AD28))</f>
        <v>#N/A</v>
      </c>
      <c r="AG28" s="51" t="str">
        <f ca="1">WeeklyPlanned(Output_0501[[#Headers],[WP_ABC]], Output_0501[[#This Row],[Date]])</f>
        <v/>
      </c>
      <c r="AH28" s="51"/>
      <c r="AI28" s="51" t="str">
        <f ca="1">WeeklyPlanned(Output_0501[[#Headers],[WP_ACS]], Output_0501[[#This Row],[Date]])</f>
        <v/>
      </c>
      <c r="AJ28" s="51"/>
      <c r="AK28" s="51" t="str">
        <f ca="1">WeeklyPlanned(Output_0501[[#Headers],[WP_AL1]], Output_0501[[#This Row],[Date]])</f>
        <v/>
      </c>
      <c r="AL28" s="51"/>
      <c r="AM28" s="51" t="str">
        <f ca="1">WeeklyPlanned(Output_0501[[#Headers],[WP_HBase]], Output_0501[[#This Row],[Date]])</f>
        <v/>
      </c>
      <c r="AN28" s="51"/>
      <c r="AO28" s="51" t="str">
        <f ca="1">WeeklyPlanned(Output_0501[[#Headers],[WP_HWST]], Output_0501[[#This Row],[Date]])</f>
        <v/>
      </c>
      <c r="AP28" s="51"/>
      <c r="AQ28" s="51" t="str">
        <f ca="1">WeeklyPlanned(Output_0501[[#Headers],[WP_HWSR]], Output_0501[[#This Row],[Date]])</f>
        <v/>
      </c>
      <c r="AR28" s="51"/>
      <c r="AS28" s="51" t="str">
        <f ca="1">WeeklyPlanned(Output_0501[[#Headers],[WP_HL2]], Output_0501[[#This Row],[Date]])</f>
        <v/>
      </c>
      <c r="AT28" s="51"/>
      <c r="AU28" s="51" t="str">
        <f ca="1">WeeklyPlanned(Output_0501[[#Headers],[WP_HBCeil]], Output_0501[[#This Row],[Date]])</f>
        <v/>
      </c>
      <c r="AV28" s="51"/>
    </row>
    <row r="29" spans="2:48" ht="15.5" x14ac:dyDescent="0.35">
      <c r="B29" s="30"/>
      <c r="C29" s="64"/>
      <c r="D29" s="64"/>
      <c r="E29" s="64"/>
      <c r="F29" s="64"/>
      <c r="G29" s="64"/>
      <c r="H29" s="64"/>
      <c r="I29" s="64"/>
      <c r="J29" s="64"/>
      <c r="K29" s="64"/>
      <c r="L29" s="64"/>
      <c r="M29" s="64"/>
      <c r="N29" s="64"/>
      <c r="O29" s="43"/>
      <c r="AA29" s="47">
        <f t="shared" si="3"/>
        <v>44090</v>
      </c>
      <c r="AB29" s="49" t="str">
        <f t="shared" ca="1" si="2"/>
        <v>HBCeil</v>
      </c>
      <c r="AC2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2.4166666666666665</v>
      </c>
      <c r="AD2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29" s="51">
        <f ca="1">SUM($AC$14:AC29)</f>
        <v>204.41666666666666</v>
      </c>
      <c r="AF29" s="51" t="e">
        <f>IF(AD29="",NA(),SUM($AD$14:AD29))</f>
        <v>#N/A</v>
      </c>
      <c r="AG29" s="51" t="str">
        <f ca="1">WeeklyPlanned(Output_0501[[#Headers],[WP_ABC]], Output_0501[[#This Row],[Date]])</f>
        <v/>
      </c>
      <c r="AH29" s="51"/>
      <c r="AI29" s="51" t="str">
        <f ca="1">WeeklyPlanned(Output_0501[[#Headers],[WP_ACS]], Output_0501[[#This Row],[Date]])</f>
        <v/>
      </c>
      <c r="AJ29" s="51"/>
      <c r="AK29" s="51" t="str">
        <f ca="1">WeeklyPlanned(Output_0501[[#Headers],[WP_AL1]], Output_0501[[#This Row],[Date]])</f>
        <v/>
      </c>
      <c r="AL29" s="51"/>
      <c r="AM29" s="51" t="str">
        <f ca="1">WeeklyPlanned(Output_0501[[#Headers],[WP_HBase]], Output_0501[[#This Row],[Date]])</f>
        <v/>
      </c>
      <c r="AN29" s="51"/>
      <c r="AO29" s="51" t="str">
        <f ca="1">WeeklyPlanned(Output_0501[[#Headers],[WP_HWST]], Output_0501[[#This Row],[Date]])</f>
        <v/>
      </c>
      <c r="AP29" s="51"/>
      <c r="AQ29" s="51" t="str">
        <f ca="1">WeeklyPlanned(Output_0501[[#Headers],[WP_HWSR]], Output_0501[[#This Row],[Date]])</f>
        <v/>
      </c>
      <c r="AR29" s="51"/>
      <c r="AS29" s="51" t="str">
        <f ca="1">WeeklyPlanned(Output_0501[[#Headers],[WP_HL2]], Output_0501[[#This Row],[Date]])</f>
        <v/>
      </c>
      <c r="AT29" s="51"/>
      <c r="AU29" s="51">
        <f ca="1">WeeklyPlanned(Output_0501[[#Headers],[WP_HBCeil]], Output_0501[[#This Row],[Date]])</f>
        <v>2.4166666666666665</v>
      </c>
      <c r="AV29" s="51"/>
    </row>
    <row r="30" spans="2:48" ht="15.5" x14ac:dyDescent="0.35">
      <c r="B30" s="30"/>
      <c r="C30" s="64"/>
      <c r="D30" s="64"/>
      <c r="E30" s="64"/>
      <c r="F30" s="64"/>
      <c r="G30" s="64"/>
      <c r="H30" s="64"/>
      <c r="I30" s="64"/>
      <c r="J30" s="64"/>
      <c r="K30" s="64"/>
      <c r="L30" s="64"/>
      <c r="M30" s="64"/>
      <c r="N30" s="64"/>
      <c r="O30" s="43"/>
      <c r="AA30" s="47">
        <f t="shared" si="3"/>
        <v>44097</v>
      </c>
      <c r="AB30" s="49" t="str">
        <f t="shared" ca="1" si="2"/>
        <v>HBCeil</v>
      </c>
      <c r="AC3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0" s="51">
        <f ca="1">SUM($AC$14:AC30)</f>
        <v>216.5</v>
      </c>
      <c r="AF30" s="51" t="e">
        <f>IF(AD30="",NA(),SUM($AD$14:AD30))</f>
        <v>#N/A</v>
      </c>
      <c r="AG30" s="51" t="str">
        <f ca="1">WeeklyPlanned(Output_0501[[#Headers],[WP_ABC]], Output_0501[[#This Row],[Date]])</f>
        <v/>
      </c>
      <c r="AH30" s="51"/>
      <c r="AI30" s="51" t="str">
        <f ca="1">WeeklyPlanned(Output_0501[[#Headers],[WP_ACS]], Output_0501[[#This Row],[Date]])</f>
        <v/>
      </c>
      <c r="AJ30" s="51"/>
      <c r="AK30" s="51" t="str">
        <f ca="1">WeeklyPlanned(Output_0501[[#Headers],[WP_AL1]], Output_0501[[#This Row],[Date]])</f>
        <v/>
      </c>
      <c r="AL30" s="51"/>
      <c r="AM30" s="51" t="str">
        <f ca="1">WeeklyPlanned(Output_0501[[#Headers],[WP_HBase]], Output_0501[[#This Row],[Date]])</f>
        <v/>
      </c>
      <c r="AN30" s="51"/>
      <c r="AO30" s="51" t="str">
        <f ca="1">WeeklyPlanned(Output_0501[[#Headers],[WP_HWST]], Output_0501[[#This Row],[Date]])</f>
        <v/>
      </c>
      <c r="AP30" s="51"/>
      <c r="AQ30" s="51" t="str">
        <f ca="1">WeeklyPlanned(Output_0501[[#Headers],[WP_HWSR]], Output_0501[[#This Row],[Date]])</f>
        <v/>
      </c>
      <c r="AR30" s="51"/>
      <c r="AS30" s="51" t="str">
        <f ca="1">WeeklyPlanned(Output_0501[[#Headers],[WP_HL2]], Output_0501[[#This Row],[Date]])</f>
        <v/>
      </c>
      <c r="AT30" s="51"/>
      <c r="AU30" s="51">
        <f ca="1">WeeklyPlanned(Output_0501[[#Headers],[WP_HBCeil]], Output_0501[[#This Row],[Date]])</f>
        <v>12.083333333333332</v>
      </c>
      <c r="AV30" s="51"/>
    </row>
    <row r="31" spans="2:48" ht="15.5" x14ac:dyDescent="0.35">
      <c r="B31" s="30"/>
      <c r="C31" s="64"/>
      <c r="D31" s="64"/>
      <c r="E31" s="64"/>
      <c r="F31" s="64"/>
      <c r="G31" s="64"/>
      <c r="H31" s="64"/>
      <c r="I31" s="64"/>
      <c r="J31" s="64"/>
      <c r="K31" s="64"/>
      <c r="L31" s="64"/>
      <c r="M31" s="64"/>
      <c r="N31" s="64"/>
      <c r="O31" s="43"/>
      <c r="AA31" s="47">
        <f t="shared" si="3"/>
        <v>44104</v>
      </c>
      <c r="AB31" s="49" t="str">
        <f t="shared" ca="1" si="2"/>
        <v>HBCeil</v>
      </c>
      <c r="AC3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12.083333333333332</v>
      </c>
      <c r="AD3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1" s="51">
        <f ca="1">SUM($AC$14:AC31)</f>
        <v>228.58333333333334</v>
      </c>
      <c r="AF31" s="51" t="e">
        <f>IF(AD31="",NA(),SUM($AD$14:AD31))</f>
        <v>#N/A</v>
      </c>
      <c r="AG31" s="51" t="str">
        <f ca="1">WeeklyPlanned(Output_0501[[#Headers],[WP_ABC]], Output_0501[[#This Row],[Date]])</f>
        <v/>
      </c>
      <c r="AH31" s="51"/>
      <c r="AI31" s="51" t="str">
        <f ca="1">WeeklyPlanned(Output_0501[[#Headers],[WP_ACS]], Output_0501[[#This Row],[Date]])</f>
        <v/>
      </c>
      <c r="AJ31" s="51"/>
      <c r="AK31" s="51" t="str">
        <f ca="1">WeeklyPlanned(Output_0501[[#Headers],[WP_AL1]], Output_0501[[#This Row],[Date]])</f>
        <v/>
      </c>
      <c r="AL31" s="51"/>
      <c r="AM31" s="51" t="str">
        <f ca="1">WeeklyPlanned(Output_0501[[#Headers],[WP_HBase]], Output_0501[[#This Row],[Date]])</f>
        <v/>
      </c>
      <c r="AN31" s="51"/>
      <c r="AO31" s="51" t="str">
        <f ca="1">WeeklyPlanned(Output_0501[[#Headers],[WP_HWST]], Output_0501[[#This Row],[Date]])</f>
        <v/>
      </c>
      <c r="AP31" s="51"/>
      <c r="AQ31" s="51" t="str">
        <f ca="1">WeeklyPlanned(Output_0501[[#Headers],[WP_HWSR]], Output_0501[[#This Row],[Date]])</f>
        <v/>
      </c>
      <c r="AR31" s="51"/>
      <c r="AS31" s="51" t="str">
        <f ca="1">WeeklyPlanned(Output_0501[[#Headers],[WP_HL2]], Output_0501[[#This Row],[Date]])</f>
        <v/>
      </c>
      <c r="AT31" s="51"/>
      <c r="AU31" s="51">
        <f ca="1">WeeklyPlanned(Output_0501[[#Headers],[WP_HBCeil]], Output_0501[[#This Row],[Date]])</f>
        <v>12.083333333333332</v>
      </c>
      <c r="AV31" s="51"/>
    </row>
    <row r="32" spans="2:48" ht="15.5" x14ac:dyDescent="0.35">
      <c r="B32" s="30"/>
      <c r="C32" s="64"/>
      <c r="D32" s="64"/>
      <c r="E32" s="64"/>
      <c r="F32" s="64"/>
      <c r="G32" s="64"/>
      <c r="H32" s="64"/>
      <c r="I32" s="64"/>
      <c r="J32" s="64"/>
      <c r="K32" s="64"/>
      <c r="L32" s="64"/>
      <c r="M32" s="64"/>
      <c r="N32" s="64"/>
      <c r="O32" s="43"/>
      <c r="AA32" s="47">
        <f t="shared" si="3"/>
        <v>44111</v>
      </c>
      <c r="AB32" s="49" t="str">
        <f t="shared" ca="1" si="2"/>
        <v>ACS, HL2, HBCeil</v>
      </c>
      <c r="AC3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117.35000000000001</v>
      </c>
      <c r="AD3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2" s="51">
        <f ca="1">SUM($AC$14:AC32)</f>
        <v>345.93333333333334</v>
      </c>
      <c r="AF32" s="51" t="e">
        <f>IF(AD32="",NA(),SUM($AD$14:AD32))</f>
        <v>#N/A</v>
      </c>
      <c r="AG32" s="51" t="str">
        <f ca="1">WeeklyPlanned(Output_0501[[#Headers],[WP_ABC]], Output_0501[[#This Row],[Date]])</f>
        <v/>
      </c>
      <c r="AH32" s="51"/>
      <c r="AI32" s="51">
        <f ca="1">WeeklyPlanned(Output_0501[[#Headers],[WP_ACS]], Output_0501[[#This Row],[Date]])</f>
        <v>81.599999999999994</v>
      </c>
      <c r="AJ32" s="51"/>
      <c r="AK32" s="51" t="str">
        <f ca="1">WeeklyPlanned(Output_0501[[#Headers],[WP_AL1]], Output_0501[[#This Row],[Date]])</f>
        <v/>
      </c>
      <c r="AL32" s="51"/>
      <c r="AM32" s="51" t="str">
        <f ca="1">WeeklyPlanned(Output_0501[[#Headers],[WP_HBase]], Output_0501[[#This Row],[Date]])</f>
        <v/>
      </c>
      <c r="AN32" s="51"/>
      <c r="AO32" s="51" t="str">
        <f ca="1">WeeklyPlanned(Output_0501[[#Headers],[WP_HWST]], Output_0501[[#This Row],[Date]])</f>
        <v/>
      </c>
      <c r="AP32" s="51"/>
      <c r="AQ32" s="51" t="str">
        <f ca="1">WeeklyPlanned(Output_0501[[#Headers],[WP_HWSR]], Output_0501[[#This Row],[Date]])</f>
        <v/>
      </c>
      <c r="AR32" s="51"/>
      <c r="AS32" s="51">
        <f ca="1">WeeklyPlanned(Output_0501[[#Headers],[WP_HL2]], Output_0501[[#This Row],[Date]])</f>
        <v>33.333333333333336</v>
      </c>
      <c r="AT32" s="51"/>
      <c r="AU32" s="51">
        <f ca="1">WeeklyPlanned(Output_0501[[#Headers],[WP_HBCeil]], Output_0501[[#This Row],[Date]])</f>
        <v>2.4166666666666665</v>
      </c>
      <c r="AV32" s="51"/>
    </row>
    <row r="33" spans="2:48" ht="15.5" x14ac:dyDescent="0.35">
      <c r="B33" s="30"/>
      <c r="C33" s="64"/>
      <c r="D33" s="64"/>
      <c r="E33" s="64"/>
      <c r="F33" s="64"/>
      <c r="G33" s="64"/>
      <c r="H33" s="64"/>
      <c r="I33" s="64"/>
      <c r="J33" s="64"/>
      <c r="K33" s="64"/>
      <c r="L33" s="64"/>
      <c r="M33" s="64"/>
      <c r="N33" s="64"/>
      <c r="O33" s="43"/>
      <c r="AA33" s="47">
        <f t="shared" si="3"/>
        <v>44118</v>
      </c>
      <c r="AB33" s="49" t="str">
        <f t="shared" ca="1" si="2"/>
        <v>ACS, HWST, HL2</v>
      </c>
      <c r="AC3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120.44761904761906</v>
      </c>
      <c r="AD3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3" s="51">
        <f ca="1">SUM($AC$14:AC33)</f>
        <v>466.38095238095241</v>
      </c>
      <c r="AF33" s="51" t="e">
        <f>IF(AD33="",NA(),SUM($AD$14:AD33))</f>
        <v>#N/A</v>
      </c>
      <c r="AG33" s="51" t="str">
        <f ca="1">WeeklyPlanned(Output_0501[[#Headers],[WP_ABC]], Output_0501[[#This Row],[Date]])</f>
        <v/>
      </c>
      <c r="AH33" s="51"/>
      <c r="AI33" s="51">
        <f ca="1">WeeklyPlanned(Output_0501[[#Headers],[WP_ACS]], Output_0501[[#This Row],[Date]])</f>
        <v>20.399999999999999</v>
      </c>
      <c r="AJ33" s="51"/>
      <c r="AK33" s="51" t="str">
        <f ca="1">WeeklyPlanned(Output_0501[[#Headers],[WP_AL1]], Output_0501[[#This Row],[Date]])</f>
        <v/>
      </c>
      <c r="AL33" s="51"/>
      <c r="AM33" s="51" t="str">
        <f ca="1">WeeklyPlanned(Output_0501[[#Headers],[WP_HBase]], Output_0501[[#This Row],[Date]])</f>
        <v/>
      </c>
      <c r="AN33" s="51"/>
      <c r="AO33" s="51">
        <f ca="1">WeeklyPlanned(Output_0501[[#Headers],[WP_HWST]], Output_0501[[#This Row],[Date]])</f>
        <v>16.714285714285715</v>
      </c>
      <c r="AP33" s="51"/>
      <c r="AQ33" s="51" t="str">
        <f ca="1">WeeklyPlanned(Output_0501[[#Headers],[WP_HWSR]], Output_0501[[#This Row],[Date]])</f>
        <v/>
      </c>
      <c r="AR33" s="51"/>
      <c r="AS33" s="51">
        <f ca="1">WeeklyPlanned(Output_0501[[#Headers],[WP_HL2]], Output_0501[[#This Row],[Date]])</f>
        <v>83.333333333333343</v>
      </c>
      <c r="AT33" s="51"/>
      <c r="AU33" s="51" t="str">
        <f ca="1">WeeklyPlanned(Output_0501[[#Headers],[WP_HBCeil]], Output_0501[[#This Row],[Date]])</f>
        <v/>
      </c>
      <c r="AV33" s="51"/>
    </row>
    <row r="34" spans="2:48" ht="15.5" x14ac:dyDescent="0.35">
      <c r="B34" s="30"/>
      <c r="C34" s="64"/>
      <c r="D34" s="64"/>
      <c r="E34" s="64"/>
      <c r="F34" s="64"/>
      <c r="G34" s="64"/>
      <c r="H34" s="64"/>
      <c r="I34" s="64"/>
      <c r="J34" s="64"/>
      <c r="K34" s="64"/>
      <c r="L34" s="64"/>
      <c r="M34" s="64"/>
      <c r="N34" s="64"/>
      <c r="O34" s="43"/>
      <c r="AA34" s="47">
        <f t="shared" si="3"/>
        <v>44125</v>
      </c>
      <c r="AB34" s="49" t="str">
        <f t="shared" ca="1" si="2"/>
        <v>HWST, HL2</v>
      </c>
      <c r="AC3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111.1904761904762</v>
      </c>
      <c r="AD3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4" s="51">
        <f ca="1">SUM($AC$14:AC34)</f>
        <v>577.57142857142867</v>
      </c>
      <c r="AF34" s="51" t="e">
        <f>IF(AD34="",NA(),SUM($AD$14:AD34))</f>
        <v>#N/A</v>
      </c>
      <c r="AG34" s="51" t="str">
        <f ca="1">WeeklyPlanned(Output_0501[[#Headers],[WP_ABC]], Output_0501[[#This Row],[Date]])</f>
        <v/>
      </c>
      <c r="AH34" s="51"/>
      <c r="AI34" s="51" t="str">
        <f ca="1">WeeklyPlanned(Output_0501[[#Headers],[WP_ACS]], Output_0501[[#This Row],[Date]])</f>
        <v/>
      </c>
      <c r="AJ34" s="51"/>
      <c r="AK34" s="51" t="str">
        <f ca="1">WeeklyPlanned(Output_0501[[#Headers],[WP_AL1]], Output_0501[[#This Row],[Date]])</f>
        <v/>
      </c>
      <c r="AL34" s="51"/>
      <c r="AM34" s="51" t="str">
        <f ca="1">WeeklyPlanned(Output_0501[[#Headers],[WP_HBase]], Output_0501[[#This Row],[Date]])</f>
        <v/>
      </c>
      <c r="AN34" s="51"/>
      <c r="AO34" s="51">
        <f ca="1">WeeklyPlanned(Output_0501[[#Headers],[WP_HWST]], Output_0501[[#This Row],[Date]])</f>
        <v>27.857142857142854</v>
      </c>
      <c r="AP34" s="51"/>
      <c r="AQ34" s="51" t="str">
        <f ca="1">WeeklyPlanned(Output_0501[[#Headers],[WP_HWSR]], Output_0501[[#This Row],[Date]])</f>
        <v/>
      </c>
      <c r="AR34" s="51"/>
      <c r="AS34" s="51">
        <f ca="1">WeeklyPlanned(Output_0501[[#Headers],[WP_HL2]], Output_0501[[#This Row],[Date]])</f>
        <v>83.333333333333343</v>
      </c>
      <c r="AT34" s="51"/>
      <c r="AU34" s="51" t="str">
        <f ca="1">WeeklyPlanned(Output_0501[[#Headers],[WP_HBCeil]], Output_0501[[#This Row],[Date]])</f>
        <v/>
      </c>
      <c r="AV34" s="51"/>
    </row>
    <row r="35" spans="2:48" ht="15.5" x14ac:dyDescent="0.35">
      <c r="B35" s="30"/>
      <c r="C35" s="64"/>
      <c r="D35" s="64"/>
      <c r="E35" s="64"/>
      <c r="F35" s="64"/>
      <c r="G35" s="64"/>
      <c r="H35" s="64"/>
      <c r="I35" s="64"/>
      <c r="J35" s="64"/>
      <c r="K35" s="64"/>
      <c r="L35" s="64"/>
      <c r="M35" s="64"/>
      <c r="N35" s="64"/>
      <c r="O35" s="43"/>
      <c r="AA35" s="47">
        <f t="shared" si="3"/>
        <v>44132</v>
      </c>
      <c r="AB35" s="49" t="str">
        <f t="shared" ca="1" si="2"/>
        <v>HBase, HWST, HL2</v>
      </c>
      <c r="AC3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94.357142857142861</v>
      </c>
      <c r="AD3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5" s="51">
        <f ca="1">SUM($AC$14:AC35)</f>
        <v>671.92857142857156</v>
      </c>
      <c r="AF35" s="51" t="e">
        <f>IF(AD35="",NA(),SUM($AD$14:AD35))</f>
        <v>#N/A</v>
      </c>
      <c r="AG35" s="51" t="str">
        <f ca="1">WeeklyPlanned(Output_0501[[#Headers],[WP_ABC]], Output_0501[[#This Row],[Date]])</f>
        <v/>
      </c>
      <c r="AH35" s="51"/>
      <c r="AI35" s="51" t="str">
        <f ca="1">WeeklyPlanned(Output_0501[[#Headers],[WP_ACS]], Output_0501[[#This Row],[Date]])</f>
        <v/>
      </c>
      <c r="AJ35" s="51"/>
      <c r="AK35" s="51" t="str">
        <f ca="1">WeeklyPlanned(Output_0501[[#Headers],[WP_AL1]], Output_0501[[#This Row],[Date]])</f>
        <v/>
      </c>
      <c r="AL35" s="51"/>
      <c r="AM35" s="51">
        <f ca="1">WeeklyPlanned(Output_0501[[#Headers],[WP_HBase]], Output_0501[[#This Row],[Date]])</f>
        <v>16.5</v>
      </c>
      <c r="AN35" s="51"/>
      <c r="AO35" s="51">
        <f ca="1">WeeklyPlanned(Output_0501[[#Headers],[WP_HWST]], Output_0501[[#This Row],[Date]])</f>
        <v>27.857142857142854</v>
      </c>
      <c r="AP35" s="51"/>
      <c r="AQ35" s="51" t="str">
        <f ca="1">WeeklyPlanned(Output_0501[[#Headers],[WP_HWSR]], Output_0501[[#This Row],[Date]])</f>
        <v/>
      </c>
      <c r="AR35" s="51"/>
      <c r="AS35" s="51">
        <f ca="1">WeeklyPlanned(Output_0501[[#Headers],[WP_HL2]], Output_0501[[#This Row],[Date]])</f>
        <v>50</v>
      </c>
      <c r="AT35" s="51"/>
      <c r="AU35" s="51" t="str">
        <f ca="1">WeeklyPlanned(Output_0501[[#Headers],[WP_HBCeil]], Output_0501[[#This Row],[Date]])</f>
        <v/>
      </c>
      <c r="AV35" s="51"/>
    </row>
    <row r="36" spans="2:48" ht="15.5" x14ac:dyDescent="0.35">
      <c r="B36" s="30"/>
      <c r="C36" s="64"/>
      <c r="D36" s="64"/>
      <c r="E36" s="64"/>
      <c r="F36" s="64"/>
      <c r="G36" s="64"/>
      <c r="H36" s="64"/>
      <c r="I36" s="64"/>
      <c r="J36" s="64"/>
      <c r="K36" s="64"/>
      <c r="L36" s="64"/>
      <c r="M36" s="64"/>
      <c r="N36" s="64"/>
      <c r="O36" s="43"/>
      <c r="AA36" s="47">
        <f t="shared" si="3"/>
        <v>44139</v>
      </c>
      <c r="AB36" s="49" t="str">
        <f t="shared" ca="1" si="2"/>
        <v>AL1, HBase, HWST</v>
      </c>
      <c r="AC36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239.95714285714286</v>
      </c>
      <c r="AD36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6" s="51">
        <f ca="1">SUM($AC$14:AC36)</f>
        <v>911.88571428571436</v>
      </c>
      <c r="AF36" s="51" t="e">
        <f>IF(AD36="",NA(),SUM($AD$14:AD36))</f>
        <v>#N/A</v>
      </c>
      <c r="AG36" s="51" t="str">
        <f ca="1">WeeklyPlanned(Output_0501[[#Headers],[WP_ABC]], Output_0501[[#This Row],[Date]])</f>
        <v/>
      </c>
      <c r="AH36" s="51"/>
      <c r="AI36" s="51" t="str">
        <f ca="1">WeeklyPlanned(Output_0501[[#Headers],[WP_ACS]], Output_0501[[#This Row],[Date]])</f>
        <v/>
      </c>
      <c r="AJ36" s="51"/>
      <c r="AK36" s="51">
        <f ca="1">WeeklyPlanned(Output_0501[[#Headers],[WP_AL1]], Output_0501[[#This Row],[Date]])</f>
        <v>129.6</v>
      </c>
      <c r="AL36" s="51"/>
      <c r="AM36" s="51">
        <f ca="1">WeeklyPlanned(Output_0501[[#Headers],[WP_HBase]], Output_0501[[#This Row],[Date]])</f>
        <v>82.5</v>
      </c>
      <c r="AN36" s="51"/>
      <c r="AO36" s="51">
        <f ca="1">WeeklyPlanned(Output_0501[[#Headers],[WP_HWST]], Output_0501[[#This Row],[Date]])</f>
        <v>27.857142857142854</v>
      </c>
      <c r="AP36" s="51"/>
      <c r="AQ36" s="51" t="str">
        <f ca="1">WeeklyPlanned(Output_0501[[#Headers],[WP_HWSR]], Output_0501[[#This Row],[Date]])</f>
        <v/>
      </c>
      <c r="AR36" s="51"/>
      <c r="AS36" s="51" t="str">
        <f ca="1">WeeklyPlanned(Output_0501[[#Headers],[WP_HL2]], Output_0501[[#This Row],[Date]])</f>
        <v/>
      </c>
      <c r="AT36" s="51"/>
      <c r="AU36" s="51" t="str">
        <f ca="1">WeeklyPlanned(Output_0501[[#Headers],[WP_HBCeil]], Output_0501[[#This Row],[Date]])</f>
        <v/>
      </c>
      <c r="AV36" s="51"/>
    </row>
    <row r="37" spans="2:48" ht="15.5" x14ac:dyDescent="0.35">
      <c r="B37" s="30"/>
      <c r="C37" s="64"/>
      <c r="D37" s="64"/>
      <c r="E37" s="64"/>
      <c r="F37" s="64"/>
      <c r="G37" s="64"/>
      <c r="H37" s="64"/>
      <c r="I37" s="64"/>
      <c r="J37" s="64"/>
      <c r="K37" s="64"/>
      <c r="L37" s="64"/>
      <c r="M37" s="64"/>
      <c r="N37" s="64"/>
      <c r="O37" s="43"/>
      <c r="AA37" s="47">
        <f t="shared" si="3"/>
        <v>44146</v>
      </c>
      <c r="AB37" s="49" t="str">
        <f t="shared" ca="1" si="2"/>
        <v>AL1, HBase, HWST</v>
      </c>
      <c r="AC37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222.85714285714286</v>
      </c>
      <c r="AD37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7" s="51">
        <f ca="1">SUM($AC$14:AC37)</f>
        <v>1134.7428571428572</v>
      </c>
      <c r="AF37" s="51" t="e">
        <f>IF(AD37="",NA(),SUM($AD$14:AD37))</f>
        <v>#N/A</v>
      </c>
      <c r="AG37" s="51" t="str">
        <f ca="1">WeeklyPlanned(Output_0501[[#Headers],[WP_ABC]], Output_0501[[#This Row],[Date]])</f>
        <v/>
      </c>
      <c r="AH37" s="51"/>
      <c r="AI37" s="51" t="str">
        <f ca="1">WeeklyPlanned(Output_0501[[#Headers],[WP_ACS]], Output_0501[[#This Row],[Date]])</f>
        <v/>
      </c>
      <c r="AJ37" s="51"/>
      <c r="AK37" s="51">
        <f ca="1">WeeklyPlanned(Output_0501[[#Headers],[WP_AL1]], Output_0501[[#This Row],[Date]])</f>
        <v>162</v>
      </c>
      <c r="AL37" s="51"/>
      <c r="AM37" s="51">
        <f ca="1">WeeklyPlanned(Output_0501[[#Headers],[WP_HBase]], Output_0501[[#This Row],[Date]])</f>
        <v>33</v>
      </c>
      <c r="AN37" s="51"/>
      <c r="AO37" s="51">
        <f ca="1">WeeklyPlanned(Output_0501[[#Headers],[WP_HWST]], Output_0501[[#This Row],[Date]])</f>
        <v>27.857142857142854</v>
      </c>
      <c r="AP37" s="51"/>
      <c r="AQ37" s="51" t="str">
        <f ca="1">WeeklyPlanned(Output_0501[[#Headers],[WP_HWSR]], Output_0501[[#This Row],[Date]])</f>
        <v/>
      </c>
      <c r="AR37" s="51"/>
      <c r="AS37" s="51" t="str">
        <f ca="1">WeeklyPlanned(Output_0501[[#Headers],[WP_HL2]], Output_0501[[#This Row],[Date]])</f>
        <v/>
      </c>
      <c r="AT37" s="51"/>
      <c r="AU37" s="51" t="str">
        <f ca="1">WeeklyPlanned(Output_0501[[#Headers],[WP_HBCeil]], Output_0501[[#This Row],[Date]])</f>
        <v/>
      </c>
      <c r="AV37" s="51"/>
    </row>
    <row r="38" spans="2:48" ht="15.5" x14ac:dyDescent="0.35">
      <c r="B38" s="30"/>
      <c r="C38" s="64"/>
      <c r="D38" s="64"/>
      <c r="E38" s="64"/>
      <c r="F38" s="64"/>
      <c r="G38" s="64"/>
      <c r="H38" s="64"/>
      <c r="I38" s="64"/>
      <c r="J38" s="64"/>
      <c r="K38" s="64"/>
      <c r="L38" s="64"/>
      <c r="M38" s="64"/>
      <c r="N38" s="64"/>
      <c r="O38" s="43"/>
      <c r="AA38" s="47">
        <f t="shared" si="3"/>
        <v>44153</v>
      </c>
      <c r="AB38" s="49" t="str">
        <f t="shared" ca="1" si="2"/>
        <v>AL1, HWST</v>
      </c>
      <c r="AC38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60.257142857142853</v>
      </c>
      <c r="AD38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8" s="51">
        <f ca="1">SUM($AC$14:AC38)</f>
        <v>1195</v>
      </c>
      <c r="AF38" s="51" t="e">
        <f>IF(AD38="",NA(),SUM($AD$14:AD38))</f>
        <v>#N/A</v>
      </c>
      <c r="AG38" s="51" t="str">
        <f ca="1">WeeklyPlanned(Output_0501[[#Headers],[WP_ABC]], Output_0501[[#This Row],[Date]])</f>
        <v/>
      </c>
      <c r="AH38" s="51"/>
      <c r="AI38" s="51" t="str">
        <f ca="1">WeeklyPlanned(Output_0501[[#Headers],[WP_ACS]], Output_0501[[#This Row],[Date]])</f>
        <v/>
      </c>
      <c r="AJ38" s="51"/>
      <c r="AK38" s="51">
        <f ca="1">WeeklyPlanned(Output_0501[[#Headers],[WP_AL1]], Output_0501[[#This Row],[Date]])</f>
        <v>32.4</v>
      </c>
      <c r="AL38" s="51"/>
      <c r="AM38" s="51" t="str">
        <f ca="1">WeeklyPlanned(Output_0501[[#Headers],[WP_HBase]], Output_0501[[#This Row],[Date]])</f>
        <v/>
      </c>
      <c r="AN38" s="51"/>
      <c r="AO38" s="51">
        <f ca="1">WeeklyPlanned(Output_0501[[#Headers],[WP_HWST]], Output_0501[[#This Row],[Date]])</f>
        <v>27.857142857142854</v>
      </c>
      <c r="AP38" s="51"/>
      <c r="AQ38" s="51" t="str">
        <f ca="1">WeeklyPlanned(Output_0501[[#Headers],[WP_HWSR]], Output_0501[[#This Row],[Date]])</f>
        <v/>
      </c>
      <c r="AR38" s="51"/>
      <c r="AS38" s="51" t="str">
        <f ca="1">WeeklyPlanned(Output_0501[[#Headers],[WP_HL2]], Output_0501[[#This Row],[Date]])</f>
        <v/>
      </c>
      <c r="AT38" s="51"/>
      <c r="AU38" s="51" t="str">
        <f ca="1">WeeklyPlanned(Output_0501[[#Headers],[WP_HBCeil]], Output_0501[[#This Row],[Date]])</f>
        <v/>
      </c>
      <c r="AV38" s="51"/>
    </row>
    <row r="39" spans="2:48" ht="15.5" x14ac:dyDescent="0.35">
      <c r="B39" s="30"/>
      <c r="C39" s="64"/>
      <c r="D39" s="64"/>
      <c r="E39" s="64"/>
      <c r="F39" s="64"/>
      <c r="G39" s="64"/>
      <c r="H39" s="64"/>
      <c r="I39" s="64"/>
      <c r="J39" s="64"/>
      <c r="K39" s="64"/>
      <c r="L39" s="64"/>
      <c r="M39" s="64"/>
      <c r="N39" s="64"/>
      <c r="O39" s="43"/>
      <c r="AA39" s="47">
        <f t="shared" si="3"/>
        <v>44160</v>
      </c>
      <c r="AB39" s="49" t="str">
        <f t="shared" ca="1" si="2"/>
        <v>HWST</v>
      </c>
      <c r="AC39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39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39" s="51">
        <f ca="1">SUM($AC$14:AC39)</f>
        <v>1222.8571428571429</v>
      </c>
      <c r="AF39" s="51" t="e">
        <f>IF(AD39="",NA(),SUM($AD$14:AD39))</f>
        <v>#N/A</v>
      </c>
      <c r="AG39" s="51" t="str">
        <f ca="1">WeeklyPlanned(Output_0501[[#Headers],[WP_ABC]], Output_0501[[#This Row],[Date]])</f>
        <v/>
      </c>
      <c r="AH39" s="51"/>
      <c r="AI39" s="51" t="str">
        <f ca="1">WeeklyPlanned(Output_0501[[#Headers],[WP_ACS]], Output_0501[[#This Row],[Date]])</f>
        <v/>
      </c>
      <c r="AJ39" s="51"/>
      <c r="AK39" s="51" t="str">
        <f ca="1">WeeklyPlanned(Output_0501[[#Headers],[WP_AL1]], Output_0501[[#This Row],[Date]])</f>
        <v/>
      </c>
      <c r="AL39" s="51"/>
      <c r="AM39" s="51" t="str">
        <f ca="1">WeeklyPlanned(Output_0501[[#Headers],[WP_HBase]], Output_0501[[#This Row],[Date]])</f>
        <v/>
      </c>
      <c r="AN39" s="51"/>
      <c r="AO39" s="51">
        <f ca="1">WeeklyPlanned(Output_0501[[#Headers],[WP_HWST]], Output_0501[[#This Row],[Date]])</f>
        <v>27.857142857142854</v>
      </c>
      <c r="AP39" s="51"/>
      <c r="AQ39" s="51" t="str">
        <f ca="1">WeeklyPlanned(Output_0501[[#Headers],[WP_HWSR]], Output_0501[[#This Row],[Date]])</f>
        <v/>
      </c>
      <c r="AR39" s="51"/>
      <c r="AS39" s="51" t="str">
        <f ca="1">WeeklyPlanned(Output_0501[[#Headers],[WP_HL2]], Output_0501[[#This Row],[Date]])</f>
        <v/>
      </c>
      <c r="AT39" s="51"/>
      <c r="AU39" s="51" t="str">
        <f ca="1">WeeklyPlanned(Output_0501[[#Headers],[WP_HBCeil]], Output_0501[[#This Row],[Date]])</f>
        <v/>
      </c>
      <c r="AV39" s="51"/>
    </row>
    <row r="40" spans="2:4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3"/>
        <v>44167</v>
      </c>
      <c r="AB40" s="49" t="str">
        <f t="shared" ca="1" si="2"/>
        <v>HWST</v>
      </c>
      <c r="AC40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0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0" s="51">
        <f ca="1">SUM($AC$14:AC40)</f>
        <v>1250.7142857142858</v>
      </c>
      <c r="AF40" s="51" t="e">
        <f>IF(AD40="",NA(),SUM($AD$14:AD40))</f>
        <v>#N/A</v>
      </c>
      <c r="AG40" s="51" t="str">
        <f ca="1">WeeklyPlanned(Output_0501[[#Headers],[WP_ABC]], Output_0501[[#This Row],[Date]])</f>
        <v/>
      </c>
      <c r="AH40" s="51"/>
      <c r="AI40" s="51" t="str">
        <f ca="1">WeeklyPlanned(Output_0501[[#Headers],[WP_ACS]], Output_0501[[#This Row],[Date]])</f>
        <v/>
      </c>
      <c r="AJ40" s="51"/>
      <c r="AK40" s="51" t="str">
        <f ca="1">WeeklyPlanned(Output_0501[[#Headers],[WP_AL1]], Output_0501[[#This Row],[Date]])</f>
        <v/>
      </c>
      <c r="AL40" s="51"/>
      <c r="AM40" s="51" t="str">
        <f ca="1">WeeklyPlanned(Output_0501[[#Headers],[WP_HBase]], Output_0501[[#This Row],[Date]])</f>
        <v/>
      </c>
      <c r="AN40" s="51"/>
      <c r="AO40" s="51">
        <f ca="1">WeeklyPlanned(Output_0501[[#Headers],[WP_HWST]], Output_0501[[#This Row],[Date]])</f>
        <v>27.857142857142854</v>
      </c>
      <c r="AP40" s="51"/>
      <c r="AQ40" s="51" t="str">
        <f ca="1">WeeklyPlanned(Output_0501[[#Headers],[WP_HWSR]], Output_0501[[#This Row],[Date]])</f>
        <v/>
      </c>
      <c r="AR40" s="51"/>
      <c r="AS40" s="51" t="str">
        <f ca="1">WeeklyPlanned(Output_0501[[#Headers],[WP_HL2]], Output_0501[[#This Row],[Date]])</f>
        <v/>
      </c>
      <c r="AT40" s="51"/>
      <c r="AU40" s="51" t="str">
        <f ca="1">WeeklyPlanned(Output_0501[[#Headers],[WP_HBCeil]], Output_0501[[#This Row],[Date]])</f>
        <v/>
      </c>
      <c r="AV40" s="51"/>
    </row>
    <row r="41" spans="2:48" ht="14.5" x14ac:dyDescent="0.35">
      <c r="AA41" s="47">
        <f t="shared" si="3"/>
        <v>44174</v>
      </c>
      <c r="AB41" s="49" t="str">
        <f t="shared" ca="1" si="2"/>
        <v>HWST</v>
      </c>
      <c r="AC41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1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1" s="51">
        <f ca="1">SUM($AC$14:AC41)</f>
        <v>1278.5714285714287</v>
      </c>
      <c r="AF41" s="51" t="e">
        <f>IF(AD41="",NA(),SUM($AD$14:AD41))</f>
        <v>#N/A</v>
      </c>
      <c r="AG41" s="51" t="str">
        <f ca="1">WeeklyPlanned(Output_0501[[#Headers],[WP_ABC]], Output_0501[[#This Row],[Date]])</f>
        <v/>
      </c>
      <c r="AH41" s="51"/>
      <c r="AI41" s="51" t="str">
        <f ca="1">WeeklyPlanned(Output_0501[[#Headers],[WP_ACS]], Output_0501[[#This Row],[Date]])</f>
        <v/>
      </c>
      <c r="AJ41" s="51"/>
      <c r="AK41" s="51" t="str">
        <f ca="1">WeeklyPlanned(Output_0501[[#Headers],[WP_AL1]], Output_0501[[#This Row],[Date]])</f>
        <v/>
      </c>
      <c r="AL41" s="51"/>
      <c r="AM41" s="51" t="str">
        <f ca="1">WeeklyPlanned(Output_0501[[#Headers],[WP_HBase]], Output_0501[[#This Row],[Date]])</f>
        <v/>
      </c>
      <c r="AN41" s="51"/>
      <c r="AO41" s="51">
        <f ca="1">WeeklyPlanned(Output_0501[[#Headers],[WP_HWST]], Output_0501[[#This Row],[Date]])</f>
        <v>27.857142857142854</v>
      </c>
      <c r="AP41" s="51"/>
      <c r="AQ41" s="51" t="str">
        <f ca="1">WeeklyPlanned(Output_0501[[#Headers],[WP_HWSR]], Output_0501[[#This Row],[Date]])</f>
        <v/>
      </c>
      <c r="AR41" s="51"/>
      <c r="AS41" s="51" t="str">
        <f ca="1">WeeklyPlanned(Output_0501[[#Headers],[WP_HL2]], Output_0501[[#This Row],[Date]])</f>
        <v/>
      </c>
      <c r="AT41" s="51"/>
      <c r="AU41" s="51" t="str">
        <f ca="1">WeeklyPlanned(Output_0501[[#Headers],[WP_HBCeil]], Output_0501[[#This Row],[Date]])</f>
        <v/>
      </c>
      <c r="AV41" s="51"/>
    </row>
    <row r="42" spans="2:48" ht="14.5" x14ac:dyDescent="0.35">
      <c r="AA42" s="47">
        <f t="shared" si="3"/>
        <v>44181</v>
      </c>
      <c r="AB42" s="49" t="str">
        <f t="shared" ca="1" si="2"/>
        <v>HWST</v>
      </c>
      <c r="AC42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27.857142857142854</v>
      </c>
      <c r="AD42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2" s="51">
        <f ca="1">SUM($AC$14:AC42)</f>
        <v>1306.4285714285716</v>
      </c>
      <c r="AF42" s="51" t="e">
        <f>IF(AD42="",NA(),SUM($AD$14:AD42))</f>
        <v>#N/A</v>
      </c>
      <c r="AG42" s="51" t="str">
        <f ca="1">WeeklyPlanned(Output_0501[[#Headers],[WP_ABC]], Output_0501[[#This Row],[Date]])</f>
        <v/>
      </c>
      <c r="AH42" s="51"/>
      <c r="AI42" s="51" t="str">
        <f ca="1">WeeklyPlanned(Output_0501[[#Headers],[WP_ACS]], Output_0501[[#This Row],[Date]])</f>
        <v/>
      </c>
      <c r="AJ42" s="51"/>
      <c r="AK42" s="51" t="str">
        <f ca="1">WeeklyPlanned(Output_0501[[#Headers],[WP_AL1]], Output_0501[[#This Row],[Date]])</f>
        <v/>
      </c>
      <c r="AL42" s="51"/>
      <c r="AM42" s="51" t="str">
        <f ca="1">WeeklyPlanned(Output_0501[[#Headers],[WP_HBase]], Output_0501[[#This Row],[Date]])</f>
        <v/>
      </c>
      <c r="AN42" s="51"/>
      <c r="AO42" s="51">
        <f ca="1">WeeklyPlanned(Output_0501[[#Headers],[WP_HWST]], Output_0501[[#This Row],[Date]])</f>
        <v>27.857142857142854</v>
      </c>
      <c r="AP42" s="51"/>
      <c r="AQ42" s="51" t="str">
        <f ca="1">WeeklyPlanned(Output_0501[[#Headers],[WP_HWSR]], Output_0501[[#This Row],[Date]])</f>
        <v/>
      </c>
      <c r="AR42" s="51"/>
      <c r="AS42" s="51" t="str">
        <f ca="1">WeeklyPlanned(Output_0501[[#Headers],[WP_HL2]], Output_0501[[#This Row],[Date]])</f>
        <v/>
      </c>
      <c r="AT42" s="51"/>
      <c r="AU42" s="51" t="str">
        <f ca="1">WeeklyPlanned(Output_0501[[#Headers],[WP_HBCeil]], Output_0501[[#This Row],[Date]])</f>
        <v/>
      </c>
      <c r="AV42" s="51"/>
    </row>
    <row r="43" spans="2:48" ht="14.5" x14ac:dyDescent="0.35">
      <c r="AA43" s="47">
        <f t="shared" si="3"/>
        <v>44188</v>
      </c>
      <c r="AB43" s="49" t="str">
        <f t="shared" ca="1" si="2"/>
        <v>HWST, HWSR</v>
      </c>
      <c r="AC43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19.793650793650791</v>
      </c>
      <c r="AD43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3" s="51">
        <f ca="1">SUM($AC$14:AC43)</f>
        <v>1326.2222222222224</v>
      </c>
      <c r="AF43" s="51" t="e">
        <f>IF(AD43="",NA(),SUM($AD$14:AD43))</f>
        <v>#N/A</v>
      </c>
      <c r="AG43" s="51" t="str">
        <f ca="1">WeeklyPlanned(Output_0501[[#Headers],[WP_ABC]], Output_0501[[#This Row],[Date]])</f>
        <v/>
      </c>
      <c r="AH43" s="51"/>
      <c r="AI43" s="51" t="str">
        <f ca="1">WeeklyPlanned(Output_0501[[#Headers],[WP_ACS]], Output_0501[[#This Row],[Date]])</f>
        <v/>
      </c>
      <c r="AJ43" s="51"/>
      <c r="AK43" s="51" t="str">
        <f ca="1">WeeklyPlanned(Output_0501[[#Headers],[WP_AL1]], Output_0501[[#This Row],[Date]])</f>
        <v/>
      </c>
      <c r="AL43" s="51"/>
      <c r="AM43" s="51" t="str">
        <f ca="1">WeeklyPlanned(Output_0501[[#Headers],[WP_HBase]], Output_0501[[#This Row],[Date]])</f>
        <v/>
      </c>
      <c r="AN43" s="51"/>
      <c r="AO43" s="51">
        <f ca="1">WeeklyPlanned(Output_0501[[#Headers],[WP_HWST]], Output_0501[[#This Row],[Date]])</f>
        <v>5.5714285714285712</v>
      </c>
      <c r="AP43" s="51"/>
      <c r="AQ43" s="51">
        <f ca="1">WeeklyPlanned(Output_0501[[#Headers],[WP_HWSR]], Output_0501[[#This Row],[Date]])</f>
        <v>14.222222222222221</v>
      </c>
      <c r="AR43" s="51"/>
      <c r="AS43" s="51" t="str">
        <f ca="1">WeeklyPlanned(Output_0501[[#Headers],[WP_HL2]], Output_0501[[#This Row],[Date]])</f>
        <v/>
      </c>
      <c r="AT43" s="51"/>
      <c r="AU43" s="51" t="str">
        <f ca="1">WeeklyPlanned(Output_0501[[#Headers],[WP_HBCeil]], Output_0501[[#This Row],[Date]])</f>
        <v/>
      </c>
      <c r="AV43" s="51"/>
    </row>
    <row r="44" spans="2:48" ht="14.5" x14ac:dyDescent="0.35">
      <c r="AA44" s="47">
        <f t="shared" si="3"/>
        <v>44195</v>
      </c>
      <c r="AB44" s="49" t="str">
        <f t="shared" ca="1" si="2"/>
        <v>HWSR</v>
      </c>
      <c r="AC44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14.222222222222221</v>
      </c>
      <c r="AD44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4" s="51">
        <f ca="1">SUM($AC$14:AC44)</f>
        <v>1340.4444444444446</v>
      </c>
      <c r="AF44" s="51" t="e">
        <f>IF(AD44="",NA(),SUM($AD$14:AD44))</f>
        <v>#N/A</v>
      </c>
      <c r="AG44" s="51" t="str">
        <f ca="1">WeeklyPlanned(Output_0501[[#Headers],[WP_ABC]], Output_0501[[#This Row],[Date]])</f>
        <v/>
      </c>
      <c r="AH44" s="51"/>
      <c r="AI44" s="51" t="str">
        <f ca="1">WeeklyPlanned(Output_0501[[#Headers],[WP_ACS]], Output_0501[[#This Row],[Date]])</f>
        <v/>
      </c>
      <c r="AJ44" s="51"/>
      <c r="AK44" s="51" t="str">
        <f ca="1">WeeklyPlanned(Output_0501[[#Headers],[WP_AL1]], Output_0501[[#This Row],[Date]])</f>
        <v/>
      </c>
      <c r="AL44" s="51"/>
      <c r="AM44" s="51" t="str">
        <f ca="1">WeeklyPlanned(Output_0501[[#Headers],[WP_HBase]], Output_0501[[#This Row],[Date]])</f>
        <v/>
      </c>
      <c r="AN44" s="51"/>
      <c r="AO44" s="51" t="str">
        <f ca="1">WeeklyPlanned(Output_0501[[#Headers],[WP_HWST]], Output_0501[[#This Row],[Date]])</f>
        <v/>
      </c>
      <c r="AP44" s="51"/>
      <c r="AQ44" s="51">
        <f ca="1">WeeklyPlanned(Output_0501[[#Headers],[WP_HWSR]], Output_0501[[#This Row],[Date]])</f>
        <v>14.222222222222221</v>
      </c>
      <c r="AR44" s="51"/>
      <c r="AS44" s="51" t="str">
        <f ca="1">WeeklyPlanned(Output_0501[[#Headers],[WP_HL2]], Output_0501[[#This Row],[Date]])</f>
        <v/>
      </c>
      <c r="AT44" s="51"/>
      <c r="AU44" s="51" t="str">
        <f ca="1">WeeklyPlanned(Output_0501[[#Headers],[WP_HBCeil]], Output_0501[[#This Row],[Date]])</f>
        <v/>
      </c>
      <c r="AV44" s="51"/>
    </row>
    <row r="45" spans="2:48" ht="14.5" x14ac:dyDescent="0.35">
      <c r="AA45" s="47">
        <f t="shared" si="3"/>
        <v>44202</v>
      </c>
      <c r="AB45" s="49" t="str">
        <f t="shared" ca="1" si="2"/>
        <v>HWSR</v>
      </c>
      <c r="AC45" s="51">
        <f ca="1">IF(Output_0501[[#This Row],[WP_ABC]]="", 0, Output_0501[[#This Row],[WP_ABC]])+IF(Output_0501[[#This Row],[WP_ACS]]="", 0, Output_0501[[#This Row],[WP_ACS]])+IF(Output_0501[[#This Row],[WP_AL1]]="", 0, Output_0501[[#This Row],[WP_AL1]])+IF(Output_0501[[#This Row],[WP_HBase]]="", 0, Output_0501[[#This Row],[WP_HBase]])+IF(Output_0501[[#This Row],[WP_HWST]]="", 0, Output_0501[[#This Row],[WP_HWST]])+IF(Output_0501[[#This Row],[WP_HWSR]]="", 0, Output_0501[[#This Row],[WP_HWSR]])+IF(Output_0501[[#This Row],[WP_HL2]]="", 0, Output_0501[[#This Row],[WP_HL2]])+IF(Output_0501[[#This Row],[WP_HBCeil]]="", 0, Output_0501[[#This Row],[WP_HBCeil]])</f>
        <v>3.5555555555555554</v>
      </c>
      <c r="AD45" s="51" t="str">
        <f>IF(AND(ISBLANK(Output_0501[[#This Row],[WA_ABC]]),ISBLANK(Output_0501[[#This Row],[WA_ACS]]),ISBLANK(Output_0501[[#This Row],[WA_AL1]]),ISBLANK(Output_0501[[#This Row],[WA_HBase]]),ISBLANK(Output_0501[[#This Row],[WA_HWST]]),ISBLANK(Output_0501[[#This Row],[WA_HWSR]]),ISBLANK(Output_0501[[#This Row],[WA_HL2]]),ISBLANK(Output_0501[[#This Row],[WA_HBCeil]])),"", Output_0501[[#This Row],[WA_ABC]]+Output_0501[[#This Row],[WA_ACS]]+Output_0501[[#This Row],[WA_AL1]]+Output_0501[[#This Row],[WA_HBase]]+Output_0501[[#This Row],[WA_HWST]]+Output_0501[[#This Row],[WA_HWSR]]+Output_0501[[#This Row],[WA_HL2]]+Output_0501[[#This Row],[WA_HBCeil]])</f>
        <v/>
      </c>
      <c r="AE45" s="51">
        <f ca="1">SUM($AC$14:AC45)</f>
        <v>1344.0000000000002</v>
      </c>
      <c r="AF45" s="51" t="e">
        <f>IF(AD45="",NA(),SUM($AD$14:AD45))</f>
        <v>#N/A</v>
      </c>
      <c r="AG45" s="51" t="str">
        <f ca="1">WeeklyPlanned(Output_0501[[#Headers],[WP_ABC]], Output_0501[[#This Row],[Date]])</f>
        <v/>
      </c>
      <c r="AH45" s="51"/>
      <c r="AI45" s="51" t="str">
        <f ca="1">WeeklyPlanned(Output_0501[[#Headers],[WP_ACS]], Output_0501[[#This Row],[Date]])</f>
        <v/>
      </c>
      <c r="AJ45" s="51"/>
      <c r="AK45" s="51" t="str">
        <f ca="1">WeeklyPlanned(Output_0501[[#Headers],[WP_AL1]], Output_0501[[#This Row],[Date]])</f>
        <v/>
      </c>
      <c r="AL45" s="51"/>
      <c r="AM45" s="51" t="str">
        <f ca="1">WeeklyPlanned(Output_0501[[#Headers],[WP_HBase]], Output_0501[[#This Row],[Date]])</f>
        <v/>
      </c>
      <c r="AN45" s="51"/>
      <c r="AO45" s="51" t="str">
        <f ca="1">WeeklyPlanned(Output_0501[[#Headers],[WP_HWST]], Output_0501[[#This Row],[Date]])</f>
        <v/>
      </c>
      <c r="AP45" s="51"/>
      <c r="AQ45" s="51">
        <f ca="1">WeeklyPlanned(Output_0501[[#Headers],[WP_HWSR]], Output_0501[[#This Row],[Date]])</f>
        <v>3.5555555555555554</v>
      </c>
      <c r="AR45" s="51"/>
      <c r="AS45" s="51" t="str">
        <f ca="1">WeeklyPlanned(Output_0501[[#Headers],[WP_HL2]], Output_0501[[#This Row],[Date]])</f>
        <v/>
      </c>
      <c r="AT45" s="51"/>
      <c r="AU45" s="51" t="str">
        <f ca="1">WeeklyPlanned(Output_0501[[#Headers],[WP_HBCeil]], Output_0501[[#This Row],[Date]])</f>
        <v/>
      </c>
      <c r="AV45" s="51"/>
    </row>
  </sheetData>
  <mergeCells count="21">
    <mergeCell ref="AA1:AB1"/>
    <mergeCell ref="B2:O3"/>
    <mergeCell ref="C4:I4"/>
    <mergeCell ref="J4:M4"/>
    <mergeCell ref="C5:I5"/>
    <mergeCell ref="J5:M5"/>
    <mergeCell ref="C6:I6"/>
    <mergeCell ref="J6:M6"/>
    <mergeCell ref="C7:I7"/>
    <mergeCell ref="J7:M7"/>
    <mergeCell ref="J8:M8"/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</mergeCells>
  <phoneticPr fontId="6" type="noConversion"/>
  <conditionalFormatting sqref="AF14:AV45">
    <cfRule type="containsErrors" dxfId="13" priority="7">
      <formula>ISERROR(AF14)</formula>
    </cfRule>
  </conditionalFormatting>
  <conditionalFormatting sqref="W13:X13">
    <cfRule type="expression" dxfId="12" priority="6">
      <formula>IF(OR($S$8 = "Assemble Addin", $S$8 = "Bluebeam QL"), TRUE, FALSE)</formula>
    </cfRule>
  </conditionalFormatting>
  <conditionalFormatting sqref="N6:O6">
    <cfRule type="expression" dxfId="11" priority="5">
      <formula>IF($N$6=$O$6, FALSE, TRUE)</formula>
    </cfRule>
  </conditionalFormatting>
  <conditionalFormatting sqref="W14:X21">
    <cfRule type="expression" dxfId="10" priority="3">
      <formula>IF(OR($S$8 = "Assemble Addin", $S$8 = "Bluebeam QL"), TRUE, FALSE)</formula>
    </cfRule>
    <cfRule type="expression" dxfId="9" priority="4">
      <formula>IF(OR($S$8 = "Assemble Addin", $S$8 = "Bluebeam QL"), MOD(ROW(), 2)=0, FALSE)</formula>
    </cfRule>
  </conditionalFormatting>
  <conditionalFormatting sqref="R13">
    <cfRule type="expression" dxfId="8" priority="2">
      <formula>IF($S$8 = "Assemble Addin", TRUE, FALSE)</formula>
    </cfRule>
  </conditionalFormatting>
  <conditionalFormatting sqref="R14:R21">
    <cfRule type="expression" dxfId="7" priority="1">
      <formula>IF($S$8 = "Assemble Addin", MOD(ROW(), 2)=0, FALSE)</formula>
    </cfRule>
  </conditionalFormatting>
  <dataValidations disablePrompts="1" count="2">
    <dataValidation type="list" showInputMessage="1" showErrorMessage="1" sqref="U2:U8" xr:uid="{5E0F70E6-9F56-4B54-B28E-FE32F0BB0B5D}">
      <formula1>"TRUE, FALSE"</formula1>
    </dataValidation>
    <dataValidation type="list" showInputMessage="1" showErrorMessage="1" sqref="S8" xr:uid="{62E77FED-6BE5-495A-8DEC-B8EAAA762708}">
      <formula1>"Manual, Assemble Addin, Bluebeam QL"</formula1>
    </dataValidation>
  </dataValidations>
  <pageMargins left="0.7" right="0.7" top="0.75" bottom="0.75" header="0.3" footer="0.3"/>
  <pageSetup scale="83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" r:id="rId10" name="Button 11">
              <controlPr defaultSize="0" print="0" autoFill="0" autoPict="0" macro="[0]!Automate_MapQuantities">
                <anchor moveWithCells="1" sizeWithCells="1">
                  <from>
                    <xdr:col>27</xdr:col>
                    <xdr:colOff>69850</xdr:colOff>
                    <xdr:row>4</xdr:row>
                    <xdr:rowOff>38100</xdr:rowOff>
                  </from>
                  <to>
                    <xdr:col>27</xdr:col>
                    <xdr:colOff>1028700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A7C718-A30B-4991-AD05-3EB3A27B219C}">
  <sheetPr codeName="Sheet4">
    <pageSetUpPr fitToPage="1"/>
  </sheetPr>
  <dimension ref="B1:AM43"/>
  <sheetViews>
    <sheetView zoomScale="85" zoomScaleNormal="85" workbookViewId="0">
      <selection activeCell="K46" sqref="K46"/>
    </sheetView>
  </sheetViews>
  <sheetFormatPr defaultColWidth="8.7265625" defaultRowHeight="14" x14ac:dyDescent="0.3"/>
  <cols>
    <col min="1" max="1" width="2.54296875" style="69" customWidth="1"/>
    <col min="2" max="2" width="18.26953125" style="69" customWidth="1"/>
    <col min="3" max="3" width="9.1796875" style="69" customWidth="1"/>
    <col min="4" max="8" width="8.7265625" style="69"/>
    <col min="9" max="9" width="14.54296875" style="69" customWidth="1"/>
    <col min="10" max="10" width="9.1796875" style="69" customWidth="1"/>
    <col min="11" max="11" width="8.7265625" style="69"/>
    <col min="12" max="13" width="9.453125" style="69" customWidth="1"/>
    <col min="14" max="15" width="10.54296875" style="69" customWidth="1"/>
    <col min="16" max="17" width="2.54296875" style="69" customWidth="1"/>
    <col min="18" max="18" width="18.453125" style="17" customWidth="1"/>
    <col min="19" max="19" width="24.7265625" style="69" customWidth="1"/>
    <col min="20" max="20" width="22.08984375" style="69" bestFit="1" customWidth="1"/>
    <col min="21" max="21" width="15.54296875" style="69" bestFit="1" customWidth="1"/>
    <col min="22" max="22" width="14.54296875" style="69" customWidth="1"/>
    <col min="23" max="24" width="17.26953125" style="69" customWidth="1"/>
    <col min="25" max="26" width="2.54296875" style="69" customWidth="1"/>
    <col min="27" max="27" width="14.81640625" style="69" customWidth="1"/>
    <col min="28" max="28" width="16.54296875" style="50" customWidth="1"/>
    <col min="29" max="29" width="16" style="69" customWidth="1"/>
    <col min="30" max="30" width="19.26953125" style="69" customWidth="1"/>
    <col min="31" max="31" width="20.26953125" style="69" customWidth="1"/>
    <col min="32" max="32" width="22.1796875" style="69" customWidth="1"/>
    <col min="33" max="16384" width="8.7265625" style="69"/>
  </cols>
  <sheetData>
    <row r="1" spans="2:39" ht="14.5" thickBot="1" x14ac:dyDescent="0.35">
      <c r="AA1" s="78" t="s">
        <v>80</v>
      </c>
      <c r="AB1" s="79"/>
    </row>
    <row r="2" spans="2:39" x14ac:dyDescent="0.3">
      <c r="B2" s="91" t="str">
        <f>_xlfn.CONCAT("PROGRESS REPORT ", TEXT(S3,"mm/dd/yyyy"))</f>
        <v>PROGRESS REPORT 07/01/2020</v>
      </c>
      <c r="C2" s="92"/>
      <c r="D2" s="92"/>
      <c r="E2" s="92"/>
      <c r="F2" s="92"/>
      <c r="G2" s="92"/>
      <c r="H2" s="92"/>
      <c r="I2" s="92"/>
      <c r="J2" s="92"/>
      <c r="K2" s="92"/>
      <c r="L2" s="92"/>
      <c r="M2" s="92"/>
      <c r="N2" s="92"/>
      <c r="O2" s="93"/>
      <c r="R2" s="17" t="s">
        <v>48</v>
      </c>
      <c r="S2" s="18" t="str">
        <f ca="1">MID(CELL("filename",B1),FIND("]",CELL("filename",B1))+1,LEN(CELL("filename",B1))-FIND("]",CELL("filename",B1)))</f>
        <v>0001</v>
      </c>
      <c r="T2" s="17" t="s">
        <v>59</v>
      </c>
      <c r="U2" s="27" t="b">
        <v>1</v>
      </c>
      <c r="V2" s="66">
        <f ca="1">1-N5</f>
        <v>0.47272727272727277</v>
      </c>
      <c r="AA2" s="52"/>
      <c r="AB2" s="53"/>
    </row>
    <row r="3" spans="2:39" x14ac:dyDescent="0.3">
      <c r="B3" s="94"/>
      <c r="C3" s="95"/>
      <c r="D3" s="95"/>
      <c r="E3" s="95"/>
      <c r="F3" s="95"/>
      <c r="G3" s="95"/>
      <c r="H3" s="95"/>
      <c r="I3" s="95"/>
      <c r="J3" s="95"/>
      <c r="K3" s="95"/>
      <c r="L3" s="95"/>
      <c r="M3" s="95"/>
      <c r="N3" s="95"/>
      <c r="O3" s="96"/>
      <c r="R3" s="17" t="s">
        <v>16</v>
      </c>
      <c r="S3" s="20">
        <f>Report_Date</f>
        <v>44013</v>
      </c>
      <c r="T3" s="17" t="s">
        <v>60</v>
      </c>
      <c r="U3" s="27" t="b">
        <v>1</v>
      </c>
      <c r="V3" s="66">
        <f ca="1">1-O5</f>
        <v>0.64444444444444438</v>
      </c>
      <c r="AA3" s="52"/>
      <c r="AB3" s="53"/>
      <c r="AC3" s="60">
        <v>43993.726458333331</v>
      </c>
      <c r="AE3" s="38"/>
      <c r="AF3" s="60"/>
    </row>
    <row r="4" spans="2:39" ht="15" x14ac:dyDescent="0.3">
      <c r="B4" s="21" t="s">
        <v>37</v>
      </c>
      <c r="C4" s="97" t="str">
        <f>Project_Name</f>
        <v>St. George Temple Major Renovation 2019</v>
      </c>
      <c r="D4" s="97"/>
      <c r="E4" s="97"/>
      <c r="F4" s="97"/>
      <c r="G4" s="97"/>
      <c r="H4" s="97"/>
      <c r="I4" s="97"/>
      <c r="J4" s="98" t="s">
        <v>38</v>
      </c>
      <c r="K4" s="98"/>
      <c r="L4" s="98"/>
      <c r="M4" s="98"/>
      <c r="N4" s="22" t="s">
        <v>39</v>
      </c>
      <c r="O4" s="23" t="s">
        <v>40</v>
      </c>
      <c r="R4" s="17" t="s">
        <v>49</v>
      </c>
      <c r="S4" s="20">
        <f>MIN(Input_0001[Start Date])+(7-WEEKDAY(MIN(Input_0001[Start Date]),2)+_xlfn.SWITCH(Reporting_Day, "Sunday", 7, "Monday", 1, "Tuesday", 2, "Wednesday", 3, "Thursday", 4, "Friday", 5, "Saturday", 6))</f>
        <v>43908</v>
      </c>
      <c r="T4" s="17" t="s">
        <v>61</v>
      </c>
      <c r="U4" s="27" t="b">
        <v>1</v>
      </c>
      <c r="AA4" s="52"/>
      <c r="AB4" s="53"/>
      <c r="AC4" s="60">
        <v>43993.726909722223</v>
      </c>
      <c r="AE4" s="38"/>
      <c r="AF4" s="60"/>
    </row>
    <row r="5" spans="2:39" ht="15" x14ac:dyDescent="0.3">
      <c r="B5" s="21" t="s">
        <v>41</v>
      </c>
      <c r="C5" s="97" t="str">
        <f>Project_Number</f>
        <v>S590</v>
      </c>
      <c r="D5" s="97"/>
      <c r="E5" s="97"/>
      <c r="F5" s="97"/>
      <c r="G5" s="97"/>
      <c r="H5" s="97"/>
      <c r="I5" s="97"/>
      <c r="J5" s="90" t="s">
        <v>42</v>
      </c>
      <c r="K5" s="90"/>
      <c r="L5" s="90"/>
      <c r="M5" s="90"/>
      <c r="N5" s="25">
        <f ca="1">IF(ISERROR(N7/N6), 0, N7/N6)</f>
        <v>0.52727272727272723</v>
      </c>
      <c r="O5" s="26">
        <f ca="1">IF(ISERROR(O7/O6), 0, O7/O6)</f>
        <v>0.35555555555555568</v>
      </c>
      <c r="R5" s="17" t="s">
        <v>79</v>
      </c>
      <c r="S5" s="24">
        <f>MAX(Input_0001[Finish Date])+(7-WEEKDAY(MAX(Input_0001[Finish Date]),2)+_xlfn.SWITCH(Reporting_Day, "Sunday", 7, "Monday", 1, "Tuesday", 2, "Wednesday", 3, "Thursday", 4, "Friday", 5, "Saturday", 6))</f>
        <v>44111</v>
      </c>
      <c r="T5" s="17" t="s">
        <v>62</v>
      </c>
      <c r="U5" s="27" t="b">
        <v>1</v>
      </c>
      <c r="AA5" s="52"/>
      <c r="AB5" s="53"/>
    </row>
    <row r="6" spans="2:39" ht="15" x14ac:dyDescent="0.3">
      <c r="B6" s="21" t="s">
        <v>43</v>
      </c>
      <c r="C6" s="97" t="str">
        <f>Main!C33</f>
        <v>Sample Sub</v>
      </c>
      <c r="D6" s="97"/>
      <c r="E6" s="97"/>
      <c r="F6" s="97"/>
      <c r="G6" s="97"/>
      <c r="H6" s="97"/>
      <c r="I6" s="97"/>
      <c r="J6" s="90" t="str">
        <f>_xlfn.CONCAT("Overall Totals (", IF(ISBLANK($S$6),"",$S$6), ")")</f>
        <v>Overall Totals (SF)</v>
      </c>
      <c r="K6" s="90"/>
      <c r="L6" s="90"/>
      <c r="M6" s="90"/>
      <c r="N6" s="28">
        <f ca="1">SUM(INDIRECT("Input_"&amp;$S$2&amp;"[Total]"))</f>
        <v>9000</v>
      </c>
      <c r="O6" s="29">
        <f ca="1">SUM(INDIRECT("Output_"&amp;$S$2&amp;"[Weekly Plan]"))</f>
        <v>8999.9999999999964</v>
      </c>
      <c r="R6" s="17" t="s">
        <v>51</v>
      </c>
      <c r="S6" s="19" t="s">
        <v>52</v>
      </c>
      <c r="T6" s="17" t="s">
        <v>63</v>
      </c>
      <c r="U6" s="27" t="b">
        <v>1</v>
      </c>
      <c r="AA6" s="52"/>
      <c r="AB6" s="53"/>
    </row>
    <row r="7" spans="2:39" ht="15.5" thickBot="1" x14ac:dyDescent="0.35">
      <c r="B7" s="21" t="s">
        <v>44</v>
      </c>
      <c r="C7" s="97" t="str">
        <f>RIGHT(Main!B33, LEN(Main!B33) - 4)</f>
        <v>Sample</v>
      </c>
      <c r="D7" s="97"/>
      <c r="E7" s="97"/>
      <c r="F7" s="97"/>
      <c r="G7" s="97"/>
      <c r="H7" s="97"/>
      <c r="I7" s="97"/>
      <c r="J7" s="90" t="str">
        <f>_xlfn.CONCAT("Overall Completed Totals (", IF(ISBLANK($S$6),"",$S$6), ")")</f>
        <v>Overall Completed Totals (SF)</v>
      </c>
      <c r="K7" s="90"/>
      <c r="L7" s="90"/>
      <c r="M7" s="90"/>
      <c r="N7" s="28">
        <f ca="1">VLOOKUP($S$3, INDIRECT("Output_"&amp;$S$2), 5, FALSE)</f>
        <v>4745.454545454545</v>
      </c>
      <c r="O7" s="29">
        <f ca="1">_xlfn.IFNA(VLOOKUP($S$3, INDIRECT("Output_"&amp;$S$2), 6, FALSE), 0)</f>
        <v>3200</v>
      </c>
      <c r="R7" s="17" t="s">
        <v>66</v>
      </c>
      <c r="S7" s="24">
        <f>Schedule_Run_Date</f>
        <v>44652</v>
      </c>
      <c r="T7" s="17" t="s">
        <v>64</v>
      </c>
      <c r="U7" s="27" t="b">
        <v>0</v>
      </c>
      <c r="AA7" s="54"/>
      <c r="AB7" s="55"/>
      <c r="AC7" s="69" t="str">
        <f>TEXT(AC4-AC3, "hh:mm:ss")</f>
        <v>00:00:39</v>
      </c>
    </row>
    <row r="8" spans="2:39" ht="15" x14ac:dyDescent="0.3">
      <c r="B8" s="30"/>
      <c r="C8" s="68"/>
      <c r="D8" s="68"/>
      <c r="E8" s="68"/>
      <c r="F8" s="68"/>
      <c r="G8" s="68"/>
      <c r="H8" s="68"/>
      <c r="I8" s="68"/>
      <c r="J8" s="90" t="str">
        <f>_xlfn.CONCAT("This Week's Production (", IF(ISBLANK($S$6),"",$S$6), ")")</f>
        <v>This Week's Production (SF)</v>
      </c>
      <c r="K8" s="90"/>
      <c r="L8" s="90"/>
      <c r="M8" s="90"/>
      <c r="N8" s="28">
        <f ca="1">VLOOKUP($S$3, INDIRECT("Output_"&amp;$S$2), 3, FALSE)</f>
        <v>272.72727272727275</v>
      </c>
      <c r="O8" s="29">
        <f ca="1">VLOOKUP($S$3, INDIRECT("Output_"&amp;$S$2), 4, FALSE)</f>
        <v>50</v>
      </c>
      <c r="R8" s="17" t="s">
        <v>50</v>
      </c>
      <c r="S8" s="19" t="s">
        <v>155</v>
      </c>
      <c r="T8" s="17" t="s">
        <v>65</v>
      </c>
      <c r="U8" s="27" t="b">
        <v>0</v>
      </c>
    </row>
    <row r="9" spans="2:39" ht="15" x14ac:dyDescent="0.3">
      <c r="B9" s="30"/>
      <c r="C9" s="68"/>
      <c r="D9" s="68"/>
      <c r="E9" s="68"/>
      <c r="F9" s="68"/>
      <c r="G9" s="68"/>
      <c r="H9" s="68"/>
      <c r="I9" s="68"/>
      <c r="J9" s="90" t="str">
        <f>_xlfn.CONCAT("Weekly Average (", IF(ISBLANK($S$6),"",$S$6), ")")</f>
        <v>Weekly Average (SF)</v>
      </c>
      <c r="K9" s="90"/>
      <c r="L9" s="90"/>
      <c r="M9" s="90"/>
      <c r="N9" s="32">
        <f ca="1">AVERAGE(INDIRECT("Output_"&amp;$S$2&amp;"[Weekly Plan]"))</f>
        <v>299.99999999999989</v>
      </c>
      <c r="O9" s="33">
        <f ca="1">AVERAGE(INDIRECT("AD14:AD" &amp;MATCH($S$3,INDIRECT("Output_"&amp;$S$2&amp;"[Date]"),0)+14))</f>
        <v>200</v>
      </c>
      <c r="R9" s="17" t="s">
        <v>158</v>
      </c>
      <c r="S9" s="20">
        <v>44013</v>
      </c>
      <c r="T9" s="17" t="s">
        <v>114</v>
      </c>
      <c r="U9" s="84" t="s">
        <v>116</v>
      </c>
      <c r="V9" s="84"/>
      <c r="W9" s="84"/>
      <c r="X9" s="84"/>
      <c r="AB9" s="63"/>
    </row>
    <row r="10" spans="2:39" ht="15" x14ac:dyDescent="0.3">
      <c r="B10" s="30"/>
      <c r="C10" s="68"/>
      <c r="D10" s="68"/>
      <c r="E10" s="68"/>
      <c r="F10" s="68"/>
      <c r="G10" s="68"/>
      <c r="H10" s="68"/>
      <c r="I10" s="68"/>
      <c r="J10" s="90" t="str">
        <f>_xlfn.CONCAT("Average Past 4 Weeks (", IF(ISBLANK($S$6),"",$S$6), ")")</f>
        <v>Average Past 4 Weeks (SF)</v>
      </c>
      <c r="K10" s="90"/>
      <c r="L10" s="90"/>
      <c r="M10" s="90"/>
      <c r="N10" s="32">
        <f ca="1">(IF(ISNUMBER(VLOOKUP($S$3, INDIRECT("Output_"&amp;$S$2), 3, FALSE)), VLOOKUP($S$3, INDIRECT("Output_"&amp;$S$2), 3, FALSE), 0)+IF(ISNUMBER(VLOOKUP($S$3-7, INDIRECT("Output_"&amp;$S$2), 3, FALSE)), VLOOKUP($S$3-7, INDIRECT("Output_"&amp;$S$2), 3, FALSE), 0)+IF(ISNUMBER(VLOOKUP($S$3-14, INDIRECT("Output_"&amp;$S$2), 3, FALSE)), VLOOKUP($S$3-14, INDIRECT("Output_"&amp;$S$2), 3, FALSE), 0)+IF(ISNUMBER(VLOOKUP($S$3-21, INDIRECT("Output_"&amp;$S$2), 3, FALSE)), VLOOKUP($S$3-21, INDIRECT("Output_"&amp;$S$2), 3, FALSE), 0))/(IF(ISNUMBER(VLOOKUP($S$3, INDIRECT("Output_"&amp;$S$2), 3, FALSE)), 1, 0)+IF(ISNUMBER(VLOOKUP($S$3-7, INDIRECT("Output_"&amp;$S$2), 3, FALSE)), 1, 0)+IF(ISNUMBER(VLOOKUP($S$3-14, INDIRECT("Output_"&amp;$S$2), 3, FALSE)), 1, 0)+IF(ISNUMBER(VLOOKUP($S$3-21, INDIRECT("Output_"&amp;$S$2), 3, FALSE)), 1, 0))</f>
        <v>272.72727272727275</v>
      </c>
      <c r="O10" s="33">
        <f ca="1">(IF(ISNUMBER(VLOOKUP($S$3, INDIRECT("Output_"&amp;$S$2), 4, FALSE)), VLOOKUP($S$3, INDIRECT("Output_"&amp;$S$2), 4, FALSE), 0)+IF(ISNUMBER(VLOOKUP($S$3-7, INDIRECT("Output_"&amp;$S$2), 4, FALSE)), VLOOKUP($S$3-7, INDIRECT("Output_"&amp;$S$2), 4, FALSE), 0)+IF(ISNUMBER(VLOOKUP($S$3-14, INDIRECT("Output_"&amp;$S$2), 4, FALSE)), VLOOKUP($S$3-14, INDIRECT("Output_"&amp;$S$2), 4, FALSE), 0)+IF(ISNUMBER(VLOOKUP($S$3-21, INDIRECT("Output_"&amp;$S$2), 4, FALSE)), VLOOKUP($S$3-21, INDIRECT("Output_"&amp;$S$2), 4, FALSE), 0))/(IF(ISNUMBER(VLOOKUP($S$3, INDIRECT("Output_"&amp;$S$2), 4, FALSE)), 1, 0)+IF(ISNUMBER(VLOOKUP($S$3-7, INDIRECT("Output_"&amp;$S$2), 4, FALSE)), 1, 0)+IF(ISNUMBER(VLOOKUP($S$3-14, INDIRECT("Output_"&amp;$S$2), 4, FALSE)), 1, 0)+IF(ISNUMBER(VLOOKUP($S$3-21, INDIRECT("Output_"&amp;$S$2), 4, FALSE)), 1, 0))</f>
        <v>12.5</v>
      </c>
      <c r="T10" s="17" t="s">
        <v>115</v>
      </c>
      <c r="U10" s="85" t="s">
        <v>156</v>
      </c>
      <c r="V10" s="85"/>
      <c r="W10" s="85"/>
      <c r="X10" s="85"/>
      <c r="AB10" s="62"/>
      <c r="AC10" s="61"/>
      <c r="AD10" s="59"/>
    </row>
    <row r="11" spans="2:39" ht="15" x14ac:dyDescent="0.3">
      <c r="B11" s="30"/>
      <c r="C11" s="68"/>
      <c r="D11" s="68"/>
      <c r="E11" s="68"/>
      <c r="F11" s="68"/>
      <c r="G11" s="68"/>
      <c r="H11" s="68"/>
      <c r="I11" s="68"/>
      <c r="J11" s="90" t="str">
        <f>_xlfn.CONCAT("On Schedule Average (", IF(ISBLANK($S$6),"",$S$6), ")")</f>
        <v>On Schedule Average (SF)</v>
      </c>
      <c r="K11" s="90"/>
      <c r="L11" s="90"/>
      <c r="M11" s="90"/>
      <c r="N11" s="32">
        <f ca="1">IF($S$3&lt;MAX(Input_0001[Finish Date])+(7-WEEKDAY(MAX(Input_0001[Finish Date]),2)+_xlfn.SWITCH(Reporting_Day, "Sunday", 7, "Monday", 1, "Tuesday", 2, "Wednesday", 3, "Thursday", 4, "Friday", 5, "Saturday", 6)),AVERAGE(INDIRECT("AC"&amp;MATCH($S$3, Output_0001[Date],0)+13&amp;":AC"&amp;ROW(Output_0001[Weekly Plan])-1+ROWS(Output_0001[Weekly Plan]))), "-")</f>
        <v>301.81818181818176</v>
      </c>
      <c r="O11" s="33">
        <f ca="1">IF($O$5&gt;0.998, "-", (SUM(Input_0001[Total])-INDIRECT("AF"&amp;MATCH($S$3, Output_0001[Date],0)+13))/(ROW(Output_0001[Weekly Plan])-1+ROWS(Output_0001[Weekly Plan])-(MATCH($S$3, Output_0001[Date],0)+13)))</f>
        <v>414.28571428571428</v>
      </c>
      <c r="U11" s="85"/>
      <c r="V11" s="85"/>
      <c r="W11" s="85"/>
      <c r="X11" s="85"/>
      <c r="AC11" s="59"/>
      <c r="AD11" s="59"/>
    </row>
    <row r="12" spans="2:39" ht="15" x14ac:dyDescent="0.3">
      <c r="B12" s="30"/>
      <c r="C12" s="68"/>
      <c r="D12" s="68"/>
      <c r="E12" s="68"/>
      <c r="F12" s="68"/>
      <c r="G12" s="68"/>
      <c r="H12" s="68"/>
      <c r="I12" s="68"/>
      <c r="J12" s="80" t="s">
        <v>45</v>
      </c>
      <c r="K12" s="80"/>
      <c r="L12" s="80"/>
      <c r="M12" s="80"/>
      <c r="N12" s="81">
        <f ca="1">MAX(INDIRECT("Input_"&amp;$S$2&amp;"[Finish Date]"))</f>
        <v>44105</v>
      </c>
      <c r="O12" s="82"/>
    </row>
    <row r="13" spans="2:39" ht="15.5" x14ac:dyDescent="0.35">
      <c r="B13" s="30"/>
      <c r="C13" s="68"/>
      <c r="D13" s="68"/>
      <c r="E13" s="68"/>
      <c r="F13" s="68"/>
      <c r="G13" s="68"/>
      <c r="H13" s="68"/>
      <c r="I13" s="68"/>
      <c r="J13" s="80" t="s">
        <v>46</v>
      </c>
      <c r="K13" s="80"/>
      <c r="L13" s="80"/>
      <c r="M13" s="80"/>
      <c r="N13" s="81">
        <f ca="1">IF(O10=0,"",IF($O$5&gt;0.999, "Completed", WORKDAY($S$3, ROUNDUP((SUM(Input_0001[Total])-(INDIRECT("AF"&amp;MATCH($S$3, Output_0001[Date],0)+13)))/($O$10/COUNTIF($U$2:$U$8, TRUE)),0), Holidays_Table[Holidays])))</f>
        <v>47263</v>
      </c>
      <c r="O13" s="83"/>
      <c r="R13" s="34" t="s">
        <v>53</v>
      </c>
      <c r="S13" s="34" t="s">
        <v>38</v>
      </c>
      <c r="T13" s="34" t="s">
        <v>54</v>
      </c>
      <c r="U13" s="34" t="s">
        <v>55</v>
      </c>
      <c r="V13" s="34" t="s">
        <v>56</v>
      </c>
      <c r="W13" s="34" t="s">
        <v>57</v>
      </c>
      <c r="X13" s="34" t="s">
        <v>58</v>
      </c>
      <c r="AA13" t="s">
        <v>67</v>
      </c>
      <c r="AB13" s="49" t="s">
        <v>72</v>
      </c>
      <c r="AC13" t="s">
        <v>68</v>
      </c>
      <c r="AD13" t="s">
        <v>69</v>
      </c>
      <c r="AE13" t="s">
        <v>70</v>
      </c>
      <c r="AF13" t="s">
        <v>71</v>
      </c>
      <c r="AG13" s="56" t="s">
        <v>81</v>
      </c>
      <c r="AH13" s="56" t="s">
        <v>83</v>
      </c>
      <c r="AI13" s="56" t="s">
        <v>82</v>
      </c>
      <c r="AJ13" s="56" t="s">
        <v>84</v>
      </c>
      <c r="AK13" s="56" t="s">
        <v>85</v>
      </c>
      <c r="AL13" s="56" t="s">
        <v>86</v>
      </c>
      <c r="AM13" s="48"/>
    </row>
    <row r="14" spans="2:39" ht="15.5" x14ac:dyDescent="0.35">
      <c r="B14" s="30"/>
      <c r="C14" s="68"/>
      <c r="D14" s="68"/>
      <c r="E14" s="68"/>
      <c r="F14" s="68"/>
      <c r="G14" s="68"/>
      <c r="H14" s="68"/>
      <c r="I14" s="68"/>
      <c r="J14" s="35"/>
      <c r="K14" s="35"/>
      <c r="L14" s="86" t="str">
        <f>_xlfn.CONCAT("Values were calculated using the attached takeoff sheets and Westland's project schedule with a run date of ", TEXT($S$7, "mm/dd/yyyy"), ".")</f>
        <v>Values were calculated using the attached takeoff sheets and Westland's project schedule with a run date of 04/01/2022.</v>
      </c>
      <c r="M14" s="86"/>
      <c r="N14" s="86"/>
      <c r="O14" s="87"/>
      <c r="R14" s="36" t="s">
        <v>76</v>
      </c>
      <c r="S14" s="37"/>
      <c r="T14" s="37" t="s">
        <v>73</v>
      </c>
      <c r="U14" s="38">
        <v>43905</v>
      </c>
      <c r="V14" s="38">
        <v>43952</v>
      </c>
      <c r="W14" s="69">
        <v>3000</v>
      </c>
      <c r="X14" s="69">
        <v>2600</v>
      </c>
      <c r="AA14" s="47">
        <f t="shared" ref="AA14:AA43" si="0">IF(AA13 = "Date", $S$4, AA13+7)</f>
        <v>43908</v>
      </c>
      <c r="AB14" s="49" t="str">
        <f t="shared" ref="AB14:AB43" ca="1" si="1">PrimaryAreas(3)</f>
        <v>A1</v>
      </c>
      <c r="AC14" s="51">
        <f ca="1">IF(Output_0001[[#This Row],[WP_A1]]="", 0, Output_0001[[#This Row],[WP_A1]])+IF(Output_0001[[#This Row],[WP_A2]]="", 0, Output_0001[[#This Row],[WP_A2]])+IF(Output_0001[[#This Row],[WP_A3]]="", 0, Output_0001[[#This Row],[WP_A3]])</f>
        <v>171.42857142857142</v>
      </c>
      <c r="AD14" s="51">
        <f>IF(AND(ISBLANK(Output_0001[[#This Row],[WA_A1]]),ISBLANK(Output_0001[[#This Row],[WA_A2]]),ISBLANK(Output_0001[[#This Row],[WA_A3]])),"", Output_0001[[#This Row],[WA_A1]]+Output_0001[[#This Row],[WA_A2]]+Output_0001[[#This Row],[WA_A3]])</f>
        <v>300</v>
      </c>
      <c r="AE14" s="51">
        <f ca="1">SUM($AC$14:AC14)</f>
        <v>171.42857142857142</v>
      </c>
      <c r="AF14" s="51">
        <f>IF(AD14="",NA(),SUM($AD$14:AD14))</f>
        <v>300</v>
      </c>
      <c r="AG14" s="51">
        <f ca="1">WeeklyPlanned(Output_0001[[#Headers],[WP_A1]], Output_0001[[#This Row],[Date]])</f>
        <v>171.42857142857142</v>
      </c>
      <c r="AH14" s="51">
        <v>300</v>
      </c>
      <c r="AI14" s="51" t="str">
        <f ca="1">WeeklyPlanned(Output_0001[[#Headers],[WP_A2]], Output_0001[[#This Row],[Date]])</f>
        <v/>
      </c>
      <c r="AJ14" s="51"/>
      <c r="AK14" s="51" t="str">
        <f ca="1">WeeklyPlanned(Output_0001[[#Headers],[WP_A3]], Output_0001[[#This Row],[Date]])</f>
        <v/>
      </c>
      <c r="AL14" s="51"/>
    </row>
    <row r="15" spans="2:39" ht="16" thickBot="1" x14ac:dyDescent="0.4">
      <c r="B15" s="30"/>
      <c r="C15" s="68"/>
      <c r="D15" s="68"/>
      <c r="E15" s="68"/>
      <c r="F15" s="68"/>
      <c r="G15" s="68"/>
      <c r="H15" s="68"/>
      <c r="I15" s="68"/>
      <c r="J15" s="39"/>
      <c r="K15" s="39"/>
      <c r="L15" s="88"/>
      <c r="M15" s="88"/>
      <c r="N15" s="88"/>
      <c r="O15" s="89"/>
      <c r="R15" s="36" t="s">
        <v>77</v>
      </c>
      <c r="S15" s="37"/>
      <c r="T15" s="37" t="s">
        <v>74</v>
      </c>
      <c r="U15" s="38">
        <v>43966</v>
      </c>
      <c r="V15" s="38">
        <v>44044</v>
      </c>
      <c r="W15" s="69">
        <v>3000</v>
      </c>
      <c r="X15" s="69">
        <v>600</v>
      </c>
      <c r="AA15" s="47">
        <f t="shared" si="0"/>
        <v>43915</v>
      </c>
      <c r="AB15" s="49" t="str">
        <f t="shared" ca="1" si="1"/>
        <v>A1</v>
      </c>
      <c r="AC15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5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5" s="51">
        <f ca="1">SUM($AC$14:AC15)</f>
        <v>600</v>
      </c>
      <c r="AF15" s="51">
        <f>IF(AD15="",NA(),SUM($AD$14:AD15))</f>
        <v>550</v>
      </c>
      <c r="AG15" s="51">
        <f ca="1">WeeklyPlanned(Output_0001[[#Headers],[WP_A1]], Output_0001[[#This Row],[Date]])</f>
        <v>428.57142857142856</v>
      </c>
      <c r="AH15" s="51">
        <v>250</v>
      </c>
      <c r="AI15" s="51" t="str">
        <f ca="1">WeeklyPlanned(Output_0001[[#Headers],[WP_A2]], Output_0001[[#This Row],[Date]])</f>
        <v/>
      </c>
      <c r="AJ15" s="51"/>
      <c r="AK15" s="51" t="str">
        <f ca="1">WeeklyPlanned(Output_0001[[#Headers],[WP_A3]], Output_0001[[#This Row],[Date]])</f>
        <v/>
      </c>
      <c r="AL15" s="51"/>
    </row>
    <row r="16" spans="2:39" ht="15.5" x14ac:dyDescent="0.35">
      <c r="B16" s="40"/>
      <c r="C16" s="41"/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2"/>
      <c r="R16" s="36" t="s">
        <v>78</v>
      </c>
      <c r="S16" s="37"/>
      <c r="T16" s="37" t="s">
        <v>75</v>
      </c>
      <c r="U16" s="38">
        <v>44027</v>
      </c>
      <c r="V16" s="38">
        <v>44105</v>
      </c>
      <c r="W16" s="69">
        <v>3000</v>
      </c>
      <c r="AA16" s="47">
        <f t="shared" si="0"/>
        <v>43922</v>
      </c>
      <c r="AB16" s="49" t="str">
        <f t="shared" ca="1" si="1"/>
        <v>A1</v>
      </c>
      <c r="AC16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6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6" s="51">
        <f ca="1">SUM($AC$14:AC16)</f>
        <v>1028.5714285714284</v>
      </c>
      <c r="AF16" s="51">
        <f>IF(AD16="",NA(),SUM($AD$14:AD16))</f>
        <v>800</v>
      </c>
      <c r="AG16" s="51">
        <f ca="1">WeeklyPlanned(Output_0001[[#Headers],[WP_A1]], Output_0001[[#This Row],[Date]])</f>
        <v>428.57142857142856</v>
      </c>
      <c r="AH16" s="51">
        <v>250</v>
      </c>
      <c r="AI16" s="51" t="str">
        <f ca="1">WeeklyPlanned(Output_0001[[#Headers],[WP_A2]], Output_0001[[#This Row],[Date]])</f>
        <v/>
      </c>
      <c r="AJ16" s="51"/>
      <c r="AK16" s="51" t="str">
        <f ca="1">WeeklyPlanned(Output_0001[[#Headers],[WP_A3]], Output_0001[[#This Row],[Date]])</f>
        <v/>
      </c>
      <c r="AL16" s="51"/>
    </row>
    <row r="17" spans="2:38" ht="15.5" x14ac:dyDescent="0.35">
      <c r="B17" s="30"/>
      <c r="C17" s="68"/>
      <c r="D17" s="68"/>
      <c r="E17" s="68"/>
      <c r="F17" s="68"/>
      <c r="G17" s="68"/>
      <c r="H17" s="68"/>
      <c r="I17" s="68"/>
      <c r="J17" s="68"/>
      <c r="K17" s="68"/>
      <c r="L17" s="68"/>
      <c r="M17" s="68"/>
      <c r="N17" s="68"/>
      <c r="O17" s="43"/>
      <c r="R17" s="36"/>
      <c r="S17" s="37"/>
      <c r="T17" s="37"/>
      <c r="U17" s="38"/>
      <c r="V17" s="38"/>
      <c r="AA17" s="47">
        <f t="shared" si="0"/>
        <v>43929</v>
      </c>
      <c r="AB17" s="49" t="str">
        <f t="shared" ca="1" si="1"/>
        <v>A1</v>
      </c>
      <c r="AC17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7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7" s="51">
        <f ca="1">SUM($AC$14:AC17)</f>
        <v>1457.1428571428569</v>
      </c>
      <c r="AF17" s="51">
        <f>IF(AD17="",NA(),SUM($AD$14:AD17))</f>
        <v>1050</v>
      </c>
      <c r="AG17" s="51">
        <f ca="1">WeeklyPlanned(Output_0001[[#Headers],[WP_A1]], Output_0001[[#This Row],[Date]])</f>
        <v>428.57142857142856</v>
      </c>
      <c r="AH17" s="51">
        <v>250</v>
      </c>
      <c r="AI17" s="51" t="str">
        <f ca="1">WeeklyPlanned(Output_0001[[#Headers],[WP_A2]], Output_0001[[#This Row],[Date]])</f>
        <v/>
      </c>
      <c r="AJ17" s="51"/>
      <c r="AK17" s="51" t="str">
        <f ca="1">WeeklyPlanned(Output_0001[[#Headers],[WP_A3]], Output_0001[[#This Row],[Date]])</f>
        <v/>
      </c>
      <c r="AL17" s="51"/>
    </row>
    <row r="18" spans="2:38" ht="15.5" x14ac:dyDescent="0.35">
      <c r="B18" s="30"/>
      <c r="C18" s="68"/>
      <c r="D18" s="68"/>
      <c r="E18" s="68"/>
      <c r="F18" s="68"/>
      <c r="G18" s="68"/>
      <c r="H18" s="68"/>
      <c r="I18" s="68"/>
      <c r="J18" s="68"/>
      <c r="K18" s="68"/>
      <c r="L18" s="68"/>
      <c r="M18" s="68"/>
      <c r="N18" s="68"/>
      <c r="O18" s="43"/>
      <c r="R18" s="36"/>
      <c r="S18" s="37"/>
      <c r="T18" s="37"/>
      <c r="U18" s="38"/>
      <c r="V18" s="38"/>
      <c r="AA18" s="47">
        <f t="shared" si="0"/>
        <v>43936</v>
      </c>
      <c r="AB18" s="49" t="str">
        <f t="shared" ca="1" si="1"/>
        <v>A1</v>
      </c>
      <c r="AC18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8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8" s="51">
        <f ca="1">SUM($AC$14:AC18)</f>
        <v>1885.7142857142853</v>
      </c>
      <c r="AF18" s="51">
        <f>IF(AD18="",NA(),SUM($AD$14:AD18))</f>
        <v>1300</v>
      </c>
      <c r="AG18" s="51">
        <f ca="1">WeeklyPlanned(Output_0001[[#Headers],[WP_A1]], Output_0001[[#This Row],[Date]])</f>
        <v>428.57142857142856</v>
      </c>
      <c r="AH18" s="51">
        <v>250</v>
      </c>
      <c r="AI18" s="51" t="str">
        <f ca="1">WeeklyPlanned(Output_0001[[#Headers],[WP_A2]], Output_0001[[#This Row],[Date]])</f>
        <v/>
      </c>
      <c r="AJ18" s="51"/>
      <c r="AK18" s="51" t="str">
        <f ca="1">WeeklyPlanned(Output_0001[[#Headers],[WP_A3]], Output_0001[[#This Row],[Date]])</f>
        <v/>
      </c>
      <c r="AL18" s="51"/>
    </row>
    <row r="19" spans="2:38" ht="15.5" x14ac:dyDescent="0.35">
      <c r="B19" s="30"/>
      <c r="C19" s="68"/>
      <c r="D19" s="68"/>
      <c r="E19" s="68"/>
      <c r="F19" s="68"/>
      <c r="G19" s="68"/>
      <c r="H19" s="68"/>
      <c r="I19" s="68"/>
      <c r="J19" s="68"/>
      <c r="K19" s="68"/>
      <c r="L19" s="68"/>
      <c r="M19" s="68"/>
      <c r="N19" s="68"/>
      <c r="O19" s="43"/>
      <c r="AA19" s="47">
        <f t="shared" si="0"/>
        <v>43943</v>
      </c>
      <c r="AB19" s="49" t="str">
        <f t="shared" ca="1" si="1"/>
        <v>A1</v>
      </c>
      <c r="AC19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19" s="51">
        <f>IF(AND(ISBLANK(Output_0001[[#This Row],[WA_A1]]),ISBLANK(Output_0001[[#This Row],[WA_A2]]),ISBLANK(Output_0001[[#This Row],[WA_A3]])),"", Output_0001[[#This Row],[WA_A1]]+Output_0001[[#This Row],[WA_A2]]+Output_0001[[#This Row],[WA_A3]])</f>
        <v>250</v>
      </c>
      <c r="AE19" s="51">
        <f ca="1">SUM($AC$14:AC19)</f>
        <v>2314.2857142857138</v>
      </c>
      <c r="AF19" s="51">
        <f>IF(AD19="",NA(),SUM($AD$14:AD19))</f>
        <v>1550</v>
      </c>
      <c r="AG19" s="51">
        <f ca="1">WeeklyPlanned(Output_0001[[#Headers],[WP_A1]], Output_0001[[#This Row],[Date]])</f>
        <v>428.57142857142856</v>
      </c>
      <c r="AH19" s="51">
        <v>250</v>
      </c>
      <c r="AI19" s="51" t="str">
        <f ca="1">WeeklyPlanned(Output_0001[[#Headers],[WP_A2]], Output_0001[[#This Row],[Date]])</f>
        <v/>
      </c>
      <c r="AJ19" s="51"/>
      <c r="AK19" s="51" t="str">
        <f ca="1">WeeklyPlanned(Output_0001[[#Headers],[WP_A3]], Output_0001[[#This Row],[Date]])</f>
        <v/>
      </c>
      <c r="AL19" s="51"/>
    </row>
    <row r="20" spans="2:38" ht="15.5" x14ac:dyDescent="0.35">
      <c r="B20" s="30"/>
      <c r="C20" s="68"/>
      <c r="D20" s="68"/>
      <c r="E20" s="68"/>
      <c r="F20" s="68"/>
      <c r="G20" s="68"/>
      <c r="H20" s="68"/>
      <c r="I20" s="68"/>
      <c r="J20" s="68"/>
      <c r="K20" s="68"/>
      <c r="L20" s="68"/>
      <c r="M20" s="68"/>
      <c r="N20" s="68"/>
      <c r="O20" s="43"/>
      <c r="AA20" s="47">
        <f t="shared" si="0"/>
        <v>43950</v>
      </c>
      <c r="AB20" s="49" t="str">
        <f t="shared" ca="1" si="1"/>
        <v>A1</v>
      </c>
      <c r="AC20" s="51">
        <f ca="1">IF(Output_0001[[#This Row],[WP_A1]]="", 0, Output_0001[[#This Row],[WP_A1]])+IF(Output_0001[[#This Row],[WP_A2]]="", 0, Output_0001[[#This Row],[WP_A2]])+IF(Output_0001[[#This Row],[WP_A3]]="", 0, Output_0001[[#This Row],[WP_A3]])</f>
        <v>428.57142857142856</v>
      </c>
      <c r="AD20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0" s="51">
        <f ca="1">SUM($AC$14:AC20)</f>
        <v>2742.8571428571422</v>
      </c>
      <c r="AF20" s="51">
        <f>IF(AD20="",NA(),SUM($AD$14:AD20))</f>
        <v>1925</v>
      </c>
      <c r="AG20" s="51">
        <f ca="1">WeeklyPlanned(Output_0001[[#Headers],[WP_A1]], Output_0001[[#This Row],[Date]])</f>
        <v>428.57142857142856</v>
      </c>
      <c r="AH20" s="51">
        <v>250</v>
      </c>
      <c r="AI20" s="51" t="str">
        <f ca="1">WeeklyPlanned(Output_0001[[#Headers],[WP_A2]], Output_0001[[#This Row],[Date]])</f>
        <v/>
      </c>
      <c r="AJ20" s="51">
        <v>125</v>
      </c>
      <c r="AK20" s="51" t="str">
        <f ca="1">WeeklyPlanned(Output_0001[[#Headers],[WP_A3]], Output_0001[[#This Row],[Date]])</f>
        <v/>
      </c>
      <c r="AL20" s="51"/>
    </row>
    <row r="21" spans="2:38" ht="15.5" x14ac:dyDescent="0.35">
      <c r="B21" s="30"/>
      <c r="C21" s="68"/>
      <c r="D21" s="68"/>
      <c r="E21" s="68"/>
      <c r="F21" s="68"/>
      <c r="G21" s="68"/>
      <c r="H21" s="68"/>
      <c r="I21" s="68"/>
      <c r="J21" s="68"/>
      <c r="K21" s="68"/>
      <c r="L21" s="68"/>
      <c r="M21" s="68"/>
      <c r="N21" s="68"/>
      <c r="O21" s="43"/>
      <c r="AA21" s="47">
        <f t="shared" si="0"/>
        <v>43957</v>
      </c>
      <c r="AB21" s="49" t="str">
        <f t="shared" ca="1" si="1"/>
        <v>A1</v>
      </c>
      <c r="AC21" s="51">
        <f ca="1">IF(Output_0001[[#This Row],[WP_A1]]="", 0, Output_0001[[#This Row],[WP_A1]])+IF(Output_0001[[#This Row],[WP_A2]]="", 0, Output_0001[[#This Row],[WP_A2]])+IF(Output_0001[[#This Row],[WP_A3]]="", 0, Output_0001[[#This Row],[WP_A3]])</f>
        <v>257.14285714285711</v>
      </c>
      <c r="AD21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1" s="51">
        <f ca="1">SUM($AC$14:AC21)</f>
        <v>2999.9999999999991</v>
      </c>
      <c r="AF21" s="51">
        <f>IF(AD21="",NA(),SUM($AD$14:AD21))</f>
        <v>2300</v>
      </c>
      <c r="AG21" s="51">
        <f ca="1">WeeklyPlanned(Output_0001[[#Headers],[WP_A1]], Output_0001[[#This Row],[Date]])</f>
        <v>257.14285714285711</v>
      </c>
      <c r="AH21" s="51">
        <v>250</v>
      </c>
      <c r="AI21" s="51" t="str">
        <f ca="1">WeeklyPlanned(Output_0001[[#Headers],[WP_A2]], Output_0001[[#This Row],[Date]])</f>
        <v/>
      </c>
      <c r="AJ21" s="51">
        <v>125</v>
      </c>
      <c r="AK21" s="51" t="str">
        <f ca="1">WeeklyPlanned(Output_0001[[#Headers],[WP_A3]], Output_0001[[#This Row],[Date]])</f>
        <v/>
      </c>
      <c r="AL21" s="51"/>
    </row>
    <row r="22" spans="2:38" ht="15.5" x14ac:dyDescent="0.35">
      <c r="B22" s="30"/>
      <c r="C22" s="68"/>
      <c r="D22" s="68"/>
      <c r="E22" s="68"/>
      <c r="F22" s="68"/>
      <c r="G22" s="68"/>
      <c r="H22" s="68"/>
      <c r="I22" s="68"/>
      <c r="J22" s="68"/>
      <c r="K22" s="68"/>
      <c r="L22" s="68"/>
      <c r="M22" s="68"/>
      <c r="N22" s="68"/>
      <c r="O22" s="43"/>
      <c r="AA22" s="47">
        <f t="shared" si="0"/>
        <v>43964</v>
      </c>
      <c r="AB22" s="49">
        <f t="shared" ca="1" si="1"/>
        <v>0</v>
      </c>
      <c r="AC22" s="51">
        <f ca="1">IF(Output_0001[[#This Row],[WP_A1]]="", 0, Output_0001[[#This Row],[WP_A1]])+IF(Output_0001[[#This Row],[WP_A2]]="", 0, Output_0001[[#This Row],[WP_A2]])+IF(Output_0001[[#This Row],[WP_A3]]="", 0, Output_0001[[#This Row],[WP_A3]])</f>
        <v>0</v>
      </c>
      <c r="AD22" s="51">
        <f>IF(AND(ISBLANK(Output_0001[[#This Row],[WA_A1]]),ISBLANK(Output_0001[[#This Row],[WA_A2]]),ISBLANK(Output_0001[[#This Row],[WA_A3]])),"", Output_0001[[#This Row],[WA_A1]]+Output_0001[[#This Row],[WA_A2]]+Output_0001[[#This Row],[WA_A3]])</f>
        <v>375</v>
      </c>
      <c r="AE22" s="51">
        <f ca="1">SUM($AC$14:AC22)</f>
        <v>2999.9999999999991</v>
      </c>
      <c r="AF22" s="51">
        <f>IF(AD22="",NA(),SUM($AD$14:AD22))</f>
        <v>2675</v>
      </c>
      <c r="AG22" s="51" t="str">
        <f ca="1">WeeklyPlanned(Output_0001[[#Headers],[WP_A1]], Output_0001[[#This Row],[Date]])</f>
        <v/>
      </c>
      <c r="AH22" s="51">
        <v>250</v>
      </c>
      <c r="AI22" s="51" t="str">
        <f ca="1">WeeklyPlanned(Output_0001[[#Headers],[WP_A2]], Output_0001[[#This Row],[Date]])</f>
        <v/>
      </c>
      <c r="AJ22" s="51">
        <v>125</v>
      </c>
      <c r="AK22" s="51" t="str">
        <f ca="1">WeeklyPlanned(Output_0001[[#Headers],[WP_A3]], Output_0001[[#This Row],[Date]])</f>
        <v/>
      </c>
      <c r="AL22" s="51"/>
    </row>
    <row r="23" spans="2:38" ht="15.5" x14ac:dyDescent="0.35">
      <c r="B23" s="30"/>
      <c r="C23" s="68"/>
      <c r="D23" s="68"/>
      <c r="E23" s="68"/>
      <c r="F23" s="68"/>
      <c r="G23" s="68"/>
      <c r="H23" s="68"/>
      <c r="I23" s="68"/>
      <c r="J23" s="68"/>
      <c r="K23" s="68"/>
      <c r="L23" s="68"/>
      <c r="M23" s="68"/>
      <c r="N23" s="68"/>
      <c r="O23" s="43"/>
      <c r="AA23" s="47">
        <f t="shared" si="0"/>
        <v>43971</v>
      </c>
      <c r="AB23" s="49" t="str">
        <f t="shared" ca="1" si="1"/>
        <v>A2</v>
      </c>
      <c r="AC23" s="51">
        <f ca="1">IF(Output_0001[[#This Row],[WP_A1]]="", 0, Output_0001[[#This Row],[WP_A1]])+IF(Output_0001[[#This Row],[WP_A2]]="", 0, Output_0001[[#This Row],[WP_A2]])+IF(Output_0001[[#This Row],[WP_A3]]="", 0, Output_0001[[#This Row],[WP_A3]])</f>
        <v>163.63636363636363</v>
      </c>
      <c r="AD23" s="51">
        <f>IF(AND(ISBLANK(Output_0001[[#This Row],[WA_A1]]),ISBLANK(Output_0001[[#This Row],[WA_A2]]),ISBLANK(Output_0001[[#This Row],[WA_A3]])),"", Output_0001[[#This Row],[WA_A1]]+Output_0001[[#This Row],[WA_A2]]+Output_0001[[#This Row],[WA_A3]])</f>
        <v>275</v>
      </c>
      <c r="AE23" s="51">
        <f ca="1">SUM($AC$14:AC23)</f>
        <v>3163.6363636363626</v>
      </c>
      <c r="AF23" s="51">
        <f>IF(AD23="",NA(),SUM($AD$14:AD23))</f>
        <v>2950</v>
      </c>
      <c r="AG23" s="51" t="str">
        <f ca="1">WeeklyPlanned(Output_0001[[#Headers],[WP_A1]], Output_0001[[#This Row],[Date]])</f>
        <v/>
      </c>
      <c r="AH23" s="51">
        <v>150</v>
      </c>
      <c r="AI23" s="51">
        <f ca="1">WeeklyPlanned(Output_0001[[#Headers],[WP_A2]], Output_0001[[#This Row],[Date]])</f>
        <v>163.63636363636363</v>
      </c>
      <c r="AJ23" s="51">
        <v>125</v>
      </c>
      <c r="AK23" s="51" t="str">
        <f ca="1">WeeklyPlanned(Output_0001[[#Headers],[WP_A3]], Output_0001[[#This Row],[Date]])</f>
        <v/>
      </c>
      <c r="AL23" s="51"/>
    </row>
    <row r="24" spans="2:38" ht="15.5" x14ac:dyDescent="0.35">
      <c r="B24" s="30"/>
      <c r="C24" s="68" t="s">
        <v>47</v>
      </c>
      <c r="D24" s="68"/>
      <c r="E24" s="68"/>
      <c r="F24" s="68"/>
      <c r="G24" s="68"/>
      <c r="H24" s="68"/>
      <c r="I24" s="68"/>
      <c r="J24" s="68"/>
      <c r="K24" s="68"/>
      <c r="L24" s="68"/>
      <c r="M24" s="68"/>
      <c r="N24" s="68"/>
      <c r="O24" s="43"/>
      <c r="AA24" s="47">
        <f t="shared" si="0"/>
        <v>43978</v>
      </c>
      <c r="AB24" s="49" t="str">
        <f t="shared" ca="1" si="1"/>
        <v>A2</v>
      </c>
      <c r="AC24" s="51">
        <f ca="1">IF(Output_0001[[#This Row],[WP_A1]]="", 0, Output_0001[[#This Row],[WP_A1]])+IF(Output_0001[[#This Row],[WP_A2]]="", 0, Output_0001[[#This Row],[WP_A2]])+IF(Output_0001[[#This Row],[WP_A3]]="", 0, Output_0001[[#This Row],[WP_A3]])</f>
        <v>218.18181818181819</v>
      </c>
      <c r="AD24" s="51">
        <f>IF(AND(ISBLANK(Output_0001[[#This Row],[WA_A1]]),ISBLANK(Output_0001[[#This Row],[WA_A2]]),ISBLANK(Output_0001[[#This Row],[WA_A3]])),"", Output_0001[[#This Row],[WA_A1]]+Output_0001[[#This Row],[WA_A2]]+Output_0001[[#This Row],[WA_A3]])</f>
        <v>200</v>
      </c>
      <c r="AE24" s="51">
        <f ca="1">SUM($AC$14:AC24)</f>
        <v>3381.8181818181806</v>
      </c>
      <c r="AF24" s="51">
        <f>IF(AD24="",NA(),SUM($AD$14:AD24))</f>
        <v>3150</v>
      </c>
      <c r="AG24" s="51" t="str">
        <f ca="1">WeeklyPlanned(Output_0001[[#Headers],[WP_A1]], Output_0001[[#This Row],[Date]])</f>
        <v/>
      </c>
      <c r="AH24" s="51">
        <v>150</v>
      </c>
      <c r="AI24" s="51">
        <f ca="1">WeeklyPlanned(Output_0001[[#Headers],[WP_A2]], Output_0001[[#This Row],[Date]])</f>
        <v>218.18181818181819</v>
      </c>
      <c r="AJ24" s="51">
        <v>50</v>
      </c>
      <c r="AK24" s="51" t="str">
        <f ca="1">WeeklyPlanned(Output_0001[[#Headers],[WP_A3]], Output_0001[[#This Row],[Date]])</f>
        <v/>
      </c>
      <c r="AL24" s="51"/>
    </row>
    <row r="25" spans="2:38" ht="15.5" x14ac:dyDescent="0.35">
      <c r="B25" s="30"/>
      <c r="C25" s="68"/>
      <c r="D25" s="68"/>
      <c r="E25" s="68"/>
      <c r="F25" s="68"/>
      <c r="G25" s="68"/>
      <c r="H25" s="68"/>
      <c r="I25" s="68"/>
      <c r="J25" s="68"/>
      <c r="K25" s="68"/>
      <c r="L25" s="68"/>
      <c r="M25" s="68"/>
      <c r="N25" s="68"/>
      <c r="O25" s="43"/>
      <c r="AA25" s="47">
        <f t="shared" si="0"/>
        <v>43985</v>
      </c>
      <c r="AB25" s="49" t="str">
        <f t="shared" ca="1" si="1"/>
        <v>A2</v>
      </c>
      <c r="AC25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5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5" s="51">
        <f ca="1">SUM($AC$14:AC25)</f>
        <v>3654.5454545454531</v>
      </c>
      <c r="AF25" s="51">
        <f>IF(AD25="",NA(),SUM($AD$14:AD25))</f>
        <v>3150</v>
      </c>
      <c r="AG25" s="51" t="str">
        <f ca="1">WeeklyPlanned(Output_0001[[#Headers],[WP_A1]], Output_0001[[#This Row],[Date]])</f>
        <v/>
      </c>
      <c r="AH25" s="51">
        <v>0</v>
      </c>
      <c r="AI25" s="51">
        <f ca="1">WeeklyPlanned(Output_0001[[#Headers],[WP_A2]], Output_0001[[#This Row],[Date]])</f>
        <v>272.72727272727275</v>
      </c>
      <c r="AJ25" s="51"/>
      <c r="AK25" s="51" t="str">
        <f ca="1">WeeklyPlanned(Output_0001[[#Headers],[WP_A3]], Output_0001[[#This Row],[Date]])</f>
        <v/>
      </c>
      <c r="AL25" s="51"/>
    </row>
    <row r="26" spans="2:38" ht="15.5" x14ac:dyDescent="0.35">
      <c r="B26" s="30"/>
      <c r="C26" s="68"/>
      <c r="D26" s="68"/>
      <c r="E26" s="68"/>
      <c r="F26" s="68"/>
      <c r="G26" s="68"/>
      <c r="H26" s="68"/>
      <c r="I26" s="68"/>
      <c r="J26" s="68"/>
      <c r="K26" s="68"/>
      <c r="L26" s="68"/>
      <c r="M26" s="68"/>
      <c r="N26" s="68"/>
      <c r="O26" s="43"/>
      <c r="S26" s="37"/>
      <c r="AA26" s="47">
        <f t="shared" si="0"/>
        <v>43992</v>
      </c>
      <c r="AB26" s="49" t="str">
        <f t="shared" ca="1" si="1"/>
        <v>A2</v>
      </c>
      <c r="AC26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6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6" s="51">
        <f ca="1">SUM($AC$14:AC26)</f>
        <v>3927.2727272727261</v>
      </c>
      <c r="AF26" s="51">
        <f>IF(AD26="",NA(),SUM($AD$14:AD26))</f>
        <v>3150</v>
      </c>
      <c r="AG26" s="51" t="str">
        <f ca="1">WeeklyPlanned(Output_0001[[#Headers],[WP_A1]], Output_0001[[#This Row],[Date]])</f>
        <v/>
      </c>
      <c r="AH26" s="51">
        <v>0</v>
      </c>
      <c r="AI26" s="51">
        <f ca="1">WeeklyPlanned(Output_0001[[#Headers],[WP_A2]], Output_0001[[#This Row],[Date]])</f>
        <v>272.72727272727275</v>
      </c>
      <c r="AJ26" s="51"/>
      <c r="AK26" s="51" t="str">
        <f ca="1">WeeklyPlanned(Output_0001[[#Headers],[WP_A3]], Output_0001[[#This Row],[Date]])</f>
        <v/>
      </c>
      <c r="AL26" s="51"/>
    </row>
    <row r="27" spans="2:38" ht="15.5" x14ac:dyDescent="0.35">
      <c r="B27" s="30"/>
      <c r="C27" s="68"/>
      <c r="D27" s="68"/>
      <c r="E27" s="68"/>
      <c r="F27" s="68"/>
      <c r="G27" s="68"/>
      <c r="H27" s="68"/>
      <c r="I27" s="68"/>
      <c r="J27" s="68"/>
      <c r="K27" s="68"/>
      <c r="L27" s="68"/>
      <c r="M27" s="68"/>
      <c r="N27" s="68"/>
      <c r="O27" s="43"/>
      <c r="AA27" s="47">
        <f t="shared" si="0"/>
        <v>43999</v>
      </c>
      <c r="AB27" s="49" t="str">
        <f t="shared" ca="1" si="1"/>
        <v>A2</v>
      </c>
      <c r="AC27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7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7" s="51">
        <f ca="1">SUM($AC$14:AC27)</f>
        <v>4199.9999999999991</v>
      </c>
      <c r="AF27" s="51">
        <f>IF(AD27="",NA(),SUM($AD$14:AD27))</f>
        <v>3150</v>
      </c>
      <c r="AG27" s="51" t="str">
        <f ca="1">WeeklyPlanned(Output_0001[[#Headers],[WP_A1]], Output_0001[[#This Row],[Date]])</f>
        <v/>
      </c>
      <c r="AH27" s="51">
        <v>0</v>
      </c>
      <c r="AI27" s="51">
        <f ca="1">WeeklyPlanned(Output_0001[[#Headers],[WP_A2]], Output_0001[[#This Row],[Date]])</f>
        <v>272.72727272727275</v>
      </c>
      <c r="AJ27" s="51"/>
      <c r="AK27" s="51" t="str">
        <f ca="1">WeeklyPlanned(Output_0001[[#Headers],[WP_A3]], Output_0001[[#This Row],[Date]])</f>
        <v/>
      </c>
      <c r="AL27" s="51"/>
    </row>
    <row r="28" spans="2:38" ht="15.5" x14ac:dyDescent="0.35">
      <c r="B28" s="30"/>
      <c r="C28" s="68"/>
      <c r="D28" s="68"/>
      <c r="E28" s="68"/>
      <c r="F28" s="68"/>
      <c r="G28" s="68"/>
      <c r="H28" s="68"/>
      <c r="I28" s="68"/>
      <c r="J28" s="68"/>
      <c r="K28" s="68"/>
      <c r="L28" s="68"/>
      <c r="M28" s="68"/>
      <c r="N28" s="68"/>
      <c r="O28" s="43"/>
      <c r="AA28" s="47">
        <f t="shared" si="0"/>
        <v>44006</v>
      </c>
      <c r="AB28" s="49" t="str">
        <f t="shared" ca="1" si="1"/>
        <v>A2</v>
      </c>
      <c r="AC28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8" s="51">
        <f>IF(AND(ISBLANK(Output_0001[[#This Row],[WA_A1]]),ISBLANK(Output_0001[[#This Row],[WA_A2]]),ISBLANK(Output_0001[[#This Row],[WA_A3]])),"", Output_0001[[#This Row],[WA_A1]]+Output_0001[[#This Row],[WA_A2]]+Output_0001[[#This Row],[WA_A3]])</f>
        <v>0</v>
      </c>
      <c r="AE28" s="51">
        <f ca="1">SUM($AC$14:AC28)</f>
        <v>4472.7272727272721</v>
      </c>
      <c r="AF28" s="51">
        <f>IF(AD28="",NA(),SUM($AD$14:AD28))</f>
        <v>3150</v>
      </c>
      <c r="AG28" s="51" t="str">
        <f ca="1">WeeklyPlanned(Output_0001[[#Headers],[WP_A1]], Output_0001[[#This Row],[Date]])</f>
        <v/>
      </c>
      <c r="AH28" s="51">
        <v>0</v>
      </c>
      <c r="AI28" s="51">
        <f ca="1">WeeklyPlanned(Output_0001[[#Headers],[WP_A2]], Output_0001[[#This Row],[Date]])</f>
        <v>272.72727272727275</v>
      </c>
      <c r="AJ28" s="51"/>
      <c r="AK28" s="51" t="str">
        <f ca="1">WeeklyPlanned(Output_0001[[#Headers],[WP_A3]], Output_0001[[#This Row],[Date]])</f>
        <v/>
      </c>
      <c r="AL28" s="51"/>
    </row>
    <row r="29" spans="2:38" ht="15.5" x14ac:dyDescent="0.35">
      <c r="B29" s="30"/>
      <c r="C29" s="68"/>
      <c r="D29" s="68"/>
      <c r="E29" s="68"/>
      <c r="F29" s="68"/>
      <c r="G29" s="68"/>
      <c r="H29" s="68"/>
      <c r="I29" s="68"/>
      <c r="J29" s="68"/>
      <c r="K29" s="68"/>
      <c r="L29" s="68"/>
      <c r="M29" s="68"/>
      <c r="N29" s="68"/>
      <c r="O29" s="43"/>
      <c r="AA29" s="47">
        <f t="shared" si="0"/>
        <v>44013</v>
      </c>
      <c r="AB29" s="49" t="str">
        <f t="shared" ca="1" si="1"/>
        <v>A2</v>
      </c>
      <c r="AC29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29" s="51">
        <f>IF(AND(ISBLANK(Output_0001[[#This Row],[WA_A1]]),ISBLANK(Output_0001[[#This Row],[WA_A2]]),ISBLANK(Output_0001[[#This Row],[WA_A3]])),"", Output_0001[[#This Row],[WA_A1]]+Output_0001[[#This Row],[WA_A2]]+Output_0001[[#This Row],[WA_A3]])</f>
        <v>50</v>
      </c>
      <c r="AE29" s="51">
        <f ca="1">SUM($AC$14:AC29)</f>
        <v>4745.454545454545</v>
      </c>
      <c r="AF29" s="51">
        <f>IF(AD29="",NA(),SUM($AD$14:AD29))</f>
        <v>3200</v>
      </c>
      <c r="AG29" s="51" t="str">
        <f ca="1">WeeklyPlanned(Output_0001[[#Headers],[WP_A1]], Output_0001[[#This Row],[Date]])</f>
        <v/>
      </c>
      <c r="AH29" s="51">
        <v>0</v>
      </c>
      <c r="AI29" s="51">
        <f ca="1">WeeklyPlanned(Output_0001[[#Headers],[WP_A2]], Output_0001[[#This Row],[Date]])</f>
        <v>272.72727272727275</v>
      </c>
      <c r="AJ29" s="51">
        <v>50</v>
      </c>
      <c r="AK29" s="51" t="str">
        <f ca="1">WeeklyPlanned(Output_0001[[#Headers],[WP_A3]], Output_0001[[#This Row],[Date]])</f>
        <v/>
      </c>
      <c r="AL29" s="51">
        <v>0</v>
      </c>
    </row>
    <row r="30" spans="2:38" ht="15.5" x14ac:dyDescent="0.35">
      <c r="B30" s="30"/>
      <c r="C30" s="68"/>
      <c r="D30" s="68"/>
      <c r="E30" s="68"/>
      <c r="F30" s="68"/>
      <c r="G30" s="68"/>
      <c r="H30" s="68"/>
      <c r="I30" s="68"/>
      <c r="J30" s="68"/>
      <c r="K30" s="68"/>
      <c r="L30" s="68"/>
      <c r="M30" s="68"/>
      <c r="N30" s="68"/>
      <c r="O30" s="43"/>
      <c r="AA30" s="47">
        <f t="shared" si="0"/>
        <v>44020</v>
      </c>
      <c r="AB30" s="49" t="str">
        <f t="shared" ca="1" si="1"/>
        <v>A2</v>
      </c>
      <c r="AC30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0" s="51">
        <f ca="1">SUM($AC$14:AC30)</f>
        <v>5018.181818181818</v>
      </c>
      <c r="AF30" s="51" t="e">
        <f>IF(AD30="",NA(),SUM($AD$14:AD30))</f>
        <v>#N/A</v>
      </c>
      <c r="AG30" s="51" t="str">
        <f ca="1">WeeklyPlanned(Output_0001[[#Headers],[WP_A1]], Output_0001[[#This Row],[Date]])</f>
        <v/>
      </c>
      <c r="AH30" s="51"/>
      <c r="AI30" s="51">
        <f ca="1">WeeklyPlanned(Output_0001[[#Headers],[WP_A2]], Output_0001[[#This Row],[Date]])</f>
        <v>272.72727272727275</v>
      </c>
      <c r="AJ30" s="51"/>
      <c r="AK30" s="51" t="str">
        <f ca="1">WeeklyPlanned(Output_0001[[#Headers],[WP_A3]], Output_0001[[#This Row],[Date]])</f>
        <v/>
      </c>
      <c r="AL30" s="51"/>
    </row>
    <row r="31" spans="2:38" ht="15.5" x14ac:dyDescent="0.35">
      <c r="B31" s="30"/>
      <c r="C31" s="68"/>
      <c r="D31" s="68"/>
      <c r="E31" s="68"/>
      <c r="F31" s="68"/>
      <c r="G31" s="68"/>
      <c r="H31" s="68"/>
      <c r="I31" s="68"/>
      <c r="J31" s="68"/>
      <c r="K31" s="68"/>
      <c r="L31" s="68"/>
      <c r="M31" s="68"/>
      <c r="N31" s="68"/>
      <c r="O31" s="43"/>
      <c r="AA31" s="47">
        <f t="shared" si="0"/>
        <v>44027</v>
      </c>
      <c r="AB31" s="49" t="str">
        <f t="shared" ca="1" si="1"/>
        <v>A2</v>
      </c>
      <c r="AC31" s="51">
        <f ca="1">IF(Output_0001[[#This Row],[WP_A1]]="", 0, Output_0001[[#This Row],[WP_A1]])+IF(Output_0001[[#This Row],[WP_A2]]="", 0, Output_0001[[#This Row],[WP_A2]])+IF(Output_0001[[#This Row],[WP_A3]]="", 0, Output_0001[[#This Row],[WP_A3]])</f>
        <v>272.72727272727275</v>
      </c>
      <c r="AD3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1" s="51">
        <f ca="1">SUM($AC$14:AC31)</f>
        <v>5290.909090909091</v>
      </c>
      <c r="AF31" s="51" t="e">
        <f>IF(AD31="",NA(),SUM($AD$14:AD31))</f>
        <v>#N/A</v>
      </c>
      <c r="AG31" s="51" t="str">
        <f ca="1">WeeklyPlanned(Output_0001[[#Headers],[WP_A1]], Output_0001[[#This Row],[Date]])</f>
        <v/>
      </c>
      <c r="AH31" s="51"/>
      <c r="AI31" s="51">
        <f ca="1">WeeklyPlanned(Output_0001[[#Headers],[WP_A2]], Output_0001[[#This Row],[Date]])</f>
        <v>272.72727272727275</v>
      </c>
      <c r="AJ31" s="51"/>
      <c r="AK31" s="51" t="str">
        <f ca="1">WeeklyPlanned(Output_0001[[#Headers],[WP_A3]], Output_0001[[#This Row],[Date]])</f>
        <v/>
      </c>
      <c r="AL31" s="51"/>
    </row>
    <row r="32" spans="2:38" ht="15.5" x14ac:dyDescent="0.35">
      <c r="B32" s="30"/>
      <c r="C32" s="68"/>
      <c r="D32" s="68"/>
      <c r="E32" s="68"/>
      <c r="F32" s="68"/>
      <c r="G32" s="68"/>
      <c r="H32" s="68"/>
      <c r="I32" s="68"/>
      <c r="J32" s="68"/>
      <c r="K32" s="68"/>
      <c r="L32" s="68"/>
      <c r="M32" s="68"/>
      <c r="N32" s="68"/>
      <c r="O32" s="43"/>
      <c r="AA32" s="47">
        <f t="shared" si="0"/>
        <v>44034</v>
      </c>
      <c r="AB32" s="49" t="str">
        <f t="shared" ca="1" si="1"/>
        <v>A2, A3</v>
      </c>
      <c r="AC32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2" s="51">
        <f ca="1">SUM($AC$14:AC32)</f>
        <v>5826.7942583732056</v>
      </c>
      <c r="AF32" s="51" t="e">
        <f>IF(AD32="",NA(),SUM($AD$14:AD32))</f>
        <v>#N/A</v>
      </c>
      <c r="AG32" s="51" t="str">
        <f ca="1">WeeklyPlanned(Output_0001[[#Headers],[WP_A1]], Output_0001[[#This Row],[Date]])</f>
        <v/>
      </c>
      <c r="AH32" s="51"/>
      <c r="AI32" s="51">
        <f ca="1">WeeklyPlanned(Output_0001[[#Headers],[WP_A2]], Output_0001[[#This Row],[Date]])</f>
        <v>272.72727272727275</v>
      </c>
      <c r="AJ32" s="51"/>
      <c r="AK32" s="51">
        <f ca="1">WeeklyPlanned(Output_0001[[#Headers],[WP_A3]], Output_0001[[#This Row],[Date]])</f>
        <v>263.15789473684208</v>
      </c>
      <c r="AL32" s="51"/>
    </row>
    <row r="33" spans="2:38" ht="15.5" x14ac:dyDescent="0.35">
      <c r="B33" s="30"/>
      <c r="C33" s="68"/>
      <c r="D33" s="68"/>
      <c r="E33" s="68"/>
      <c r="F33" s="68"/>
      <c r="G33" s="68"/>
      <c r="H33" s="68"/>
      <c r="I33" s="68"/>
      <c r="J33" s="68"/>
      <c r="K33" s="68"/>
      <c r="L33" s="68"/>
      <c r="M33" s="68"/>
      <c r="N33" s="68"/>
      <c r="O33" s="43"/>
      <c r="AA33" s="47">
        <f t="shared" si="0"/>
        <v>44041</v>
      </c>
      <c r="AB33" s="49" t="str">
        <f t="shared" ca="1" si="1"/>
        <v>A2, A3</v>
      </c>
      <c r="AC33" s="51">
        <f ca="1">IF(Output_0001[[#This Row],[WP_A1]]="", 0, Output_0001[[#This Row],[WP_A1]])+IF(Output_0001[[#This Row],[WP_A2]]="", 0, Output_0001[[#This Row],[WP_A2]])+IF(Output_0001[[#This Row],[WP_A3]]="", 0, Output_0001[[#This Row],[WP_A3]])</f>
        <v>535.88516746411483</v>
      </c>
      <c r="AD3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3" s="51">
        <f ca="1">SUM($AC$14:AC33)</f>
        <v>6362.6794258373202</v>
      </c>
      <c r="AF33" s="51" t="e">
        <f>IF(AD33="",NA(),SUM($AD$14:AD33))</f>
        <v>#N/A</v>
      </c>
      <c r="AG33" s="51" t="str">
        <f ca="1">WeeklyPlanned(Output_0001[[#Headers],[WP_A1]], Output_0001[[#This Row],[Date]])</f>
        <v/>
      </c>
      <c r="AH33" s="51"/>
      <c r="AI33" s="51">
        <f ca="1">WeeklyPlanned(Output_0001[[#Headers],[WP_A2]], Output_0001[[#This Row],[Date]])</f>
        <v>272.72727272727275</v>
      </c>
      <c r="AJ33" s="51"/>
      <c r="AK33" s="51">
        <f ca="1">WeeklyPlanned(Output_0001[[#Headers],[WP_A3]], Output_0001[[#This Row],[Date]])</f>
        <v>263.15789473684208</v>
      </c>
      <c r="AL33" s="51"/>
    </row>
    <row r="34" spans="2:38" ht="15.5" x14ac:dyDescent="0.35">
      <c r="B34" s="30"/>
      <c r="C34" s="68"/>
      <c r="D34" s="68"/>
      <c r="E34" s="68"/>
      <c r="F34" s="68"/>
      <c r="G34" s="68"/>
      <c r="H34" s="68"/>
      <c r="I34" s="68"/>
      <c r="J34" s="68"/>
      <c r="K34" s="68"/>
      <c r="L34" s="68"/>
      <c r="M34" s="68"/>
      <c r="N34" s="68"/>
      <c r="O34" s="43"/>
      <c r="AA34" s="47">
        <f t="shared" si="0"/>
        <v>44048</v>
      </c>
      <c r="AB34" s="49" t="str">
        <f t="shared" ca="1" si="1"/>
        <v>A2, A3</v>
      </c>
      <c r="AC34" s="51">
        <f ca="1">IF(Output_0001[[#This Row],[WP_A1]]="", 0, Output_0001[[#This Row],[WP_A1]])+IF(Output_0001[[#This Row],[WP_A2]]="", 0, Output_0001[[#This Row],[WP_A2]])+IF(Output_0001[[#This Row],[WP_A3]]="", 0, Output_0001[[#This Row],[WP_A3]])</f>
        <v>426.79425837320571</v>
      </c>
      <c r="AD34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4" s="51">
        <f ca="1">SUM($AC$14:AC34)</f>
        <v>6789.4736842105258</v>
      </c>
      <c r="AF34" s="51" t="e">
        <f>IF(AD34="",NA(),SUM($AD$14:AD34))</f>
        <v>#N/A</v>
      </c>
      <c r="AG34" s="51" t="str">
        <f ca="1">WeeklyPlanned(Output_0001[[#Headers],[WP_A1]], Output_0001[[#This Row],[Date]])</f>
        <v/>
      </c>
      <c r="AH34" s="51"/>
      <c r="AI34" s="51">
        <f ca="1">WeeklyPlanned(Output_0001[[#Headers],[WP_A2]], Output_0001[[#This Row],[Date]])</f>
        <v>163.63636363636363</v>
      </c>
      <c r="AJ34" s="51"/>
      <c r="AK34" s="51">
        <f ca="1">WeeklyPlanned(Output_0001[[#Headers],[WP_A3]], Output_0001[[#This Row],[Date]])</f>
        <v>263.15789473684208</v>
      </c>
      <c r="AL34" s="51"/>
    </row>
    <row r="35" spans="2:38" ht="15.5" x14ac:dyDescent="0.35">
      <c r="B35" s="30"/>
      <c r="C35" s="68"/>
      <c r="D35" s="68"/>
      <c r="E35" s="68"/>
      <c r="F35" s="68"/>
      <c r="G35" s="68"/>
      <c r="H35" s="68"/>
      <c r="I35" s="68"/>
      <c r="J35" s="68"/>
      <c r="K35" s="68"/>
      <c r="L35" s="68"/>
      <c r="M35" s="68"/>
      <c r="N35" s="68"/>
      <c r="O35" s="43"/>
      <c r="AA35" s="47">
        <f t="shared" si="0"/>
        <v>44055</v>
      </c>
      <c r="AB35" s="49" t="str">
        <f t="shared" ca="1" si="1"/>
        <v>A3</v>
      </c>
      <c r="AC35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5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5" s="51">
        <f ca="1">SUM($AC$14:AC35)</f>
        <v>7052.6315789473683</v>
      </c>
      <c r="AF35" s="51" t="e">
        <f>IF(AD35="",NA(),SUM($AD$14:AD35))</f>
        <v>#N/A</v>
      </c>
      <c r="AG35" s="51" t="str">
        <f ca="1">WeeklyPlanned(Output_0001[[#Headers],[WP_A1]], Output_0001[[#This Row],[Date]])</f>
        <v/>
      </c>
      <c r="AH35" s="51"/>
      <c r="AI35" s="51" t="str">
        <f ca="1">WeeklyPlanned(Output_0001[[#Headers],[WP_A2]], Output_0001[[#This Row],[Date]])</f>
        <v/>
      </c>
      <c r="AJ35" s="51"/>
      <c r="AK35" s="51">
        <f ca="1">WeeklyPlanned(Output_0001[[#Headers],[WP_A3]], Output_0001[[#This Row],[Date]])</f>
        <v>263.15789473684208</v>
      </c>
      <c r="AL35" s="51"/>
    </row>
    <row r="36" spans="2:38" ht="15.5" x14ac:dyDescent="0.35">
      <c r="B36" s="30"/>
      <c r="C36" s="68"/>
      <c r="D36" s="68"/>
      <c r="E36" s="68"/>
      <c r="F36" s="68"/>
      <c r="G36" s="68"/>
      <c r="H36" s="68"/>
      <c r="I36" s="68"/>
      <c r="J36" s="68"/>
      <c r="K36" s="68"/>
      <c r="L36" s="68"/>
      <c r="M36" s="68"/>
      <c r="N36" s="68"/>
      <c r="O36" s="43"/>
      <c r="AA36" s="47">
        <f t="shared" si="0"/>
        <v>44062</v>
      </c>
      <c r="AB36" s="49" t="str">
        <f t="shared" ca="1" si="1"/>
        <v>A3</v>
      </c>
      <c r="AC36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6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6" s="51">
        <f ca="1">SUM($AC$14:AC36)</f>
        <v>7315.78947368421</v>
      </c>
      <c r="AF36" s="51" t="e">
        <f>IF(AD36="",NA(),SUM($AD$14:AD36))</f>
        <v>#N/A</v>
      </c>
      <c r="AG36" s="51" t="str">
        <f ca="1">WeeklyPlanned(Output_0001[[#Headers],[WP_A1]], Output_0001[[#This Row],[Date]])</f>
        <v/>
      </c>
      <c r="AH36" s="51"/>
      <c r="AI36" s="51" t="str">
        <f ca="1">WeeklyPlanned(Output_0001[[#Headers],[WP_A2]], Output_0001[[#This Row],[Date]])</f>
        <v/>
      </c>
      <c r="AJ36" s="51"/>
      <c r="AK36" s="51">
        <f ca="1">WeeklyPlanned(Output_0001[[#Headers],[WP_A3]], Output_0001[[#This Row],[Date]])</f>
        <v>263.15789473684208</v>
      </c>
      <c r="AL36" s="51"/>
    </row>
    <row r="37" spans="2:38" ht="15.5" x14ac:dyDescent="0.35">
      <c r="B37" s="30"/>
      <c r="C37" s="68"/>
      <c r="D37" s="68"/>
      <c r="E37" s="68"/>
      <c r="F37" s="68"/>
      <c r="G37" s="68"/>
      <c r="H37" s="68"/>
      <c r="I37" s="68"/>
      <c r="J37" s="68"/>
      <c r="K37" s="68"/>
      <c r="L37" s="68"/>
      <c r="M37" s="68"/>
      <c r="N37" s="68"/>
      <c r="O37" s="43"/>
      <c r="AA37" s="47">
        <f t="shared" si="0"/>
        <v>44069</v>
      </c>
      <c r="AB37" s="49" t="str">
        <f t="shared" ca="1" si="1"/>
        <v>A3</v>
      </c>
      <c r="AC37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7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7" s="51">
        <f ca="1">SUM($AC$14:AC37)</f>
        <v>7578.9473684210516</v>
      </c>
      <c r="AF37" s="51" t="e">
        <f>IF(AD37="",NA(),SUM($AD$14:AD37))</f>
        <v>#N/A</v>
      </c>
      <c r="AG37" s="51" t="str">
        <f ca="1">WeeklyPlanned(Output_0001[[#Headers],[WP_A1]], Output_0001[[#This Row],[Date]])</f>
        <v/>
      </c>
      <c r="AH37" s="51"/>
      <c r="AI37" s="51" t="str">
        <f ca="1">WeeklyPlanned(Output_0001[[#Headers],[WP_A2]], Output_0001[[#This Row],[Date]])</f>
        <v/>
      </c>
      <c r="AJ37" s="51"/>
      <c r="AK37" s="51">
        <f ca="1">WeeklyPlanned(Output_0001[[#Headers],[WP_A3]], Output_0001[[#This Row],[Date]])</f>
        <v>263.15789473684208</v>
      </c>
      <c r="AL37" s="51"/>
    </row>
    <row r="38" spans="2:38" ht="15.5" x14ac:dyDescent="0.35">
      <c r="B38" s="30"/>
      <c r="C38" s="68"/>
      <c r="D38" s="68"/>
      <c r="E38" s="68"/>
      <c r="F38" s="68"/>
      <c r="G38" s="68"/>
      <c r="H38" s="68"/>
      <c r="I38" s="68"/>
      <c r="J38" s="68"/>
      <c r="K38" s="68"/>
      <c r="L38" s="68"/>
      <c r="M38" s="68"/>
      <c r="N38" s="68"/>
      <c r="O38" s="43"/>
      <c r="AA38" s="47">
        <f t="shared" si="0"/>
        <v>44076</v>
      </c>
      <c r="AB38" s="49" t="str">
        <f t="shared" ca="1" si="1"/>
        <v>A3</v>
      </c>
      <c r="AC38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8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8" s="51">
        <f ca="1">SUM($AC$14:AC38)</f>
        <v>7842.1052631578932</v>
      </c>
      <c r="AF38" s="51" t="e">
        <f>IF(AD38="",NA(),SUM($AD$14:AD38))</f>
        <v>#N/A</v>
      </c>
      <c r="AG38" s="51" t="str">
        <f ca="1">WeeklyPlanned(Output_0001[[#Headers],[WP_A1]], Output_0001[[#This Row],[Date]])</f>
        <v/>
      </c>
      <c r="AH38" s="51"/>
      <c r="AI38" s="51" t="str">
        <f ca="1">WeeklyPlanned(Output_0001[[#Headers],[WP_A2]], Output_0001[[#This Row],[Date]])</f>
        <v/>
      </c>
      <c r="AJ38" s="51"/>
      <c r="AK38" s="51">
        <f ca="1">WeeklyPlanned(Output_0001[[#Headers],[WP_A3]], Output_0001[[#This Row],[Date]])</f>
        <v>263.15789473684208</v>
      </c>
      <c r="AL38" s="51"/>
    </row>
    <row r="39" spans="2:38" ht="15.5" x14ac:dyDescent="0.35">
      <c r="B39" s="30"/>
      <c r="C39" s="68"/>
      <c r="D39" s="68"/>
      <c r="E39" s="68"/>
      <c r="F39" s="68"/>
      <c r="G39" s="68"/>
      <c r="H39" s="68"/>
      <c r="I39" s="68"/>
      <c r="J39" s="68"/>
      <c r="K39" s="68"/>
      <c r="L39" s="68"/>
      <c r="M39" s="68"/>
      <c r="N39" s="68"/>
      <c r="O39" s="43"/>
      <c r="AA39" s="47">
        <f t="shared" si="0"/>
        <v>44083</v>
      </c>
      <c r="AB39" s="49" t="str">
        <f t="shared" ca="1" si="1"/>
        <v>A3</v>
      </c>
      <c r="AC39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39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39" s="51">
        <f ca="1">SUM($AC$14:AC39)</f>
        <v>8105.2631578947348</v>
      </c>
      <c r="AF39" s="51" t="e">
        <f>IF(AD39="",NA(),SUM($AD$14:AD39))</f>
        <v>#N/A</v>
      </c>
      <c r="AG39" s="51" t="str">
        <f ca="1">WeeklyPlanned(Output_0001[[#Headers],[WP_A1]], Output_0001[[#This Row],[Date]])</f>
        <v/>
      </c>
      <c r="AH39" s="51"/>
      <c r="AI39" s="51" t="str">
        <f ca="1">WeeklyPlanned(Output_0001[[#Headers],[WP_A2]], Output_0001[[#This Row],[Date]])</f>
        <v/>
      </c>
      <c r="AJ39" s="51"/>
      <c r="AK39" s="51">
        <f ca="1">WeeklyPlanned(Output_0001[[#Headers],[WP_A3]], Output_0001[[#This Row],[Date]])</f>
        <v>263.15789473684208</v>
      </c>
      <c r="AL39" s="51"/>
    </row>
    <row r="40" spans="2:38" ht="16" thickBot="1" x14ac:dyDescent="0.4">
      <c r="B40" s="44"/>
      <c r="C40" s="45"/>
      <c r="D40" s="45"/>
      <c r="E40" s="45"/>
      <c r="F40" s="45"/>
      <c r="G40" s="45"/>
      <c r="H40" s="45"/>
      <c r="I40" s="45"/>
      <c r="J40" s="45"/>
      <c r="K40" s="45"/>
      <c r="L40" s="45"/>
      <c r="M40" s="45"/>
      <c r="N40" s="45"/>
      <c r="O40" s="46"/>
      <c r="AA40" s="47">
        <f t="shared" si="0"/>
        <v>44090</v>
      </c>
      <c r="AB40" s="49" t="str">
        <f t="shared" ca="1" si="1"/>
        <v>A3</v>
      </c>
      <c r="AC40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0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0" s="51">
        <f ca="1">SUM($AC$14:AC40)</f>
        <v>8368.4210526315765</v>
      </c>
      <c r="AF40" s="51" t="e">
        <f>IF(AD40="",NA(),SUM($AD$14:AD40))</f>
        <v>#N/A</v>
      </c>
      <c r="AG40" s="51" t="str">
        <f ca="1">WeeklyPlanned(Output_0001[[#Headers],[WP_A1]], Output_0001[[#This Row],[Date]])</f>
        <v/>
      </c>
      <c r="AH40" s="51"/>
      <c r="AI40" s="51" t="str">
        <f ca="1">WeeklyPlanned(Output_0001[[#Headers],[WP_A2]], Output_0001[[#This Row],[Date]])</f>
        <v/>
      </c>
      <c r="AJ40" s="51"/>
      <c r="AK40" s="51">
        <f ca="1">WeeklyPlanned(Output_0001[[#Headers],[WP_A3]], Output_0001[[#This Row],[Date]])</f>
        <v>263.15789473684208</v>
      </c>
      <c r="AL40" s="51"/>
    </row>
    <row r="41" spans="2:38" ht="14.5" x14ac:dyDescent="0.35">
      <c r="AA41" s="47">
        <f t="shared" si="0"/>
        <v>44097</v>
      </c>
      <c r="AB41" s="49" t="str">
        <f t="shared" ca="1" si="1"/>
        <v>A3</v>
      </c>
      <c r="AC41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1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1" s="51">
        <f ca="1">SUM($AC$14:AC41)</f>
        <v>8631.5789473684181</v>
      </c>
      <c r="AF41" s="51" t="e">
        <f>IF(AD41="",NA(),SUM($AD$14:AD41))</f>
        <v>#N/A</v>
      </c>
      <c r="AG41" s="51" t="str">
        <f ca="1">WeeklyPlanned(Output_0001[[#Headers],[WP_A1]], Output_0001[[#This Row],[Date]])</f>
        <v/>
      </c>
      <c r="AH41" s="51"/>
      <c r="AI41" s="51" t="str">
        <f ca="1">WeeklyPlanned(Output_0001[[#Headers],[WP_A2]], Output_0001[[#This Row],[Date]])</f>
        <v/>
      </c>
      <c r="AJ41" s="51"/>
      <c r="AK41" s="51">
        <f ca="1">WeeklyPlanned(Output_0001[[#Headers],[WP_A3]], Output_0001[[#This Row],[Date]])</f>
        <v>263.15789473684208</v>
      </c>
      <c r="AL41" s="51"/>
    </row>
    <row r="42" spans="2:38" ht="14.5" x14ac:dyDescent="0.35">
      <c r="AA42" s="47">
        <f t="shared" si="0"/>
        <v>44104</v>
      </c>
      <c r="AB42" s="49" t="str">
        <f t="shared" ca="1" si="1"/>
        <v>A3</v>
      </c>
      <c r="AC42" s="51">
        <f ca="1">IF(Output_0001[[#This Row],[WP_A1]]="", 0, Output_0001[[#This Row],[WP_A1]])+IF(Output_0001[[#This Row],[WP_A2]]="", 0, Output_0001[[#This Row],[WP_A2]])+IF(Output_0001[[#This Row],[WP_A3]]="", 0, Output_0001[[#This Row],[WP_A3]])</f>
        <v>263.15789473684208</v>
      </c>
      <c r="AD42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2" s="51">
        <f ca="1">SUM($AC$14:AC42)</f>
        <v>8894.7368421052597</v>
      </c>
      <c r="AF42" s="51" t="e">
        <f>IF(AD42="",NA(),SUM($AD$14:AD42))</f>
        <v>#N/A</v>
      </c>
      <c r="AG42" s="51" t="str">
        <f ca="1">WeeklyPlanned(Output_0001[[#Headers],[WP_A1]], Output_0001[[#This Row],[Date]])</f>
        <v/>
      </c>
      <c r="AH42" s="51"/>
      <c r="AI42" s="51" t="str">
        <f ca="1">WeeklyPlanned(Output_0001[[#Headers],[WP_A2]], Output_0001[[#This Row],[Date]])</f>
        <v/>
      </c>
      <c r="AJ42" s="51"/>
      <c r="AK42" s="51">
        <f ca="1">WeeklyPlanned(Output_0001[[#Headers],[WP_A3]], Output_0001[[#This Row],[Date]])</f>
        <v>263.15789473684208</v>
      </c>
      <c r="AL42" s="51"/>
    </row>
    <row r="43" spans="2:38" ht="14.5" x14ac:dyDescent="0.35">
      <c r="AA43" s="47">
        <f t="shared" si="0"/>
        <v>44111</v>
      </c>
      <c r="AB43" s="49" t="str">
        <f t="shared" ca="1" si="1"/>
        <v>A3</v>
      </c>
      <c r="AC43" s="51">
        <f ca="1">IF(Output_0001[[#This Row],[WP_A1]]="", 0, Output_0001[[#This Row],[WP_A1]])+IF(Output_0001[[#This Row],[WP_A2]]="", 0, Output_0001[[#This Row],[WP_A2]])+IF(Output_0001[[#This Row],[WP_A3]]="", 0, Output_0001[[#This Row],[WP_A3]])</f>
        <v>105.26315789473684</v>
      </c>
      <c r="AD43" s="51" t="str">
        <f>IF(AND(ISBLANK(Output_0001[[#This Row],[WA_A1]]),ISBLANK(Output_0001[[#This Row],[WA_A2]]),ISBLANK(Output_0001[[#This Row],[WA_A3]])),"", Output_0001[[#This Row],[WA_A1]]+Output_0001[[#This Row],[WA_A2]]+Output_0001[[#This Row],[WA_A3]])</f>
        <v/>
      </c>
      <c r="AE43" s="51">
        <f ca="1">SUM($AC$14:AC43)</f>
        <v>8999.9999999999964</v>
      </c>
      <c r="AF43" s="51" t="e">
        <f>IF(AD43="",NA(),SUM($AD$14:AD43))</f>
        <v>#N/A</v>
      </c>
      <c r="AG43" s="51" t="str">
        <f ca="1">WeeklyPlanned(Output_0001[[#Headers],[WP_A1]], Output_0001[[#This Row],[Date]])</f>
        <v/>
      </c>
      <c r="AH43" s="51"/>
      <c r="AI43" s="51" t="str">
        <f ca="1">WeeklyPlanned(Output_0001[[#Headers],[WP_A2]], Output_0001[[#This Row],[Date]])</f>
        <v/>
      </c>
      <c r="AJ43" s="51"/>
      <c r="AK43" s="51">
        <f ca="1">WeeklyPlanned(Output_0001[[#Headers],[WP_A3]], Output_0001[[#This Row],[Date]])</f>
        <v>105.26315789473684</v>
      </c>
      <c r="AL43" s="51"/>
    </row>
  </sheetData>
  <mergeCells count="21">
    <mergeCell ref="J13:M13"/>
    <mergeCell ref="N13:O13"/>
    <mergeCell ref="L14:O15"/>
    <mergeCell ref="U9:X9"/>
    <mergeCell ref="J10:M10"/>
    <mergeCell ref="U10:X11"/>
    <mergeCell ref="J11:M11"/>
    <mergeCell ref="J12:M12"/>
    <mergeCell ref="N12:O12"/>
    <mergeCell ref="J9:M9"/>
    <mergeCell ref="C6:I6"/>
    <mergeCell ref="J6:M6"/>
    <mergeCell ref="C7:I7"/>
    <mergeCell ref="J7:M7"/>
    <mergeCell ref="J8:M8"/>
    <mergeCell ref="AA1:AB1"/>
    <mergeCell ref="B2:O3"/>
    <mergeCell ref="C4:I4"/>
    <mergeCell ref="J4:M4"/>
    <mergeCell ref="C5:I5"/>
    <mergeCell ref="J5:M5"/>
  </mergeCells>
  <conditionalFormatting sqref="AF14:AL43">
    <cfRule type="containsErrors" dxfId="6" priority="7">
      <formula>ISERROR(AF14)</formula>
    </cfRule>
  </conditionalFormatting>
  <conditionalFormatting sqref="W13:X13">
    <cfRule type="expression" dxfId="5" priority="6">
      <formula>IF(OR($S$8 = "Assemble Addin", $S$8 = "Bluebeam QL"), TRUE, FALSE)</formula>
    </cfRule>
  </conditionalFormatting>
  <conditionalFormatting sqref="N6:O6">
    <cfRule type="expression" dxfId="4" priority="5">
      <formula>IF($N$6=$O$6, FALSE, TRUE)</formula>
    </cfRule>
  </conditionalFormatting>
  <conditionalFormatting sqref="W14:X16">
    <cfRule type="expression" dxfId="3" priority="3">
      <formula>IF(OR($S$8 = "Assemble Addin", $S$8 = "Bluebeam QL"), TRUE, FALSE)</formula>
    </cfRule>
    <cfRule type="expression" dxfId="2" priority="4">
      <formula>IF(OR($S$8 = "Assemble Addin", $S$8 = "Bluebeam QL"), MOD(ROW(), 2)=0, FALSE)</formula>
    </cfRule>
  </conditionalFormatting>
  <conditionalFormatting sqref="R13">
    <cfRule type="expression" dxfId="1" priority="2">
      <formula>IF($S$8 = "Assemble Addin", TRUE, FALSE)</formula>
    </cfRule>
  </conditionalFormatting>
  <conditionalFormatting sqref="R14:R16">
    <cfRule type="expression" dxfId="0" priority="1">
      <formula>IF($S$8 = "Assemble Addin", MOD(ROW(), 2)=0, FALSE)</formula>
    </cfRule>
  </conditionalFormatting>
  <dataValidations count="2">
    <dataValidation type="list" showInputMessage="1" showErrorMessage="1" sqref="U2:U8" xr:uid="{4243ABFD-9C0D-4231-88C6-ED12BC87A031}">
      <formula1>"TRUE, FALSE"</formula1>
    </dataValidation>
    <dataValidation type="list" showInputMessage="1" showErrorMessage="1" sqref="S8" xr:uid="{5292D842-CE8F-469F-9F9C-DF218A9B045D}">
      <formula1>"Manual, Assemble Addin, Bluebeam QL"</formula1>
    </dataValidation>
  </dataValidations>
  <pageMargins left="0.7" right="0.7" top="0.75" bottom="0.75" header="0.3" footer="0.3"/>
  <pageSetup scale="84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AddColumnsOutputTable">
                <anchor moveWithCells="1" sizeWithCells="1">
                  <from>
                    <xdr:col>26</xdr:col>
                    <xdr:colOff>44450</xdr:colOff>
                    <xdr:row>1</xdr:row>
                    <xdr:rowOff>25400</xdr:rowOff>
                  </from>
                  <to>
                    <xdr:col>26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5" name="Button 2">
              <controlPr defaultSize="0" print="0" autoFill="0" autoPict="0" macro="[0]!UpdateTrade">
                <anchor moveWithCells="1" sizeWithCells="1">
                  <from>
                    <xdr:col>22</xdr:col>
                    <xdr:colOff>25400</xdr:colOff>
                    <xdr:row>1</xdr:row>
                    <xdr:rowOff>19050</xdr:rowOff>
                  </from>
                  <to>
                    <xdr:col>22</xdr:col>
                    <xdr:colOff>1174750</xdr:colOff>
                    <xdr:row>3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6" name="Button 3">
              <controlPr defaultSize="0" print="0" autoFill="0" autoPict="0" macro="[0]!IDontWorkYet">
                <anchor moveWithCells="1" sizeWithCells="1">
                  <from>
                    <xdr:col>26</xdr:col>
                    <xdr:colOff>44450</xdr:colOff>
                    <xdr:row>4</xdr:row>
                    <xdr:rowOff>38100</xdr:rowOff>
                  </from>
                  <to>
                    <xdr:col>26</xdr:col>
                    <xdr:colOff>1003300</xdr:colOff>
                    <xdr:row>6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7" name="Button 4">
              <controlPr defaultSize="0" print="0" autoFill="0" autoPict="0" macro="[0]!IDontWorkYet">
                <anchor moveWithCells="1" sizeWithCells="1">
                  <from>
                    <xdr:col>22</xdr:col>
                    <xdr:colOff>25400</xdr:colOff>
                    <xdr:row>4</xdr:row>
                    <xdr:rowOff>31750</xdr:rowOff>
                  </from>
                  <to>
                    <xdr:col>22</xdr:col>
                    <xdr:colOff>1174750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8" name="Button 5">
              <controlPr defaultSize="0" print="0" autoFill="0" autoPict="0" macro="[0]!IDontWorkYet">
                <anchor moveWithCells="1" sizeWithCells="1">
                  <from>
                    <xdr:col>27</xdr:col>
                    <xdr:colOff>44450</xdr:colOff>
                    <xdr:row>1</xdr:row>
                    <xdr:rowOff>25400</xdr:rowOff>
                  </from>
                  <to>
                    <xdr:col>27</xdr:col>
                    <xdr:colOff>1003300</xdr:colOff>
                    <xdr:row>3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9" name="Button 6">
              <controlPr defaultSize="0" print="0" autoFill="0" autoPict="0" macro="[0]!SelectTradeTakeoffFiles">
                <anchor moveWithCells="1" sizeWithCells="1">
                  <from>
                    <xdr:col>19</xdr:col>
                    <xdr:colOff>6350</xdr:colOff>
                    <xdr:row>10</xdr:row>
                    <xdr:rowOff>12700</xdr:rowOff>
                  </from>
                  <to>
                    <xdr:col>19</xdr:col>
                    <xdr:colOff>1536700</xdr:colOff>
                    <xdr:row>10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10" name="Button 7">
              <controlPr defaultSize="0" print="0" autoFill="0" autoPict="0" macro="[0]!Automate_MapQuantities">
                <anchor moveWithCells="1" sizeWithCells="1">
                  <from>
                    <xdr:col>27</xdr:col>
                    <xdr:colOff>57150</xdr:colOff>
                    <xdr:row>4</xdr:row>
                    <xdr:rowOff>38100</xdr:rowOff>
                  </from>
                  <to>
                    <xdr:col>27</xdr:col>
                    <xdr:colOff>1016000</xdr:colOff>
                    <xdr:row>6</xdr:row>
                    <xdr:rowOff>158750</xdr:rowOff>
                  </to>
                </anchor>
              </controlPr>
            </control>
          </mc:Choice>
        </mc:AlternateContent>
      </controls>
    </mc:Choice>
  </mc:AlternateContent>
  <tableParts count="2">
    <tablePart r:id="rId11"/>
    <tablePart r:id="rId1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FB5DB87-80AB-4B5F-82FF-9A9B22BB535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Sheet4</vt:lpstr>
      <vt:lpstr>BI_Export</vt:lpstr>
      <vt:lpstr>Template</vt:lpstr>
      <vt:lpstr>Assemb_Template</vt:lpstr>
      <vt:lpstr>Settings</vt:lpstr>
      <vt:lpstr>Main</vt:lpstr>
      <vt:lpstr>0501</vt:lpstr>
      <vt:lpstr>0001</vt:lpstr>
      <vt:lpstr>AssembleConnection</vt:lpstr>
      <vt:lpstr>Dev_Mode</vt:lpstr>
      <vt:lpstr>Half_After_Holiday</vt:lpstr>
      <vt:lpstr>Logging</vt:lpstr>
      <vt:lpstr>Percent_Error</vt:lpstr>
      <vt:lpstr>Power_BI_Export_Folder</vt:lpstr>
      <vt:lpstr>Power_BI_Filename</vt:lpstr>
      <vt:lpstr>'0001'!Print_Area</vt:lpstr>
      <vt:lpstr>'0501'!Print_Area</vt:lpstr>
      <vt:lpstr>Main!Print_Area</vt:lpstr>
      <vt:lpstr>Template!Print_Area</vt:lpstr>
      <vt:lpstr>Project_Engineer</vt:lpstr>
      <vt:lpstr>Project_Manager</vt:lpstr>
      <vt:lpstr>Project_Name</vt:lpstr>
      <vt:lpstr>Project_Number</vt:lpstr>
      <vt:lpstr>RedGreen_Formatting</vt:lpstr>
      <vt:lpstr>Report_Date</vt:lpstr>
      <vt:lpstr>Reporting_Day</vt:lpstr>
      <vt:lpstr>Schedule_Run_Date</vt:lpstr>
      <vt:lpstr>Superintendent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2020-07-31T16:14:46Z</cp:lastPrinted>
  <dcterms:created xsi:type="dcterms:W3CDTF">2019-04-09T17:53:55Z</dcterms:created>
  <dcterms:modified xsi:type="dcterms:W3CDTF">2020-07-31T16:15:02Z</dcterms:modified>
</cp:coreProperties>
</file>