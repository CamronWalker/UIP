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4EAA944E-DB91-4773-996F-B23D3CEFBAD5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G32" i="11"/>
  <c r="AK37" i="11"/>
  <c r="AI30" i="11"/>
  <c r="AI34" i="11"/>
  <c r="AI19" i="11"/>
  <c r="AK39" i="11"/>
  <c r="AK33" i="11"/>
  <c r="AI37" i="11"/>
  <c r="AI17" i="11"/>
  <c r="AI36" i="11"/>
  <c r="AI32" i="11"/>
  <c r="AG22" i="11"/>
  <c r="AK36" i="11"/>
  <c r="AK32" i="11"/>
  <c r="AG23" i="11"/>
  <c r="AI27" i="11"/>
  <c r="AI23" i="11"/>
  <c r="AG35" i="11"/>
  <c r="AG28" i="11"/>
  <c r="AK31" i="11"/>
  <c r="AG31" i="11"/>
  <c r="AK21" i="11"/>
  <c r="AG37" i="11"/>
  <c r="AG40" i="11"/>
  <c r="AG36" i="11"/>
  <c r="AG21" i="11"/>
  <c r="AK30" i="11"/>
  <c r="AG26" i="11"/>
  <c r="AK16" i="11"/>
  <c r="AK24" i="11"/>
  <c r="AG14" i="11"/>
  <c r="AG34" i="11"/>
  <c r="AK43" i="11"/>
  <c r="AK34" i="11"/>
  <c r="AI43" i="11"/>
  <c r="AI24" i="11"/>
  <c r="AK22" i="11"/>
  <c r="AK18" i="11"/>
  <c r="AG18" i="11"/>
  <c r="AI15" i="11"/>
  <c r="AK28" i="11"/>
  <c r="AI16" i="11"/>
  <c r="AI35" i="11"/>
  <c r="AG41" i="11"/>
  <c r="AI42" i="11"/>
  <c r="AI26" i="11"/>
  <c r="AK26" i="11"/>
  <c r="AG20" i="11"/>
  <c r="AG17" i="11"/>
  <c r="AK19" i="11"/>
  <c r="AK29" i="11"/>
  <c r="AG43" i="11"/>
  <c r="AG38" i="11"/>
  <c r="AK41" i="11"/>
  <c r="AK38" i="11"/>
  <c r="AI29" i="11"/>
  <c r="AG42" i="11"/>
  <c r="AG15" i="11"/>
  <c r="AI18" i="11"/>
  <c r="AG29" i="11"/>
  <c r="I33" i="2"/>
  <c r="AG25" i="11"/>
  <c r="AK27" i="11"/>
  <c r="AK25" i="11"/>
  <c r="AK17" i="11"/>
  <c r="AK20" i="11"/>
  <c r="AG19" i="11"/>
  <c r="AK23" i="11"/>
  <c r="I16" i="2"/>
  <c r="AI41" i="11"/>
  <c r="AG39" i="11"/>
  <c r="AI28" i="11"/>
  <c r="AI33" i="11"/>
  <c r="AI31" i="11"/>
  <c r="AK42" i="11"/>
  <c r="AI14" i="11"/>
  <c r="AG24" i="11"/>
  <c r="AG27" i="11"/>
  <c r="AK40" i="11"/>
  <c r="AG30" i="11"/>
  <c r="AI21" i="11"/>
  <c r="AG16" i="11"/>
  <c r="AK15" i="11"/>
  <c r="AK14" i="11"/>
  <c r="AI22" i="11"/>
  <c r="AK35" i="11"/>
  <c r="AI38" i="11"/>
  <c r="AG33" i="11"/>
  <c r="AI20" i="11"/>
  <c r="AI40" i="11"/>
  <c r="AI39" i="11"/>
  <c r="AI25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31" i="11"/>
  <c r="AB38" i="11"/>
  <c r="N11" i="11"/>
  <c r="AB43" i="11"/>
  <c r="AB14" i="11"/>
  <c r="N12" i="11"/>
  <c r="AB26" i="11"/>
  <c r="AB20" i="11"/>
  <c r="O7" i="11"/>
  <c r="O9" i="11"/>
  <c r="AB23" i="11"/>
  <c r="AB39" i="11"/>
  <c r="AB28" i="11"/>
  <c r="O8" i="11"/>
  <c r="AB42" i="11"/>
  <c r="AB17" i="11"/>
  <c r="AB18" i="11"/>
  <c r="AG15" i="10"/>
  <c r="N10" i="11"/>
  <c r="AB19" i="11"/>
  <c r="AB22" i="11"/>
  <c r="AB35" i="11"/>
  <c r="O6" i="11"/>
  <c r="AB21" i="11"/>
  <c r="AB41" i="11"/>
  <c r="AB24" i="11"/>
  <c r="AB29" i="11"/>
  <c r="AB25" i="11"/>
  <c r="AB37" i="11"/>
  <c r="AB33" i="11"/>
  <c r="N6" i="11"/>
  <c r="AB32" i="11"/>
  <c r="N8" i="11"/>
  <c r="AB40" i="11"/>
  <c r="AB30" i="11"/>
  <c r="AB27" i="11"/>
  <c r="AB36" i="11"/>
  <c r="AB15" i="11"/>
  <c r="AB16" i="11"/>
  <c r="AB34" i="11"/>
  <c r="N9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15" i="10"/>
  <c r="AU35" i="10"/>
  <c r="AG18" i="10"/>
  <c r="AK41" i="10"/>
  <c r="AM37" i="10"/>
  <c r="AS25" i="10"/>
  <c r="AS24" i="10"/>
  <c r="AS40" i="10"/>
  <c r="AU22" i="10"/>
  <c r="AK22" i="10"/>
  <c r="AO19" i="10"/>
  <c r="AK25" i="10"/>
  <c r="AQ28" i="10"/>
  <c r="AU44" i="10"/>
  <c r="AI42" i="10"/>
  <c r="AQ19" i="10"/>
  <c r="AO24" i="10"/>
  <c r="AI20" i="10"/>
  <c r="AI31" i="10"/>
  <c r="AM19" i="10"/>
  <c r="AM16" i="10"/>
  <c r="AS22" i="10"/>
  <c r="AM34" i="10"/>
  <c r="AS39" i="10"/>
  <c r="AI21" i="10"/>
  <c r="AI27" i="10"/>
  <c r="AG19" i="10"/>
  <c r="AI43" i="10"/>
  <c r="AS29" i="10"/>
  <c r="AM24" i="10"/>
  <c r="AO44" i="10"/>
  <c r="AQ41" i="10"/>
  <c r="AK38" i="10"/>
  <c r="AS33" i="10"/>
  <c r="AG45" i="10"/>
  <c r="AO34" i="10"/>
  <c r="AS37" i="10"/>
  <c r="AI22" i="10"/>
  <c r="AS38" i="10"/>
  <c r="AG20" i="10"/>
  <c r="AK33" i="10"/>
  <c r="AI17" i="10"/>
  <c r="AO32" i="10"/>
  <c r="AG22" i="10"/>
  <c r="AK21" i="10"/>
  <c r="AI41" i="10"/>
  <c r="AG17" i="10"/>
  <c r="AI36" i="10"/>
  <c r="AS36" i="10"/>
  <c r="AM28" i="10"/>
  <c r="AO27" i="10"/>
  <c r="AQ33" i="10"/>
  <c r="AU37" i="10"/>
  <c r="AI45" i="10"/>
  <c r="AS27" i="10"/>
  <c r="AI16" i="10"/>
  <c r="AM36" i="10"/>
  <c r="AQ43" i="10"/>
  <c r="AG44" i="10"/>
  <c r="AU26" i="10"/>
  <c r="AK32" i="10"/>
  <c r="AK26" i="10"/>
  <c r="AS15" i="10"/>
  <c r="AI39" i="10"/>
  <c r="AI40" i="10"/>
  <c r="AI14" i="10"/>
  <c r="AS18" i="10"/>
  <c r="AO18" i="10"/>
  <c r="AI30" i="10"/>
  <c r="AG14" i="10"/>
  <c r="AM23" i="10"/>
  <c r="AU15" i="10"/>
  <c r="AG26" i="10"/>
  <c r="AU20" i="10"/>
  <c r="AU36" i="10"/>
  <c r="AS19" i="10"/>
  <c r="AG38" i="10"/>
  <c r="N7" i="11"/>
  <c r="AO43" i="10"/>
  <c r="AK36" i="10"/>
  <c r="AQ37" i="10"/>
  <c r="AU33" i="10"/>
  <c r="AI33" i="10"/>
  <c r="AU24" i="10"/>
  <c r="AQ32" i="10"/>
  <c r="AO39" i="10"/>
  <c r="AS28" i="10"/>
  <c r="AI19" i="10"/>
  <c r="AO42" i="10"/>
  <c r="AG40" i="10"/>
  <c r="AO45" i="10"/>
  <c r="AS30" i="10"/>
  <c r="AM29" i="10"/>
  <c r="AS43" i="10"/>
  <c r="AQ23" i="10"/>
  <c r="AG32" i="10"/>
  <c r="AM21" i="10"/>
  <c r="AS26" i="10"/>
  <c r="AG27" i="10"/>
  <c r="AM27" i="10"/>
  <c r="AG25" i="10"/>
  <c r="AO21" i="10"/>
  <c r="AK29" i="10"/>
  <c r="AO25" i="10"/>
  <c r="AG28" i="10"/>
  <c r="AS21" i="10"/>
  <c r="AQ31" i="10"/>
  <c r="AU21" i="10"/>
  <c r="AU28" i="10"/>
  <c r="AG21" i="10"/>
  <c r="AS35" i="10"/>
  <c r="AO33" i="10"/>
  <c r="AM35" i="10"/>
  <c r="AO22" i="10"/>
  <c r="AI26" i="10"/>
  <c r="AQ42" i="10"/>
  <c r="AU16" i="10"/>
  <c r="AO31" i="10"/>
  <c r="AM42" i="10"/>
  <c r="AQ44" i="10"/>
  <c r="AI38" i="10"/>
  <c r="AG29" i="10"/>
  <c r="AI18" i="10"/>
  <c r="AQ45" i="10"/>
  <c r="AQ14" i="10"/>
  <c r="AU42" i="10"/>
  <c r="AO30" i="10"/>
  <c r="AM17" i="10"/>
  <c r="AS16" i="10"/>
  <c r="AQ39" i="10"/>
  <c r="AK17" i="10"/>
  <c r="AM20" i="10"/>
  <c r="AM31" i="10"/>
  <c r="AK24" i="10"/>
  <c r="AU31" i="10"/>
  <c r="AK28" i="10"/>
  <c r="AI24" i="10"/>
  <c r="AI35" i="10"/>
  <c r="AM26" i="10"/>
  <c r="AU45" i="10"/>
  <c r="AS31" i="10"/>
  <c r="AO28" i="10"/>
  <c r="AI44" i="10"/>
  <c r="AM14" i="10"/>
  <c r="AU18" i="10"/>
  <c r="AQ26" i="10"/>
  <c r="AK37" i="10"/>
  <c r="AM32" i="10"/>
  <c r="AG37" i="10"/>
  <c r="AI32" i="10"/>
  <c r="AQ24" i="10"/>
  <c r="AI29" i="10"/>
  <c r="AQ27" i="10"/>
  <c r="AK39" i="10"/>
  <c r="AK40" i="10"/>
  <c r="AG41" i="10"/>
  <c r="AU38" i="10"/>
  <c r="AM25" i="10"/>
  <c r="AU29" i="10"/>
  <c r="AG34" i="10"/>
  <c r="AK34" i="10"/>
  <c r="AK35" i="10"/>
  <c r="AO41" i="10"/>
  <c r="AO20" i="10"/>
  <c r="AQ17" i="10"/>
  <c r="AS23" i="10"/>
  <c r="AM38" i="10"/>
  <c r="AS20" i="10"/>
  <c r="AQ36" i="10"/>
  <c r="AQ40" i="10"/>
  <c r="AU23" i="10"/>
  <c r="AM30" i="10"/>
  <c r="AI15" i="10"/>
  <c r="AK19" i="10"/>
  <c r="AK14" i="10"/>
  <c r="AU39" i="10"/>
  <c r="AI25" i="10"/>
  <c r="AG39" i="10"/>
  <c r="AS17" i="10"/>
  <c r="AG36" i="10"/>
  <c r="AQ16" i="10"/>
  <c r="AQ21" i="10"/>
  <c r="AK30" i="10"/>
  <c r="AO40" i="10"/>
  <c r="AU25" i="10"/>
  <c r="AQ38" i="10"/>
  <c r="AQ25" i="10"/>
  <c r="AS34" i="10"/>
  <c r="AO36" i="10"/>
  <c r="AU41" i="10"/>
  <c r="AK45" i="10"/>
  <c r="AO26" i="10"/>
  <c r="AG42" i="10"/>
  <c r="AM44" i="10"/>
  <c r="AQ15" i="10"/>
  <c r="AM41" i="10"/>
  <c r="AS45" i="10"/>
  <c r="AQ29" i="10"/>
  <c r="AQ30" i="10"/>
  <c r="AM43" i="10"/>
  <c r="AS41" i="10"/>
  <c r="AG43" i="10"/>
  <c r="AM18" i="10"/>
  <c r="AQ20" i="10"/>
  <c r="AK20" i="10"/>
  <c r="AG16" i="10"/>
  <c r="AG31" i="10"/>
  <c r="AO35" i="10"/>
  <c r="AK18" i="10"/>
  <c r="AU32" i="10"/>
  <c r="AG24" i="10"/>
  <c r="AO37" i="10"/>
  <c r="AM22" i="10"/>
  <c r="AQ18" i="10"/>
  <c r="AK43" i="10"/>
  <c r="AU40" i="10"/>
  <c r="AS42" i="10"/>
  <c r="AI34" i="10"/>
  <c r="AO29" i="10"/>
  <c r="AO23" i="10"/>
  <c r="AQ34" i="10"/>
  <c r="AM15" i="10"/>
  <c r="AG35" i="10"/>
  <c r="AM40" i="10"/>
  <c r="AU27" i="10"/>
  <c r="AO16" i="10"/>
  <c r="AO14" i="10"/>
  <c r="AS32" i="10"/>
  <c r="AQ22" i="10"/>
  <c r="AO38" i="10"/>
  <c r="AM45" i="10"/>
  <c r="AS14" i="10"/>
  <c r="AI37" i="10"/>
  <c r="AU30" i="10"/>
  <c r="AQ35" i="10"/>
  <c r="AK23" i="10"/>
  <c r="AM39" i="10"/>
  <c r="AO17" i="10"/>
  <c r="AK16" i="10"/>
  <c r="AU34" i="10"/>
  <c r="AG33" i="10"/>
  <c r="AG23" i="10"/>
  <c r="AK27" i="10"/>
  <c r="AM33" i="10"/>
  <c r="AS44" i="10"/>
  <c r="AU14" i="10"/>
  <c r="AI28" i="10"/>
  <c r="AK42" i="10"/>
  <c r="AU17" i="10"/>
  <c r="AU19" i="10"/>
  <c r="AK31" i="10"/>
  <c r="AK44" i="10"/>
  <c r="AU43" i="10"/>
  <c r="AG30" i="10"/>
  <c r="AI23" i="10"/>
  <c r="AO15" i="10"/>
  <c r="O10" i="10"/>
  <c r="N13" i="11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1" i="10"/>
  <c r="AB33" i="10"/>
  <c r="O7" i="10"/>
  <c r="O9" i="10"/>
  <c r="AB34" i="10"/>
  <c r="AB15" i="10"/>
  <c r="AB20" i="10"/>
  <c r="O11" i="11"/>
  <c r="AB38" i="10"/>
  <c r="AB25" i="10"/>
  <c r="AB26" i="10"/>
  <c r="AB31" i="10"/>
  <c r="AB45" i="10"/>
  <c r="N9" i="10"/>
  <c r="AB30" i="10"/>
  <c r="AB22" i="10"/>
  <c r="O6" i="10"/>
  <c r="AB37" i="10"/>
  <c r="AB44" i="10"/>
  <c r="N12" i="10"/>
  <c r="AB18" i="10"/>
  <c r="N10" i="10"/>
  <c r="AB32" i="10"/>
  <c r="AB29" i="10"/>
  <c r="AB23" i="10"/>
  <c r="N11" i="10"/>
  <c r="AB42" i="10"/>
  <c r="AB16" i="10"/>
  <c r="AB27" i="10"/>
  <c r="AB43" i="10"/>
  <c r="AB41" i="10"/>
  <c r="AB40" i="10"/>
  <c r="AB17" i="10"/>
  <c r="O8" i="10"/>
  <c r="AB19" i="10"/>
  <c r="N8" i="10"/>
  <c r="AB39" i="10"/>
  <c r="AB35" i="10"/>
  <c r="AB14" i="10"/>
  <c r="AB24" i="10"/>
  <c r="AB36" i="10"/>
  <c r="N6" i="10"/>
  <c r="AB28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G15" i="3"/>
  <c r="AK15" i="3"/>
  <c r="AI15" i="3"/>
  <c r="N12" i="3"/>
  <c r="AC15" i="3" l="1"/>
  <c r="AE15" i="3" s="1"/>
  <c r="AE14" i="3"/>
  <c r="AA16" i="3"/>
  <c r="B2" i="3"/>
  <c r="C5" i="3"/>
  <c r="C4" i="3"/>
  <c r="AB15" i="3"/>
  <c r="AG16" i="3"/>
  <c r="AI16" i="3"/>
  <c r="AK16" i="3"/>
  <c r="N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K18" i="3"/>
  <c r="AB17" i="3"/>
  <c r="AG18" i="3"/>
  <c r="AC18" i="3" l="1"/>
  <c r="AA19" i="3"/>
  <c r="AE17" i="3"/>
  <c r="B2" i="2"/>
  <c r="B4" i="2"/>
  <c r="AK19" i="3"/>
  <c r="AI19" i="3"/>
  <c r="AB18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K21" i="3"/>
  <c r="AI21" i="3"/>
  <c r="AG21" i="3"/>
  <c r="AB20" i="3"/>
  <c r="AC21" i="3" l="1"/>
  <c r="AA22" i="3"/>
  <c r="AB21" i="3"/>
  <c r="AG22" i="3"/>
  <c r="AK22" i="3"/>
  <c r="AI22" i="3"/>
  <c r="AC22" i="3" l="1"/>
  <c r="AE22" i="3" s="1"/>
  <c r="AA23" i="3"/>
  <c r="AE21" i="3"/>
  <c r="AI23" i="3"/>
  <c r="AK23" i="3"/>
  <c r="AB22" i="3"/>
  <c r="AG23" i="3"/>
  <c r="AC23" i="3" l="1"/>
  <c r="AA24" i="3"/>
  <c r="AK24" i="3"/>
  <c r="AG24" i="3"/>
  <c r="AB23" i="3"/>
  <c r="AI24" i="3"/>
  <c r="AC24" i="3" l="1"/>
  <c r="AE23" i="3"/>
  <c r="AA25" i="3"/>
  <c r="AG25" i="3"/>
  <c r="AB24" i="3"/>
  <c r="AK25" i="3"/>
  <c r="AI25" i="3"/>
  <c r="AC25" i="3" l="1"/>
  <c r="AA26" i="3"/>
  <c r="AE24" i="3"/>
  <c r="AK26" i="3"/>
  <c r="AB25" i="3"/>
  <c r="AG26" i="3"/>
  <c r="AI26" i="3"/>
  <c r="AC26" i="3" l="1"/>
  <c r="AA27" i="3"/>
  <c r="AE25" i="3"/>
  <c r="AG27" i="3"/>
  <c r="AI27" i="3"/>
  <c r="AK27" i="3"/>
  <c r="AB26" i="3"/>
  <c r="AC27" i="3" l="1"/>
  <c r="AA28" i="3"/>
  <c r="AE26" i="3"/>
  <c r="AI28" i="3"/>
  <c r="AG28" i="3"/>
  <c r="AB27" i="3"/>
  <c r="AK28" i="3"/>
  <c r="AC28" i="3" l="1"/>
  <c r="AA29" i="3"/>
  <c r="AE27" i="3"/>
  <c r="AK29" i="3"/>
  <c r="AI29" i="3"/>
  <c r="AG29" i="3"/>
  <c r="AB28" i="3"/>
  <c r="AC29" i="3" l="1"/>
  <c r="AA30" i="3"/>
  <c r="AE28" i="3"/>
  <c r="AI30" i="3"/>
  <c r="AK30" i="3"/>
  <c r="AG30" i="3"/>
  <c r="AB29" i="3"/>
  <c r="AC30" i="3" l="1"/>
  <c r="AA31" i="3"/>
  <c r="AE29" i="3"/>
  <c r="AG31" i="3"/>
  <c r="AB30" i="3"/>
  <c r="AI31" i="3"/>
  <c r="AK31" i="3"/>
  <c r="AC31" i="3" l="1"/>
  <c r="AA32" i="3"/>
  <c r="AE30" i="3"/>
  <c r="AB31" i="3"/>
  <c r="AK32" i="3"/>
  <c r="AI32" i="3"/>
  <c r="AG32" i="3"/>
  <c r="AC32" i="3" l="1"/>
  <c r="AA33" i="3"/>
  <c r="AE31" i="3"/>
  <c r="AI33" i="3"/>
  <c r="AB32" i="3"/>
  <c r="AK33" i="3"/>
  <c r="AG33" i="3"/>
  <c r="AC33" i="3" l="1"/>
  <c r="AA34" i="3"/>
  <c r="AE32" i="3"/>
  <c r="AG34" i="3"/>
  <c r="AB33" i="3"/>
  <c r="AK34" i="3"/>
  <c r="AI34" i="3"/>
  <c r="AC34" i="3" l="1"/>
  <c r="AA35" i="3"/>
  <c r="AE33" i="3"/>
  <c r="AB34" i="3"/>
  <c r="AG35" i="3"/>
  <c r="AK35" i="3"/>
  <c r="AI35" i="3"/>
  <c r="AC35" i="3" l="1"/>
  <c r="AA36" i="3"/>
  <c r="AE34" i="3"/>
  <c r="AK36" i="3"/>
  <c r="AI36" i="3"/>
  <c r="AB35" i="3"/>
  <c r="AG36" i="3"/>
  <c r="AC36" i="3" l="1"/>
  <c r="AA37" i="3"/>
  <c r="AE35" i="3"/>
  <c r="AB36" i="3"/>
  <c r="AK37" i="3"/>
  <c r="AI37" i="3"/>
  <c r="AG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K39" i="3"/>
  <c r="AG39" i="3"/>
  <c r="AC39" i="3" l="1"/>
  <c r="AA40" i="3"/>
  <c r="AE38" i="3"/>
  <c r="AG40" i="3"/>
  <c r="AK40" i="3"/>
  <c r="AB39" i="3"/>
  <c r="AI40" i="3"/>
  <c r="AC40" i="3" l="1"/>
  <c r="AA41" i="3"/>
  <c r="AE39" i="3"/>
  <c r="AB40" i="3"/>
  <c r="AG41" i="3"/>
  <c r="AI41" i="3"/>
  <c r="AK41" i="3"/>
  <c r="AC41" i="3" l="1"/>
  <c r="AA42" i="3"/>
  <c r="AE40" i="3"/>
  <c r="AB41" i="3"/>
  <c r="AI42" i="3"/>
  <c r="AK42" i="3"/>
  <c r="AG42" i="3"/>
  <c r="AC42" i="3" l="1"/>
  <c r="AA43" i="3"/>
  <c r="AE41" i="3"/>
  <c r="AK43" i="3"/>
  <c r="O8" i="3"/>
  <c r="AI43" i="3"/>
  <c r="AB42" i="3"/>
  <c r="AG43" i="3"/>
  <c r="N7" i="3"/>
  <c r="O10" i="3"/>
  <c r="O9" i="3"/>
  <c r="N8" i="3"/>
  <c r="N10" i="3"/>
  <c r="O7" i="3"/>
  <c r="N5" i="3" l="1"/>
  <c r="V2" i="3" s="1"/>
  <c r="AC43" i="3"/>
  <c r="AE42" i="3"/>
  <c r="O6" i="3"/>
  <c r="N9" i="3"/>
  <c r="AB43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<sst xmlns="http://schemas.openxmlformats.org/spreadsheetml/2006/main" count="522" uniqueCount="162">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</sst>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3B1A75-15EA-4C27-8261-D3543DD482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C81B83-6A3B-461F-81CF-6B69F03903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112FFB-4F51-4536-927E-AB392DA6C3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A6FEAF-5615-46A1-A7B3-A4546B170C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A1A2ED-32D0-4454-BFFA-784A579BB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08A579-3397-41FA-85A0-7C363AA939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A99715-E68E-4A3E-A1F6-720B0A0632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E31951-743A-4209-8F46-2969107E2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953DE4-D23E-4209-91CA-F690466A1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A3BF37-728F-44F1-807C-05739D2899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FEA11A-3EC3-4B8C-8168-B1BF565A16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8B64CA-BC0A-4E6B-B2FA-DFF915CE46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61FA7B-AC3D-4E0F-880C-B32AE8CEF4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3DEC1F-35D0-47C2-A390-1C579128AD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5CE7A0-A476-4EF0-B496-954DAFC82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1F1103-DDAB-44F5-A54D-2782A2E43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6FF694-5957-4907-8243-317E7170AA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B83B53-7BFD-43B7-92D7-8689D523F1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B01AED-65C0-4075-8F29-2DDB9B45B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8DA761-235A-4740-86AB-3DC20AE3BB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9E7D31-7317-439F-BAF6-0E284F7326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D84561-1BD6-46A2-976D-4820F89D13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6DD4FE-480D-4130-B6BD-636970B66A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9208BC-F273-4FDD-8FA1-E6D43EFC64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0E5C7E-3E39-42E4-9F4B-261CACC10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B8AF83-CD8D-48C2-8EA2-206F4359D1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78369C-F0C6-41E0-B083-8F0A215F3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286A96-2814-40B3-96DD-5836812A9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89B67D-7E10-48A7-9B49-30BE529C22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5B9DE2-43CF-4357-BC5B-6532C4205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267F95D-AF3F-45C5-94AC-A2F715A25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16135B-25BA-4B14-9C9F-EFC2151E53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0B972C-8F13-45C4-A8BF-F1E9D734DB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A6D564-A7DA-45E8-89C2-46975766A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8BDD73-E7DD-4DC5-BD46-0A139405AA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0A553D-4A5E-4F9C-BC2D-66F9BD7E63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BF0916-834A-48D8-8CB2-FECA2E1674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7B5F77-3D35-4B48-B198-4A598F5381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5BE411-D862-4768-9CC8-8E66EBEBD7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A2483F-DE16-4887-8E73-3927B8AAA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D395A2-315F-4FC1-A656-C790AF04A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C90BF3-C9A5-4477-A45E-1F825B5178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10CB7D-7C99-4FAB-A999-FF6F347BAE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EBB461-0E63-4A28-9274-707A083E15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BC8CB6-26D2-40E8-AE9B-5DB2069D1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FD1FA2-161F-43E0-945F-C58FDDF7E7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87A077-6A40-49E7-B0E1-536369C3CC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05A899-12B3-4693-9D60-287090051F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D154AB-270E-46EA-A39F-4B72FD0D7E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65E148-94D9-46F3-AB5E-D05B25A3C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398D47-C205-4627-9246-8253C911C9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E7E419-6BBA-45C3-B167-B19B44EE9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BC678C9-59CD-45D2-B447-A39CBAC4A4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5056E1-4E80-49F2-8945-74449A16D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00C870-8896-4663-8DE2-2FD147A723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AB378D-210C-4C26-A2A7-422E7B991E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D6E72D-9F85-4768-AA41-F103505470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575297-2667-45C4-9825-E649FD9DDA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FAA99E-E308-4BA8-B25E-3D5D5B303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605271-A69C-472E-9CCB-32FCBBC0EB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CF6877-E2B7-4197-A8C6-968C914C32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F16544-6713-405F-A0A5-8C4AD2E3CC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AAAC068-DF79-4A70-A459-AD666E47A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7B03BD-68A7-4201-8BC6-564DE0F78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728A6D-15D3-40E6-A18C-1F6911CD65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6EB4F6-8378-497C-9896-EEE212C129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C5C996-B077-4050-8523-2F0D22DC1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FD146E-D1A7-4D21-9413-ECA417B35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20AE20-2ABE-43EA-B1FA-F164BCD43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3D1067-7FAE-4AF2-9EE7-71EADAD8E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506E31-A688-434C-8F2D-304AFF141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AD992D-68DC-4980-819C-49155FFFD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A2CF4D2-9D8B-48AD-B715-54F7DE8E6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9FFA6E-A9FC-4DD6-A004-66529C96BA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7FF043-0CE3-44A0-968F-E5084AAE9F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256E6D-43AB-4BB3-AECF-16EC7D2AC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CDB68B-7545-4723-8A8B-21C2114214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4E55AC-FCCB-4610-BA61-383CC2AE2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4A7B0A-38FD-4CB4-8CCA-5475F0285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CC4B49-0947-40E2-BC55-6DE0D1E8E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A2CF41-4885-4B35-A4CC-5B6C1950F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01D335-3E50-4B2B-B76C-8429D28B2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0CC74C-EBE1-47BD-93F1-05C1BF73F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1FCCE5-F67F-4073-90B1-30451D64BB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AB91A3-D8C9-434B-8CA8-B075CC9B9E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62ECDE-0985-42C3-8E60-DA4B14882B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969B2D-8A4B-4D6C-A039-B7DAA4DDA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BD2FD3-A08E-4B97-A931-E084D2C327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064E09-B3C4-4523-B05E-C57EF31472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E5752A-D9C3-44CA-9E74-189686631C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6A4E5C-F36C-43EE-8776-8B5A243143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090F1F-603C-494C-9DA1-2BD9E27C6E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8" dataDxfId="117">
  <autoFilter ref="R13:X16" xr:uid="{FF2C9E8B-1A62-479C-AF68-79B236C0B7BB}"/>
  <tableColumns count="7">
    <tableColumn id="1" xr3:uid="{727C6146-39EA-4E15-8783-53CAA87FAF36}" name="Zone ID" dataDxfId="116"/>
    <tableColumn id="2" xr3:uid="{2CA65110-6DD7-46D8-BFC2-5EB0C0E57567}" name="Description" dataDxfId="115"/>
    <tableColumn id="3" xr3:uid="{12D64F80-6A69-494F-BF8F-E326D34A185A}" name="Short Description" dataDxfId="114"/>
    <tableColumn id="4" xr3:uid="{71F3F5B2-8F6B-4985-B1FC-5A9D60095474}" name="Start Date" dataDxfId="113"/>
    <tableColumn id="5" xr3:uid="{57258378-8FED-4727-89AC-D938CB414B7B}" name="Finish Date" dataDxfId="11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0">
      <calculatedColumnFormula>IF(AA13 = "Date", $S$4, AA13+7)</calculatedColumnFormula>
    </tableColumn>
    <tableColumn id="6" xr3:uid="{5740AC03-CF53-4345-8667-6AC0CA6843D0}" name="Primary Areas" dataDxfId="109">
      <calculatedColumnFormula>PrimaryAreas(3)</calculatedColumnFormula>
    </tableColumn>
    <tableColumn id="2" xr3:uid="{AF232D3D-EC3F-4232-BA5D-1427173C2D6A}" name="Weekly Plan" dataDxfId="108">
      <calculatedColumnFormula xml:space="preserve"> IF(#REF!="", 0,#REF!)+ IF(#REF!="", 0,#REF!)+ IF(#REF!="", 0,#REF!)</calculatedColumnFormula>
    </tableColumn>
    <tableColumn id="3" xr3:uid="{B28103F6-7596-4848-9F0D-3E4A9E5CBEFE}" name="Weekly Actual" dataDxfId="107">
      <calculatedColumnFormula>IF(AND(ISBLANK(#REF!),ISBLANK(#REF!),ISBLANK(#REF!)),"",#REF! +#REF!+#REF!)</calculatedColumnFormula>
    </tableColumn>
    <tableColumn id="4" xr3:uid="{EF1C6009-71E6-491B-B64F-04049D2D9103}" name="Accumulated Plan" dataDxfId="106">
      <calculatedColumnFormula>SUM($AC$14:AC14)</calculatedColumnFormula>
    </tableColumn>
    <tableColumn id="5" xr3:uid="{442DAB73-1233-4C61-8DE9-3B44CE2C5D69}" name="Accumulated Actual" dataDxfId="105">
      <calculatedColumnFormula>IF(AD14="",NA(),SUM($AD$14:AD14))</calculatedColumnFormula>
    </tableColumn>
    <tableColumn id="43" xr3:uid="{CE31DBAF-57B0-4D4D-852A-B07516A73A41}" name="WP_A1" dataDxfId="104">
      <calculatedColumnFormula>WeeklyPlanned(Output_Template[[#Headers],[WP_A1]], Output_Template[[#This Row],[Date]])</calculatedColumnFormula>
    </tableColumn>
    <tableColumn id="44" xr3:uid="{A0857F89-2BC6-42D6-B02F-90D9272451CA}" name="WA_A1" dataDxfId="103"/>
    <tableColumn id="45" xr3:uid="{2A74D439-B21B-40DD-BB55-7D2C2B18629E}" name="WP_A2" dataDxfId="102">
      <calculatedColumnFormula>WeeklyPlanned(Output_Template[[#Headers],[WP_A2]], Output_Template[[#This Row],[Date]])</calculatedColumnFormula>
    </tableColumn>
    <tableColumn id="46" xr3:uid="{670DB326-434A-466C-9E3C-6A8FE180F21F}" name="WA_A2" dataDxfId="101"/>
    <tableColumn id="47" xr3:uid="{B6798EC6-DE2D-49BB-961E-220FED1F6F10}" name="WP_A3" dataDxfId="100">
      <calculatedColumnFormula>WeeklyPlanned(Output_Template[[#Headers],[WP_A3]], Output_Template[[#This Row],[Date]])</calculatedColumnFormula>
    </tableColumn>
    <tableColumn id="48" xr3:uid="{B2CB6DA2-6E53-4BAC-881B-229E451DFCE0}" name="WA_A3" dataDxfId="99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64" dataDxfId="63">
  <autoFilter ref="R13:X16" xr:uid="{FF2C9E8B-1A62-479C-AF68-79B236C0B7BB}"/>
  <tableColumns count="7">
    <tableColumn id="1" xr3:uid="{98B6CEFA-F45C-41F6-AA4B-12A3C8376FF3}" name="Zone ID" dataDxfId="62"/>
    <tableColumn id="2" xr3:uid="{0EED481C-6B7F-45EA-96EB-621E9C83F3F6}" name="Description" dataDxfId="61"/>
    <tableColumn id="3" xr3:uid="{92B65829-37BF-4514-B7D6-292B5B8F0C44}" name="Short Description" dataDxfId="60"/>
    <tableColumn id="4" xr3:uid="{80A86D55-7D1D-4DFA-811D-6869E0913B53}" name="Start Date" dataDxfId="59"/>
    <tableColumn id="5" xr3:uid="{93521AA3-7D74-4D93-B395-07061FC7E0C3}" name="Finish Date" dataDxfId="58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5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56">
      <calculatedColumnFormula>IF(AA13 = "Date", $S$4, AA13+7)</calculatedColumnFormula>
    </tableColumn>
    <tableColumn id="6" xr3:uid="{AB52DC66-705D-403C-9556-5F09775CDBB4}" name="Primary Areas" dataDxfId="55">
      <calculatedColumnFormula>PrimaryAreas(3)</calculatedColumnFormula>
    </tableColumn>
    <tableColumn id="2" xr3:uid="{B199DE9E-07BB-4F6F-BF0F-FD9612C1E4A1}" name="Weekly Plan" dataDxfId="54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53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52">
      <calculatedColumnFormula>SUM($AC$14:AC14)</calculatedColumnFormula>
    </tableColumn>
    <tableColumn id="5" xr3:uid="{651F866A-913C-41F0-96AF-A1AE2AFF845B}" name="Accumulated Actual" dataDxfId="51">
      <calculatedColumnFormula>IF(AD14="",NA(),SUM($AD$14:AD14))</calculatedColumnFormula>
    </tableColumn>
    <tableColumn id="43" xr3:uid="{32BBBBE6-824B-424A-A817-1078C82774BD}" name="WP_A1" dataDxfId="50">
      <calculatedColumnFormula>WeeklyPlanned(Output_0001[[#Headers],[WP_A1]], Output_0001[[#This Row],[Date]])</calculatedColumnFormula>
    </tableColumn>
    <tableColumn id="44" xr3:uid="{2E76C9D7-DBC3-40AA-B2D2-F2A8133ADEDC}" name="WA_A1" dataDxfId="49"/>
    <tableColumn id="45" xr3:uid="{8349A05E-AB3B-4D38-86D5-C3757AF0C549}" name="WP_A2" dataDxfId="48">
      <calculatedColumnFormula>WeeklyPlanned(Output_0001[[#Headers],[WP_A2]], Output_0001[[#This Row],[Date]])</calculatedColumnFormula>
    </tableColumn>
    <tableColumn id="46" xr3:uid="{98829D33-590E-463C-A7AE-DB10CF64BCCB}" name="WA_A2" dataDxfId="47"/>
    <tableColumn id="47" xr3:uid="{0C2A1C55-569B-4688-8BB0-54DD665AAD32}" name="WP_A3" dataDxfId="46">
      <calculatedColumnFormula>WeeklyPlanned(Output_0001[[#Headers],[WP_A3]], Output_0001[[#This Row],[Date]])</calculatedColumnFormula>
    </tableColumn>
    <tableColumn id="48" xr3:uid="{5EA3C838-64EE-4DF3-8DFE-BE9B5AC605F5}" name="WA_A3" dataDxf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90" t="s">
        <v>80</v>
      </c>
      <c r="AB1" s="91"/>
    </row>
    <row r="2" spans="2:39" x14ac:dyDescent="0.3">
      <c r="B2" s="82" t="str">
        <f>_xlfn.CONCAT("PROGRESS REPORT ", TEXT(S3,"mm/dd/yyyy"))</f>
        <v>PROGRESS REPORT 07/01/2020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4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5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8" t="str">
        <f>Project_Name</f>
        <v>St. George Temple Major Renovation 2019</v>
      </c>
      <c r="D4" s="88"/>
      <c r="E4" s="88"/>
      <c r="F4" s="88"/>
      <c r="G4" s="88"/>
      <c r="H4" s="88"/>
      <c r="I4" s="88"/>
      <c r="J4" s="89" t="s">
        <v>38</v>
      </c>
      <c r="K4" s="89"/>
      <c r="L4" s="89"/>
      <c r="M4" s="89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8" t="str">
        <f>Project_Number</f>
        <v>S590</v>
      </c>
      <c r="D5" s="88"/>
      <c r="E5" s="88"/>
      <c r="F5" s="88"/>
      <c r="G5" s="88"/>
      <c r="H5" s="88"/>
      <c r="I5" s="88"/>
      <c r="J5" s="81" t="s">
        <v>42</v>
      </c>
      <c r="K5" s="81"/>
      <c r="L5" s="81"/>
      <c r="M5" s="8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8" t="str">
        <f>Main!C33</f>
        <v>Sample Sub</v>
      </c>
      <c r="D6" s="88"/>
      <c r="E6" s="88"/>
      <c r="F6" s="88"/>
      <c r="G6" s="88"/>
      <c r="H6" s="88"/>
      <c r="I6" s="88"/>
      <c r="J6" s="81" t="str">
        <f>_xlfn.CONCAT("Overall Totals (", IF(ISBLANK($S$6),"",$S$6), ")")</f>
        <v>Overall Totals (SF)</v>
      </c>
      <c r="K6" s="81"/>
      <c r="L6" s="81"/>
      <c r="M6" s="8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8" t="str">
        <f>RIGHT(Main!B33, LEN(Main!B33) - 4)</f>
        <v>Sample</v>
      </c>
      <c r="D7" s="88"/>
      <c r="E7" s="88"/>
      <c r="F7" s="88"/>
      <c r="G7" s="88"/>
      <c r="H7" s="88"/>
      <c r="I7" s="88"/>
      <c r="J7" s="81" t="str">
        <f>_xlfn.CONCAT("Overall Completed Totals (", IF(ISBLANK($S$6),"",$S$6), ")")</f>
        <v>Overall Completed Totals (SF)</v>
      </c>
      <c r="K7" s="81"/>
      <c r="L7" s="81"/>
      <c r="M7" s="8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1" t="str">
        <f>_xlfn.CONCAT("This Week's Production (", IF(ISBLANK($S$6),"",$S$6), ")")</f>
        <v>This Week's Production (SF)</v>
      </c>
      <c r="K8" s="81"/>
      <c r="L8" s="81"/>
      <c r="M8" s="8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1" t="str">
        <f>_xlfn.CONCAT("Weekly Average (", IF(ISBLANK($S$6),"",$S$6), ")")</f>
        <v>Weekly Average (SF)</v>
      </c>
      <c r="K9" s="81"/>
      <c r="L9" s="81"/>
      <c r="M9" s="8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96" t="s">
        <v>116</v>
      </c>
      <c r="V9" s="96"/>
      <c r="W9" s="96"/>
      <c r="X9" s="96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1" t="str">
        <f>_xlfn.CONCAT("Average Past 4 Weeks (", IF(ISBLANK($S$6),"",$S$6), ")")</f>
        <v>Average Past 4 Weeks (SF)</v>
      </c>
      <c r="K10" s="81"/>
      <c r="L10" s="81"/>
      <c r="M10" s="8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7" t="s">
        <v>156</v>
      </c>
      <c r="V10" s="97"/>
      <c r="W10" s="97"/>
      <c r="X10" s="97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1" t="str">
        <f>_xlfn.CONCAT("On Schedule Average (", IF(ISBLANK($S$6),"",$S$6), ")")</f>
        <v>On Schedule Average (SF)</v>
      </c>
      <c r="K11" s="81"/>
      <c r="L11" s="81"/>
      <c r="M11" s="81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97"/>
      <c r="V11" s="97"/>
      <c r="W11" s="97"/>
      <c r="X11" s="97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92" t="s">
        <v>45</v>
      </c>
      <c r="K12" s="92"/>
      <c r="L12" s="92"/>
      <c r="M12" s="92"/>
      <c r="N12" s="93">
        <f ca="1">MAX(INDIRECT("Input_"&amp;$S$2&amp;"[Finish Date]"))</f>
        <v>44105</v>
      </c>
      <c r="O12" s="94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92" t="s">
        <v>46</v>
      </c>
      <c r="K13" s="92"/>
      <c r="L13" s="92"/>
      <c r="M13" s="92"/>
      <c r="N13" s="93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95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7"/>
      <c r="N14" s="77"/>
      <c r="O14" s="7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9"/>
      <c r="M15" s="79"/>
      <c r="N15" s="79"/>
      <c r="O15" s="8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44" priority="10">
      <formula>ISERROR(AF14)</formula>
    </cfRule>
  </conditionalFormatting>
  <conditionalFormatting sqref="W13:X13">
    <cfRule type="expression" dxfId="43" priority="8">
      <formula>IF(OR($S$8 = "Assemble Addin", $S$8 = "Bluebeam QL"), TRUE, FALSE)</formula>
    </cfRule>
  </conditionalFormatting>
  <conditionalFormatting sqref="N6:O6">
    <cfRule type="expression" dxfId="42" priority="7">
      <formula>IF($N$6=$O$6, FALSE, TRUE)</formula>
    </cfRule>
  </conditionalFormatting>
  <conditionalFormatting sqref="W14:X16">
    <cfRule type="expression" dxfId="41" priority="5">
      <formula>IF(OR($S$8 = "Assemble Addin", $S$8 = "Bluebeam QL"), TRUE, FALSE)</formula>
    </cfRule>
    <cfRule type="expression" dxfId="40" priority="6">
      <formula>IF(OR($S$8 = "Assemble Addin", $S$8 = "Bluebeam QL"), MOD(ROW(), 2)=0, FALSE)</formula>
    </cfRule>
  </conditionalFormatting>
  <conditionalFormatting sqref="R13">
    <cfRule type="expression" dxfId="39" priority="2">
      <formula>IF($S$8 = "Assemble Addin", TRUE, FALSE)</formula>
    </cfRule>
  </conditionalFormatting>
  <conditionalFormatting sqref="R14:R16">
    <cfRule type="expression" dxfId="3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8" t="str">
        <f>UPPER("Structural Steel 07/01/2020")</f>
        <v>STRUCTURAL STEEL 07/01/2020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</row>
    <row r="2" spans="1:14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</row>
    <row r="34" spans="1:14" x14ac:dyDescent="0.35">
      <c r="A34" s="99" t="s">
        <v>116</v>
      </c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1" t="s">
        <v>5</v>
      </c>
      <c r="F1" s="101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2" t="s">
        <v>6</v>
      </c>
      <c r="C2" s="102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D16" sqref="D16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4" t="str">
        <f>"PROGRESS REPORT "&amp; TEXT(Report_Date, "mm/dd/yyy")</f>
        <v>PROGRESS REPORT 07/01/2020</v>
      </c>
      <c r="C2" s="104"/>
      <c r="D2" s="104"/>
      <c r="E2" s="104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x14ac:dyDescent="0.3">
      <c r="B11" s="103" t="s">
        <v>26</v>
      </c>
      <c r="C11" s="103"/>
      <c r="D11" s="103"/>
      <c r="E11" s="103"/>
      <c r="F11" s="16"/>
      <c r="G11" s="16"/>
      <c r="H11" s="16"/>
      <c r="I11" s="16"/>
      <c r="J11" s="16"/>
      <c r="K11" s="16"/>
      <c r="L11" s="76" t="s">
        <v>161</v>
      </c>
    </row>
    <row r="12" spans="2:12" x14ac:dyDescent="0.3">
      <c r="B12" s="13"/>
      <c r="G12" s="38"/>
      <c r="H12" s="37"/>
    </row>
    <row r="13" spans="2:12" ht="15" x14ac:dyDescent="0.3">
      <c r="B13" s="103" t="s">
        <v>27</v>
      </c>
      <c r="C13" s="103"/>
      <c r="D13" s="103"/>
      <c r="E13" s="103"/>
      <c r="F13" s="16"/>
      <c r="G13" s="16"/>
      <c r="H13" s="16"/>
      <c r="I13" s="16"/>
      <c r="J13" s="16"/>
      <c r="K13" s="16"/>
      <c r="L13" s="76" t="s">
        <v>161</v>
      </c>
    </row>
    <row r="14" spans="2:12" x14ac:dyDescent="0.3">
      <c r="B14" s="9"/>
      <c r="G14" s="73"/>
      <c r="H14" s="37"/>
    </row>
    <row r="15" spans="2:12" ht="15" x14ac:dyDescent="0.3">
      <c r="B15" s="103" t="s">
        <v>28</v>
      </c>
      <c r="C15" s="103"/>
      <c r="D15" s="103"/>
      <c r="E15" s="103"/>
      <c r="F15" s="16"/>
      <c r="G15" s="16"/>
      <c r="H15" s="16"/>
      <c r="I15" s="16"/>
      <c r="J15" s="16"/>
      <c r="K15" s="16"/>
      <c r="L15" s="76" t="s">
        <v>161</v>
      </c>
    </row>
    <row r="16" spans="2:12" x14ac:dyDescent="0.3">
      <c r="B16" s="9" t="s">
        <v>150</v>
      </c>
      <c r="C16" s="67" t="s">
        <v>148</v>
      </c>
      <c r="D16" s="10">
        <f ca="1">'0501'!N5</f>
        <v>0</v>
      </c>
      <c r="E16" s="10">
        <f ca="1">'0501'!O5</f>
        <v>0.10714285714285712</v>
      </c>
      <c r="G16" s="73"/>
      <c r="H16" s="37" t="s">
        <v>149</v>
      </c>
      <c r="I16" s="74" t="str">
        <f ca="1">IF(Report_Date = INDIRECT(H16 &amp; "!S9"), "Ready", "Not Ready")</f>
        <v>Ready</v>
      </c>
      <c r="J16" s="67" t="s">
        <v>159</v>
      </c>
      <c r="K16" s="67" t="s">
        <v>160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x14ac:dyDescent="0.3">
      <c r="B18" s="103" t="s">
        <v>29</v>
      </c>
      <c r="C18" s="103"/>
      <c r="D18" s="103"/>
      <c r="E18" s="103"/>
      <c r="F18" s="16"/>
      <c r="G18" s="16"/>
      <c r="H18" s="16"/>
      <c r="I18" s="16"/>
      <c r="J18" s="16"/>
      <c r="K18" s="16"/>
      <c r="L18" s="76" t="s">
        <v>161</v>
      </c>
    </row>
    <row r="19" spans="2:12" x14ac:dyDescent="0.3">
      <c r="B19" s="9"/>
      <c r="G19" s="73"/>
      <c r="H19" s="37"/>
    </row>
    <row r="20" spans="2:12" ht="15" x14ac:dyDescent="0.3">
      <c r="B20" s="103" t="s">
        <v>30</v>
      </c>
      <c r="C20" s="103"/>
      <c r="D20" s="103"/>
      <c r="E20" s="103"/>
      <c r="F20" s="16"/>
      <c r="G20" s="16"/>
      <c r="H20" s="16"/>
      <c r="I20" s="16"/>
      <c r="J20" s="16"/>
      <c r="K20" s="16"/>
      <c r="L20" s="76" t="s">
        <v>161</v>
      </c>
    </row>
    <row r="21" spans="2:12" x14ac:dyDescent="0.3">
      <c r="B21" s="9"/>
      <c r="G21" s="73"/>
      <c r="H21" s="37"/>
    </row>
    <row r="22" spans="2:12" ht="15" x14ac:dyDescent="0.3">
      <c r="B22" s="103" t="s">
        <v>127</v>
      </c>
      <c r="C22" s="103"/>
      <c r="D22" s="103"/>
      <c r="E22" s="103"/>
      <c r="F22" s="16"/>
      <c r="G22" s="16"/>
      <c r="H22" s="16"/>
      <c r="I22" s="16"/>
      <c r="J22" s="16"/>
      <c r="K22" s="16"/>
      <c r="L22" s="76" t="s">
        <v>161</v>
      </c>
    </row>
    <row r="23" spans="2:12" x14ac:dyDescent="0.3">
      <c r="B23" s="9"/>
      <c r="G23" s="73"/>
      <c r="H23" s="37"/>
    </row>
    <row r="24" spans="2:12" ht="15" x14ac:dyDescent="0.3">
      <c r="B24" s="103" t="s">
        <v>128</v>
      </c>
      <c r="C24" s="103"/>
      <c r="D24" s="103"/>
      <c r="E24" s="103"/>
      <c r="F24" s="16"/>
      <c r="G24" s="16"/>
      <c r="H24" s="16"/>
      <c r="I24" s="16"/>
      <c r="J24" s="16"/>
      <c r="K24" s="16"/>
      <c r="L24" s="76" t="s">
        <v>161</v>
      </c>
    </row>
    <row r="25" spans="2:12" x14ac:dyDescent="0.3">
      <c r="B25" s="9"/>
      <c r="G25" s="73"/>
      <c r="H25" s="37"/>
    </row>
    <row r="26" spans="2:12" ht="15" x14ac:dyDescent="0.3">
      <c r="B26" s="103" t="s">
        <v>129</v>
      </c>
      <c r="C26" s="103"/>
      <c r="D26" s="103"/>
      <c r="E26" s="103"/>
      <c r="F26" s="16"/>
      <c r="G26" s="16"/>
      <c r="H26" s="16"/>
      <c r="I26" s="16"/>
      <c r="J26" s="16"/>
      <c r="K26" s="16"/>
      <c r="L26" s="76" t="s">
        <v>161</v>
      </c>
    </row>
    <row r="27" spans="2:12" x14ac:dyDescent="0.3">
      <c r="B27" s="9"/>
      <c r="G27" s="73"/>
      <c r="H27" s="37"/>
    </row>
    <row r="28" spans="2:12" ht="15" x14ac:dyDescent="0.3">
      <c r="B28" s="103" t="s">
        <v>130</v>
      </c>
      <c r="C28" s="103"/>
      <c r="D28" s="103"/>
      <c r="E28" s="103"/>
      <c r="F28" s="16"/>
      <c r="G28" s="16"/>
      <c r="H28" s="16"/>
      <c r="I28" s="16"/>
      <c r="J28" s="16"/>
      <c r="K28" s="16"/>
      <c r="L28" s="76" t="s">
        <v>161</v>
      </c>
    </row>
    <row r="29" spans="2:12" x14ac:dyDescent="0.3">
      <c r="B29" s="9"/>
      <c r="G29" s="73"/>
      <c r="H29" s="37"/>
    </row>
    <row r="30" spans="2:12" ht="15" x14ac:dyDescent="0.3">
      <c r="B30" s="103" t="s">
        <v>131</v>
      </c>
      <c r="C30" s="103"/>
      <c r="D30" s="103"/>
      <c r="E30" s="103"/>
      <c r="F30" s="16"/>
      <c r="G30" s="16"/>
      <c r="H30" s="16"/>
      <c r="I30" s="16"/>
      <c r="J30" s="16"/>
      <c r="K30" s="16"/>
      <c r="L30" s="76" t="s">
        <v>161</v>
      </c>
    </row>
    <row r="31" spans="2:12" x14ac:dyDescent="0.3">
      <c r="B31" s="9"/>
      <c r="G31" s="73"/>
      <c r="H31" s="37"/>
    </row>
    <row r="32" spans="2:12" ht="15" x14ac:dyDescent="0.3">
      <c r="B32" s="103" t="s">
        <v>132</v>
      </c>
      <c r="C32" s="103"/>
      <c r="D32" s="103"/>
      <c r="E32" s="103"/>
      <c r="F32" s="16"/>
      <c r="G32" s="16"/>
      <c r="H32" s="16"/>
      <c r="I32" s="16"/>
      <c r="J32" s="16"/>
      <c r="K32" s="16"/>
      <c r="L32" s="67" t="s">
        <v>161</v>
      </c>
    </row>
    <row r="33" spans="2:10" x14ac:dyDescent="0.3">
      <c r="B33" s="9" t="s">
        <v>153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159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37" priority="57">
      <formula>IF(ISBLANK($D12), FALSE, IF(RedGreen_Formatting = "Enabled", $D12 &lt;= $E12 + Percent_Error, FALSE))</formula>
    </cfRule>
    <cfRule type="expression" dxfId="36" priority="58">
      <formula>IF(ISBLANK($D12), FALSE, IF(RedGreen_Formatting = "Enabled", $D12 &gt; $E12 + Percent_Error, FALSE))</formula>
    </cfRule>
  </conditionalFormatting>
  <conditionalFormatting sqref="E22">
    <cfRule type="expression" dxfId="35" priority="55">
      <formula>IF(ISBLANK($D22), FALSE, IF(RedGreen_Formatting = "Enabled", $D22 &lt;= $E22 + Percent_Error, FALSE))</formula>
    </cfRule>
    <cfRule type="expression" dxfId="34" priority="56">
      <formula>IF(ISBLANK($D22), FALSE, IF(RedGreen_Formatting = "Enabled", $D22 &gt; $E22 + Percent_Error, FALSE))</formula>
    </cfRule>
  </conditionalFormatting>
  <conditionalFormatting sqref="E24">
    <cfRule type="expression" dxfId="33" priority="53">
      <formula>IF(ISBLANK($D24), FALSE, IF(RedGreen_Formatting = "Enabled", $D24 &lt;= $E24 + Percent_Error, FALSE))</formula>
    </cfRule>
    <cfRule type="expression" dxfId="32" priority="54">
      <formula>IF(ISBLANK($D24), FALSE, IF(RedGreen_Formatting = "Enabled", $D24 &gt; $E24 + Percent_Error, FALSE))</formula>
    </cfRule>
  </conditionalFormatting>
  <conditionalFormatting sqref="E26">
    <cfRule type="expression" dxfId="31" priority="51">
      <formula>IF(ISBLANK($D26), FALSE, IF(RedGreen_Formatting = "Enabled", $D26 &lt;= $E26 + Percent_Error, FALSE))</formula>
    </cfRule>
    <cfRule type="expression" dxfId="30" priority="52">
      <formula>IF(ISBLANK($D26), FALSE, IF(RedGreen_Formatting = "Enabled", $D26 &gt; $E26 + Percent_Error, FALSE))</formula>
    </cfRule>
  </conditionalFormatting>
  <conditionalFormatting sqref="E28">
    <cfRule type="expression" dxfId="29" priority="49">
      <formula>IF(ISBLANK($D28), FALSE, IF(RedGreen_Formatting = "Enabled", $D28 &lt;= $E28 + Percent_Error, FALSE))</formula>
    </cfRule>
    <cfRule type="expression" dxfId="28" priority="50">
      <formula>IF(ISBLANK($D28), FALSE, IF(RedGreen_Formatting = "Enabled", $D28 &gt; $E28 + Percent_Error, FALSE))</formula>
    </cfRule>
  </conditionalFormatting>
  <conditionalFormatting sqref="E30">
    <cfRule type="expression" dxfId="27" priority="47">
      <formula>IF(ISBLANK($D30), FALSE, IF(RedGreen_Formatting = "Enabled", $D30 &lt;= $E30 + Percent_Error, FALSE))</formula>
    </cfRule>
    <cfRule type="expression" dxfId="26" priority="48">
      <formula>IF(ISBLANK($D30), FALSE, IF(RedGreen_Formatting = "Enabled", $D30 &gt; $E30 + Percent_Error, FALSE))</formula>
    </cfRule>
  </conditionalFormatting>
  <conditionalFormatting sqref="E32">
    <cfRule type="expression" dxfId="25" priority="45">
      <formula>IF(ISBLANK($D32), FALSE, IF(RedGreen_Formatting = "Enabled", $D32 &lt;= $E32 + Percent_Error, FALSE))</formula>
    </cfRule>
    <cfRule type="expression" dxfId="24" priority="46">
      <formula>IF(ISBLANK($D32), FALSE, IF(RedGreen_Formatting = "Enabled", $D32 &gt; $E32 + Percent_Error, FALSE))</formula>
    </cfRule>
  </conditionalFormatting>
  <conditionalFormatting sqref="E34">
    <cfRule type="expression" dxfId="23" priority="27">
      <formula>IF(ISBLANK($D34), FALSE, IF(RedGreen_Formatting = "Enabled", $D34 &lt;= $E34 + Percent_Error, FALSE))</formula>
    </cfRule>
    <cfRule type="expression" dxfId="22" priority="28">
      <formula>IF(ISBLANK($D34), FALSE, IF(RedGreen_Formatting = "Enabled", $D34 &gt; $E34 + Percent_Error, FALSE))</formula>
    </cfRule>
  </conditionalFormatting>
  <conditionalFormatting sqref="E33">
    <cfRule type="expression" dxfId="21" priority="7">
      <formula>IF(ISBLANK($D33), FALSE, IF(RedGreen_Formatting = "Enabled", $D33 &lt;= $E33 + Percent_Error, FALSE))</formula>
    </cfRule>
    <cfRule type="expression" dxfId="20" priority="8">
      <formula>IF(ISBLANK($D33), FALSE, IF(RedGreen_Formatting = "Enabled", $D33 &gt; $E33 + Percent_Error, FALSE))</formula>
    </cfRule>
  </conditionalFormatting>
  <conditionalFormatting sqref="E16">
    <cfRule type="expression" dxfId="19" priority="5">
      <formula>IF(ISBLANK($D16), FALSE, IF(RedGreen_Formatting = "Enabled", $D16 &lt;= $E16 + Percent_Error, FALSE))</formula>
    </cfRule>
    <cfRule type="expression" dxfId="18" priority="6">
      <formula>IF(ISBLANK($D16), FALSE, IF(RedGreen_Formatting = "Enabled", $D16 &gt; $E16 + Percent_Error, FALSE))</formula>
    </cfRule>
  </conditionalFormatting>
  <conditionalFormatting sqref="I16">
    <cfRule type="cellIs" dxfId="17" priority="3" operator="equal">
      <formula>"Not Ready"</formula>
    </cfRule>
    <cfRule type="cellIs" dxfId="16" priority="4" operator="equal">
      <formula>"Ready"</formula>
    </cfRule>
  </conditionalFormatting>
  <conditionalFormatting sqref="I33">
    <cfRule type="cellIs" dxfId="15" priority="1" operator="equal">
      <formula>"Not Ready"</formula>
    </cfRule>
    <cfRule type="cellIs" dxfId="14" priority="2" operator="equal">
      <formula>"Ready"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S32" sqref="S32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90" t="s">
        <v>80</v>
      </c>
      <c r="AB1" s="91"/>
    </row>
    <row r="2" spans="2:49" x14ac:dyDescent="0.3">
      <c r="B2" s="82" t="str">
        <f>_xlfn.CONCAT("PROGRESS REPORT ", TEXT(S3,"mm/dd/yyyy"))</f>
        <v>PROGRESS REPORT 07/01/2020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4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85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88" t="str">
        <f>Project_Name</f>
        <v>St. George Temple Major Renovation 2019</v>
      </c>
      <c r="D4" s="88"/>
      <c r="E4" s="88"/>
      <c r="F4" s="88"/>
      <c r="G4" s="88"/>
      <c r="H4" s="88"/>
      <c r="I4" s="88"/>
      <c r="J4" s="89" t="s">
        <v>38</v>
      </c>
      <c r="K4" s="89"/>
      <c r="L4" s="89"/>
      <c r="M4" s="89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88" t="str">
        <f>Project_Number</f>
        <v>S590</v>
      </c>
      <c r="D5" s="88"/>
      <c r="E5" s="88"/>
      <c r="F5" s="88"/>
      <c r="G5" s="88"/>
      <c r="H5" s="88"/>
      <c r="I5" s="88"/>
      <c r="J5" s="81" t="s">
        <v>42</v>
      </c>
      <c r="K5" s="81"/>
      <c r="L5" s="81"/>
      <c r="M5" s="81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88" t="str">
        <f>Main!C16</f>
        <v>Glassey Steel Works</v>
      </c>
      <c r="D6" s="88"/>
      <c r="E6" s="88"/>
      <c r="F6" s="88"/>
      <c r="G6" s="88"/>
      <c r="H6" s="88"/>
      <c r="I6" s="88"/>
      <c r="J6" s="81" t="str">
        <f>_xlfn.CONCAT("Overall Totals (", IF(ISBLANK($S$6),"",$S$6), ")")</f>
        <v>Overall Totals (Count)</v>
      </c>
      <c r="K6" s="81"/>
      <c r="L6" s="81"/>
      <c r="M6" s="81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88" t="str">
        <f>RIGHT(Main!B16, LEN(Main!B16) - 4)</f>
        <v>Structural Steel</v>
      </c>
      <c r="D7" s="88"/>
      <c r="E7" s="88"/>
      <c r="F7" s="88"/>
      <c r="G7" s="88"/>
      <c r="H7" s="88"/>
      <c r="I7" s="88"/>
      <c r="J7" s="81" t="str">
        <f>_xlfn.CONCAT("Overall Completed Totals (", IF(ISBLANK($S$6),"",$S$6), ")")</f>
        <v>Overall Completed Totals (Count)</v>
      </c>
      <c r="K7" s="81"/>
      <c r="L7" s="81"/>
      <c r="M7" s="81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1" t="str">
        <f>_xlfn.CONCAT("This Week's Production (", IF(ISBLANK($S$6),"",$S$6), ")")</f>
        <v>This Week's Production (Count)</v>
      </c>
      <c r="K8" s="81"/>
      <c r="L8" s="81"/>
      <c r="M8" s="81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1" t="str">
        <f>_xlfn.CONCAT("Weekly Average (", IF(ISBLANK($S$6),"",$S$6), ")")</f>
        <v>Weekly Average (Count)</v>
      </c>
      <c r="K9" s="81"/>
      <c r="L9" s="81"/>
      <c r="M9" s="81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96" t="s">
        <v>116</v>
      </c>
      <c r="V9" s="96"/>
      <c r="W9" s="96"/>
      <c r="X9" s="96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1" t="str">
        <f>_xlfn.CONCAT("Average Past 4 Weeks (", IF(ISBLANK($S$6),"",$S$6), ")")</f>
        <v>Average Past 4 Weeks (Count)</v>
      </c>
      <c r="K10" s="81"/>
      <c r="L10" s="81"/>
      <c r="M10" s="8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97"/>
      <c r="V10" s="97"/>
      <c r="W10" s="97"/>
      <c r="X10" s="97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1" t="str">
        <f>_xlfn.CONCAT("On Schedule Average (", IF(ISBLANK($S$6),"",$S$6), ")")</f>
        <v>On Schedule Average (Count)</v>
      </c>
      <c r="K11" s="81"/>
      <c r="L11" s="81"/>
      <c r="M11" s="81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7"/>
      <c r="V11" s="97"/>
      <c r="W11" s="97"/>
      <c r="X11" s="97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92" t="s">
        <v>45</v>
      </c>
      <c r="K12" s="92"/>
      <c r="L12" s="92"/>
      <c r="M12" s="92"/>
      <c r="N12" s="93">
        <f ca="1">MAX(INDIRECT("Input_"&amp;$S$2&amp;"[Finish Date]"))</f>
        <v>44195</v>
      </c>
      <c r="O12" s="94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92" t="s">
        <v>46</v>
      </c>
      <c r="K13" s="92"/>
      <c r="L13" s="92"/>
      <c r="M13" s="92"/>
      <c r="N13" s="93">
        <f ca="1">IF($O$5&gt;0.999, "Completed", WORKDAY($S$3, ROUNDUP((SUM(Input_0501[Total])-(INDIRECT("AF"&amp;MATCH($S$3, Output_0501[Date],0)+13)))/($O$10/COUNTIF($U$2:$U$8, TRUE)),0), Holidays_Table[Holidays]))</f>
        <v>44285</v>
      </c>
      <c r="O13" s="95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7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7"/>
      <c r="N14" s="77"/>
      <c r="O14" s="78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79"/>
      <c r="M15" s="79"/>
      <c r="N15" s="79"/>
      <c r="O15" s="80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90" t="s">
        <v>80</v>
      </c>
      <c r="AB1" s="91"/>
    </row>
    <row r="2" spans="2:39" x14ac:dyDescent="0.3">
      <c r="B2" s="82" t="str">
        <f>_xlfn.CONCAT("PROGRESS REPORT ", TEXT(S3,"mm/dd/yyyy"))</f>
        <v>PROGRESS REPORT 07/01/2020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4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5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7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8" t="str">
        <f>Project_Name</f>
        <v>St. George Temple Major Renovation 2019</v>
      </c>
      <c r="D4" s="88"/>
      <c r="E4" s="88"/>
      <c r="F4" s="88"/>
      <c r="G4" s="88"/>
      <c r="H4" s="88"/>
      <c r="I4" s="88"/>
      <c r="J4" s="89" t="s">
        <v>38</v>
      </c>
      <c r="K4" s="89"/>
      <c r="L4" s="89"/>
      <c r="M4" s="89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8" t="str">
        <f>Project_Number</f>
        <v>S590</v>
      </c>
      <c r="D5" s="88"/>
      <c r="E5" s="88"/>
      <c r="F5" s="88"/>
      <c r="G5" s="88"/>
      <c r="H5" s="88"/>
      <c r="I5" s="88"/>
      <c r="J5" s="81" t="s">
        <v>42</v>
      </c>
      <c r="K5" s="81"/>
      <c r="L5" s="81"/>
      <c r="M5" s="81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8" t="str">
        <f>Main!C33</f>
        <v>Sample Sub</v>
      </c>
      <c r="D6" s="88"/>
      <c r="E6" s="88"/>
      <c r="F6" s="88"/>
      <c r="G6" s="88"/>
      <c r="H6" s="88"/>
      <c r="I6" s="88"/>
      <c r="J6" s="81" t="str">
        <f>_xlfn.CONCAT("Overall Totals (", IF(ISBLANK($S$6),"",$S$6), ")")</f>
        <v>Overall Totals (SF)</v>
      </c>
      <c r="K6" s="81"/>
      <c r="L6" s="81"/>
      <c r="M6" s="81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8" t="str">
        <f>RIGHT(Main!B33, LEN(Main!B33) - 4)</f>
        <v>Sample</v>
      </c>
      <c r="D7" s="88"/>
      <c r="E7" s="88"/>
      <c r="F7" s="88"/>
      <c r="G7" s="88"/>
      <c r="H7" s="88"/>
      <c r="I7" s="88"/>
      <c r="J7" s="81" t="str">
        <f>_xlfn.CONCAT("Overall Completed Totals (", IF(ISBLANK($S$6),"",$S$6), ")")</f>
        <v>Overall Completed Totals (SF)</v>
      </c>
      <c r="K7" s="81"/>
      <c r="L7" s="81"/>
      <c r="M7" s="81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1" t="str">
        <f>_xlfn.CONCAT("This Week's Production (", IF(ISBLANK($S$6),"",$S$6), ")")</f>
        <v>This Week's Production (SF)</v>
      </c>
      <c r="K8" s="81"/>
      <c r="L8" s="81"/>
      <c r="M8" s="81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1" t="str">
        <f>_xlfn.CONCAT("Weekly Average (", IF(ISBLANK($S$6),"",$S$6), ")")</f>
        <v>Weekly Average (SF)</v>
      </c>
      <c r="K9" s="81"/>
      <c r="L9" s="81"/>
      <c r="M9" s="81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96" t="s">
        <v>116</v>
      </c>
      <c r="V9" s="96"/>
      <c r="W9" s="96"/>
      <c r="X9" s="96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1" t="str">
        <f>_xlfn.CONCAT("Average Past 4 Weeks (", IF(ISBLANK($S$6),"",$S$6), ")")</f>
        <v>Average Past 4 Weeks (SF)</v>
      </c>
      <c r="K10" s="81"/>
      <c r="L10" s="81"/>
      <c r="M10" s="81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7" t="s">
        <v>156</v>
      </c>
      <c r="V10" s="97"/>
      <c r="W10" s="97"/>
      <c r="X10" s="97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1" t="str">
        <f>_xlfn.CONCAT("On Schedule Average (", IF(ISBLANK($S$6),"",$S$6), ")")</f>
        <v>On Schedule Average (SF)</v>
      </c>
      <c r="K11" s="81"/>
      <c r="L11" s="81"/>
      <c r="M11" s="81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97"/>
      <c r="V11" s="97"/>
      <c r="W11" s="97"/>
      <c r="X11" s="97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92" t="s">
        <v>45</v>
      </c>
      <c r="K12" s="92"/>
      <c r="L12" s="92"/>
      <c r="M12" s="92"/>
      <c r="N12" s="93">
        <f ca="1">MAX(INDIRECT("Input_"&amp;$S$2&amp;"[Finish Date]"))</f>
        <v>44105</v>
      </c>
      <c r="O12" s="94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92" t="s">
        <v>46</v>
      </c>
      <c r="K13" s="92"/>
      <c r="L13" s="92"/>
      <c r="M13" s="92"/>
      <c r="N13" s="93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95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7"/>
      <c r="N14" s="77"/>
      <c r="O14" s="78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9"/>
      <c r="M15" s="79"/>
      <c r="N15" s="79"/>
      <c r="O15" s="80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2020-07-30T23:43:31Z</dcterms:modified>
</cp:coreProperties>
</file>