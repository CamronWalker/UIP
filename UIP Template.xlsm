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7E20E00E-6FA0-4B78-8C12-12FA7EFC5B30}" xr6:coauthVersionLast="45" xr6:coauthVersionMax="45" xr10:uidLastSave="{00000000-0000-0000-0000-000000000000}"/>
  <bookViews>
    <workbookView xWindow="-28920" yWindow="14190" windowWidth="29040" windowHeight="17640" activeTab="4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G32" i="11"/>
  <c r="AK37" i="11"/>
  <c r="AI30" i="11"/>
  <c r="AI34" i="11"/>
  <c r="AI19" i="11"/>
  <c r="AK39" i="11"/>
  <c r="AK33" i="11"/>
  <c r="AI37" i="11"/>
  <c r="AI17" i="11"/>
  <c r="AI36" i="11"/>
  <c r="AI32" i="11"/>
  <c r="AG22" i="11"/>
  <c r="AK36" i="11"/>
  <c r="AK32" i="11"/>
  <c r="AG23" i="11"/>
  <c r="AI27" i="11"/>
  <c r="AI23" i="11"/>
  <c r="AG35" i="11"/>
  <c r="AG28" i="11"/>
  <c r="AK31" i="11"/>
  <c r="AG31" i="11"/>
  <c r="AK21" i="11"/>
  <c r="AG37" i="11"/>
  <c r="AG40" i="11"/>
  <c r="AG36" i="11"/>
  <c r="AG21" i="11"/>
  <c r="AK30" i="11"/>
  <c r="AG26" i="11"/>
  <c r="AK16" i="11"/>
  <c r="AK24" i="11"/>
  <c r="AG14" i="11"/>
  <c r="AG34" i="11"/>
  <c r="AK43" i="11"/>
  <c r="AK34" i="11"/>
  <c r="AI43" i="11"/>
  <c r="AI24" i="11"/>
  <c r="AK22" i="11"/>
  <c r="AK18" i="11"/>
  <c r="AG18" i="11"/>
  <c r="AI15" i="11"/>
  <c r="AK28" i="11"/>
  <c r="AI16" i="11"/>
  <c r="AI35" i="11"/>
  <c r="AG41" i="11"/>
  <c r="AI42" i="11"/>
  <c r="AI26" i="11"/>
  <c r="AK26" i="11"/>
  <c r="AG20" i="11"/>
  <c r="AG17" i="11"/>
  <c r="AK19" i="11"/>
  <c r="AK29" i="11"/>
  <c r="AG43" i="11"/>
  <c r="AG38" i="11"/>
  <c r="AK41" i="11"/>
  <c r="AK38" i="11"/>
  <c r="AI29" i="11"/>
  <c r="AG42" i="11"/>
  <c r="AG15" i="11"/>
  <c r="AI18" i="11"/>
  <c r="AG29" i="11"/>
  <c r="I33" i="2"/>
  <c r="AG25" i="11"/>
  <c r="AK27" i="11"/>
  <c r="AK25" i="11"/>
  <c r="AK17" i="11"/>
  <c r="AK20" i="11"/>
  <c r="AG19" i="11"/>
  <c r="AK23" i="11"/>
  <c r="I16" i="2"/>
  <c r="AI41" i="11"/>
  <c r="AG39" i="11"/>
  <c r="AI28" i="11"/>
  <c r="AI33" i="11"/>
  <c r="AI31" i="11"/>
  <c r="AK42" i="11"/>
  <c r="AI14" i="11"/>
  <c r="AG24" i="11"/>
  <c r="AG27" i="11"/>
  <c r="AK40" i="11"/>
  <c r="AG30" i="11"/>
  <c r="AI21" i="11"/>
  <c r="AG16" i="11"/>
  <c r="AK15" i="11"/>
  <c r="AK14" i="11"/>
  <c r="AI22" i="11"/>
  <c r="AK35" i="11"/>
  <c r="AI38" i="11"/>
  <c r="AG33" i="11"/>
  <c r="AI20" i="11"/>
  <c r="AI40" i="11"/>
  <c r="AI39" i="11"/>
  <c r="AI25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31" i="11"/>
  <c r="AB38" i="11"/>
  <c r="N11" i="11"/>
  <c r="AB43" i="11"/>
  <c r="AB14" i="11"/>
  <c r="N12" i="11"/>
  <c r="AB26" i="11"/>
  <c r="AB20" i="11"/>
  <c r="O7" i="11"/>
  <c r="O9" i="11"/>
  <c r="AB23" i="11"/>
  <c r="AB39" i="11"/>
  <c r="AB28" i="11"/>
  <c r="O8" i="11"/>
  <c r="AB42" i="11"/>
  <c r="AB17" i="11"/>
  <c r="AB18" i="11"/>
  <c r="AG15" i="10"/>
  <c r="N10" i="11"/>
  <c r="AB19" i="11"/>
  <c r="AB22" i="11"/>
  <c r="AB35" i="11"/>
  <c r="O6" i="11"/>
  <c r="AB21" i="11"/>
  <c r="AB41" i="11"/>
  <c r="AB24" i="11"/>
  <c r="AB29" i="11"/>
  <c r="AB25" i="11"/>
  <c r="AB37" i="11"/>
  <c r="AB33" i="11"/>
  <c r="N6" i="11"/>
  <c r="AB32" i="11"/>
  <c r="N8" i="11"/>
  <c r="AB40" i="11"/>
  <c r="AB30" i="11"/>
  <c r="AB27" i="11"/>
  <c r="AB36" i="11"/>
  <c r="AB15" i="11"/>
  <c r="AB16" i="11"/>
  <c r="AB34" i="11"/>
  <c r="N9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15" i="10"/>
  <c r="AU35" i="10"/>
  <c r="AG18" i="10"/>
  <c r="AK41" i="10"/>
  <c r="AM37" i="10"/>
  <c r="AS25" i="10"/>
  <c r="AS24" i="10"/>
  <c r="AS40" i="10"/>
  <c r="AU22" i="10"/>
  <c r="AK22" i="10"/>
  <c r="AO19" i="10"/>
  <c r="AK25" i="10"/>
  <c r="AQ28" i="10"/>
  <c r="AU44" i="10"/>
  <c r="AI42" i="10"/>
  <c r="AQ19" i="10"/>
  <c r="AO24" i="10"/>
  <c r="AI20" i="10"/>
  <c r="AI31" i="10"/>
  <c r="AM19" i="10"/>
  <c r="AM16" i="10"/>
  <c r="AS22" i="10"/>
  <c r="AM34" i="10"/>
  <c r="AS39" i="10"/>
  <c r="AI21" i="10"/>
  <c r="AI27" i="10"/>
  <c r="AG19" i="10"/>
  <c r="AI43" i="10"/>
  <c r="AS29" i="10"/>
  <c r="AM24" i="10"/>
  <c r="AO44" i="10"/>
  <c r="AQ41" i="10"/>
  <c r="AK38" i="10"/>
  <c r="AS33" i="10"/>
  <c r="AG45" i="10"/>
  <c r="AO34" i="10"/>
  <c r="AS37" i="10"/>
  <c r="AI22" i="10"/>
  <c r="AS38" i="10"/>
  <c r="AG20" i="10"/>
  <c r="AK33" i="10"/>
  <c r="AI17" i="10"/>
  <c r="AO32" i="10"/>
  <c r="AG22" i="10"/>
  <c r="AK21" i="10"/>
  <c r="AI41" i="10"/>
  <c r="AG17" i="10"/>
  <c r="AI36" i="10"/>
  <c r="AS36" i="10"/>
  <c r="AM28" i="10"/>
  <c r="AO27" i="10"/>
  <c r="AQ33" i="10"/>
  <c r="AU37" i="10"/>
  <c r="AI45" i="10"/>
  <c r="AS27" i="10"/>
  <c r="AI16" i="10"/>
  <c r="AM36" i="10"/>
  <c r="AQ43" i="10"/>
  <c r="AG44" i="10"/>
  <c r="AU26" i="10"/>
  <c r="AK32" i="10"/>
  <c r="AK26" i="10"/>
  <c r="AS15" i="10"/>
  <c r="AI39" i="10"/>
  <c r="AI40" i="10"/>
  <c r="AI14" i="10"/>
  <c r="AS18" i="10"/>
  <c r="AO18" i="10"/>
  <c r="AI30" i="10"/>
  <c r="AG14" i="10"/>
  <c r="AM23" i="10"/>
  <c r="AU15" i="10"/>
  <c r="AG26" i="10"/>
  <c r="AU20" i="10"/>
  <c r="AU36" i="10"/>
  <c r="AS19" i="10"/>
  <c r="AG38" i="10"/>
  <c r="N7" i="11"/>
  <c r="AO43" i="10"/>
  <c r="AK36" i="10"/>
  <c r="AQ37" i="10"/>
  <c r="AU33" i="10"/>
  <c r="AI33" i="10"/>
  <c r="AU24" i="10"/>
  <c r="AQ32" i="10"/>
  <c r="AO39" i="10"/>
  <c r="AS28" i="10"/>
  <c r="AI19" i="10"/>
  <c r="AO42" i="10"/>
  <c r="AG40" i="10"/>
  <c r="AO45" i="10"/>
  <c r="AS30" i="10"/>
  <c r="AM29" i="10"/>
  <c r="AS43" i="10"/>
  <c r="AQ23" i="10"/>
  <c r="AG32" i="10"/>
  <c r="AM21" i="10"/>
  <c r="AS26" i="10"/>
  <c r="AG27" i="10"/>
  <c r="AM27" i="10"/>
  <c r="AG25" i="10"/>
  <c r="AO21" i="10"/>
  <c r="AK29" i="10"/>
  <c r="AO25" i="10"/>
  <c r="AG28" i="10"/>
  <c r="AS21" i="10"/>
  <c r="AQ31" i="10"/>
  <c r="AU21" i="10"/>
  <c r="AU28" i="10"/>
  <c r="AG21" i="10"/>
  <c r="AS35" i="10"/>
  <c r="AO33" i="10"/>
  <c r="AM35" i="10"/>
  <c r="AO22" i="10"/>
  <c r="AI26" i="10"/>
  <c r="AQ42" i="10"/>
  <c r="AU16" i="10"/>
  <c r="AO31" i="10"/>
  <c r="AM42" i="10"/>
  <c r="AQ44" i="10"/>
  <c r="AI38" i="10"/>
  <c r="AG29" i="10"/>
  <c r="AI18" i="10"/>
  <c r="AQ45" i="10"/>
  <c r="AQ14" i="10"/>
  <c r="AU42" i="10"/>
  <c r="AO30" i="10"/>
  <c r="AM17" i="10"/>
  <c r="AS16" i="10"/>
  <c r="AQ39" i="10"/>
  <c r="AK17" i="10"/>
  <c r="AM20" i="10"/>
  <c r="AM31" i="10"/>
  <c r="AK24" i="10"/>
  <c r="AU31" i="10"/>
  <c r="AK28" i="10"/>
  <c r="AI24" i="10"/>
  <c r="AI35" i="10"/>
  <c r="AM26" i="10"/>
  <c r="AU45" i="10"/>
  <c r="AS31" i="10"/>
  <c r="AO28" i="10"/>
  <c r="AI44" i="10"/>
  <c r="AM14" i="10"/>
  <c r="AU18" i="10"/>
  <c r="AQ26" i="10"/>
  <c r="AK37" i="10"/>
  <c r="AM32" i="10"/>
  <c r="AG37" i="10"/>
  <c r="AI32" i="10"/>
  <c r="AQ24" i="10"/>
  <c r="AI29" i="10"/>
  <c r="AQ27" i="10"/>
  <c r="AK39" i="10"/>
  <c r="AK40" i="10"/>
  <c r="AG41" i="10"/>
  <c r="AU38" i="10"/>
  <c r="AM25" i="10"/>
  <c r="AU29" i="10"/>
  <c r="AG34" i="10"/>
  <c r="AK34" i="10"/>
  <c r="AK35" i="10"/>
  <c r="AO41" i="10"/>
  <c r="AO20" i="10"/>
  <c r="AQ17" i="10"/>
  <c r="AS23" i="10"/>
  <c r="AM38" i="10"/>
  <c r="AS20" i="10"/>
  <c r="AQ36" i="10"/>
  <c r="AQ40" i="10"/>
  <c r="AU23" i="10"/>
  <c r="AM30" i="10"/>
  <c r="AI15" i="10"/>
  <c r="AK19" i="10"/>
  <c r="AK14" i="10"/>
  <c r="AU39" i="10"/>
  <c r="AI25" i="10"/>
  <c r="AG39" i="10"/>
  <c r="AS17" i="10"/>
  <c r="AG36" i="10"/>
  <c r="AQ16" i="10"/>
  <c r="AQ21" i="10"/>
  <c r="AK30" i="10"/>
  <c r="AO40" i="10"/>
  <c r="AU25" i="10"/>
  <c r="AQ38" i="10"/>
  <c r="AQ25" i="10"/>
  <c r="AS34" i="10"/>
  <c r="AO36" i="10"/>
  <c r="AU41" i="10"/>
  <c r="AK45" i="10"/>
  <c r="AO26" i="10"/>
  <c r="AG42" i="10"/>
  <c r="AM44" i="10"/>
  <c r="AQ15" i="10"/>
  <c r="AM41" i="10"/>
  <c r="AS45" i="10"/>
  <c r="AQ29" i="10"/>
  <c r="AQ30" i="10"/>
  <c r="AM43" i="10"/>
  <c r="AS41" i="10"/>
  <c r="AG43" i="10"/>
  <c r="AM18" i="10"/>
  <c r="AQ20" i="10"/>
  <c r="AK20" i="10"/>
  <c r="AG16" i="10"/>
  <c r="AG31" i="10"/>
  <c r="AO35" i="10"/>
  <c r="AK18" i="10"/>
  <c r="AU32" i="10"/>
  <c r="AG24" i="10"/>
  <c r="AO37" i="10"/>
  <c r="AM22" i="10"/>
  <c r="AQ18" i="10"/>
  <c r="AK43" i="10"/>
  <c r="AU40" i="10"/>
  <c r="AS42" i="10"/>
  <c r="AI34" i="10"/>
  <c r="AO29" i="10"/>
  <c r="AO23" i="10"/>
  <c r="AQ34" i="10"/>
  <c r="AM15" i="10"/>
  <c r="AG35" i="10"/>
  <c r="AM40" i="10"/>
  <c r="AU27" i="10"/>
  <c r="AO16" i="10"/>
  <c r="AO14" i="10"/>
  <c r="AS32" i="10"/>
  <c r="AQ22" i="10"/>
  <c r="AO38" i="10"/>
  <c r="AM45" i="10"/>
  <c r="AS14" i="10"/>
  <c r="AI37" i="10"/>
  <c r="AU30" i="10"/>
  <c r="AQ35" i="10"/>
  <c r="AK23" i="10"/>
  <c r="AM39" i="10"/>
  <c r="AO17" i="10"/>
  <c r="AK16" i="10"/>
  <c r="AU34" i="10"/>
  <c r="AG33" i="10"/>
  <c r="AG23" i="10"/>
  <c r="AK27" i="10"/>
  <c r="AM33" i="10"/>
  <c r="AS44" i="10"/>
  <c r="AU14" i="10"/>
  <c r="AI28" i="10"/>
  <c r="AK42" i="10"/>
  <c r="AU17" i="10"/>
  <c r="AU19" i="10"/>
  <c r="AK31" i="10"/>
  <c r="AK44" i="10"/>
  <c r="AU43" i="10"/>
  <c r="AG30" i="10"/>
  <c r="AI23" i="10"/>
  <c r="AO15" i="10"/>
  <c r="O10" i="10"/>
  <c r="N13" i="11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1" i="10"/>
  <c r="AB33" i="10"/>
  <c r="O7" i="10"/>
  <c r="O9" i="10"/>
  <c r="AB34" i="10"/>
  <c r="AB15" i="10"/>
  <c r="AB20" i="10"/>
  <c r="O11" i="11"/>
  <c r="AB38" i="10"/>
  <c r="AB25" i="10"/>
  <c r="AB26" i="10"/>
  <c r="AB31" i="10"/>
  <c r="AB45" i="10"/>
  <c r="N9" i="10"/>
  <c r="AB30" i="10"/>
  <c r="AB22" i="10"/>
  <c r="O6" i="10"/>
  <c r="AB37" i="10"/>
  <c r="AB44" i="10"/>
  <c r="N12" i="10"/>
  <c r="AB18" i="10"/>
  <c r="N10" i="10"/>
  <c r="AB32" i="10"/>
  <c r="AB29" i="10"/>
  <c r="AB23" i="10"/>
  <c r="N11" i="10"/>
  <c r="AB42" i="10"/>
  <c r="AB16" i="10"/>
  <c r="AB27" i="10"/>
  <c r="AB43" i="10"/>
  <c r="AB41" i="10"/>
  <c r="AB40" i="10"/>
  <c r="AB17" i="10"/>
  <c r="O8" i="10"/>
  <c r="AB19" i="10"/>
  <c r="N8" i="10"/>
  <c r="AB39" i="10"/>
  <c r="AB35" i="10"/>
  <c r="AB14" i="10"/>
  <c r="AB24" i="10"/>
  <c r="AB36" i="10"/>
  <c r="N6" i="10"/>
  <c r="AB28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G15" i="3"/>
  <c r="AK15" i="3"/>
  <c r="AI15" i="3"/>
  <c r="N12" i="3"/>
  <c r="AC15" i="3" l="1"/>
  <c r="AE15" i="3" s="1"/>
  <c r="AE14" i="3"/>
  <c r="AA16" i="3"/>
  <c r="B2" i="3"/>
  <c r="C5" i="3"/>
  <c r="C4" i="3"/>
  <c r="AB15" i="3"/>
  <c r="AG16" i="3"/>
  <c r="AI16" i="3"/>
  <c r="AK16" i="3"/>
  <c r="N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K18" i="3"/>
  <c r="AB17" i="3"/>
  <c r="AG18" i="3"/>
  <c r="AC18" i="3" l="1"/>
  <c r="AA19" i="3"/>
  <c r="AE17" i="3"/>
  <c r="B2" i="2"/>
  <c r="B4" i="2"/>
  <c r="AK19" i="3"/>
  <c r="AI19" i="3"/>
  <c r="AB18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K21" i="3"/>
  <c r="AI21" i="3"/>
  <c r="AG21" i="3"/>
  <c r="AB20" i="3"/>
  <c r="AC21" i="3" l="1"/>
  <c r="AA22" i="3"/>
  <c r="AB21" i="3"/>
  <c r="AG22" i="3"/>
  <c r="AK22" i="3"/>
  <c r="AI22" i="3"/>
  <c r="AC22" i="3" l="1"/>
  <c r="AE22" i="3" s="1"/>
  <c r="AA23" i="3"/>
  <c r="AE21" i="3"/>
  <c r="AI23" i="3"/>
  <c r="AK23" i="3"/>
  <c r="AB22" i="3"/>
  <c r="AG23" i="3"/>
  <c r="AC23" i="3" l="1"/>
  <c r="AA24" i="3"/>
  <c r="AK24" i="3"/>
  <c r="AG24" i="3"/>
  <c r="AB23" i="3"/>
  <c r="AI24" i="3"/>
  <c r="AC24" i="3" l="1"/>
  <c r="AE23" i="3"/>
  <c r="AA25" i="3"/>
  <c r="AG25" i="3"/>
  <c r="AB24" i="3"/>
  <c r="AK25" i="3"/>
  <c r="AI25" i="3"/>
  <c r="AC25" i="3" l="1"/>
  <c r="AA26" i="3"/>
  <c r="AE24" i="3"/>
  <c r="AK26" i="3"/>
  <c r="AB25" i="3"/>
  <c r="AG26" i="3"/>
  <c r="AI26" i="3"/>
  <c r="AC26" i="3" l="1"/>
  <c r="AA27" i="3"/>
  <c r="AE25" i="3"/>
  <c r="AG27" i="3"/>
  <c r="AI27" i="3"/>
  <c r="AK27" i="3"/>
  <c r="AB26" i="3"/>
  <c r="AC27" i="3" l="1"/>
  <c r="AA28" i="3"/>
  <c r="AE26" i="3"/>
  <c r="AI28" i="3"/>
  <c r="AG28" i="3"/>
  <c r="AB27" i="3"/>
  <c r="AK28" i="3"/>
  <c r="AC28" i="3" l="1"/>
  <c r="AA29" i="3"/>
  <c r="AE27" i="3"/>
  <c r="AK29" i="3"/>
  <c r="AI29" i="3"/>
  <c r="AG29" i="3"/>
  <c r="AB28" i="3"/>
  <c r="AC29" i="3" l="1"/>
  <c r="AA30" i="3"/>
  <c r="AE28" i="3"/>
  <c r="AI30" i="3"/>
  <c r="AK30" i="3"/>
  <c r="AG30" i="3"/>
  <c r="AB29" i="3"/>
  <c r="AC30" i="3" l="1"/>
  <c r="AA31" i="3"/>
  <c r="AE29" i="3"/>
  <c r="AG31" i="3"/>
  <c r="AB30" i="3"/>
  <c r="AI31" i="3"/>
  <c r="AK31" i="3"/>
  <c r="AC31" i="3" l="1"/>
  <c r="AA32" i="3"/>
  <c r="AE30" i="3"/>
  <c r="AB31" i="3"/>
  <c r="AK32" i="3"/>
  <c r="AI32" i="3"/>
  <c r="AG32" i="3"/>
  <c r="AC32" i="3" l="1"/>
  <c r="AA33" i="3"/>
  <c r="AE31" i="3"/>
  <c r="AI33" i="3"/>
  <c r="AB32" i="3"/>
  <c r="AK33" i="3"/>
  <c r="AG33" i="3"/>
  <c r="AC33" i="3" l="1"/>
  <c r="AA34" i="3"/>
  <c r="AE32" i="3"/>
  <c r="AG34" i="3"/>
  <c r="AB33" i="3"/>
  <c r="AK34" i="3"/>
  <c r="AI34" i="3"/>
  <c r="AC34" i="3" l="1"/>
  <c r="AA35" i="3"/>
  <c r="AE33" i="3"/>
  <c r="AB34" i="3"/>
  <c r="AG35" i="3"/>
  <c r="AK35" i="3"/>
  <c r="AI35" i="3"/>
  <c r="AC35" i="3" l="1"/>
  <c r="AA36" i="3"/>
  <c r="AE34" i="3"/>
  <c r="AK36" i="3"/>
  <c r="AI36" i="3"/>
  <c r="AB35" i="3"/>
  <c r="AG36" i="3"/>
  <c r="AC36" i="3" l="1"/>
  <c r="AA37" i="3"/>
  <c r="AE35" i="3"/>
  <c r="AB36" i="3"/>
  <c r="AK37" i="3"/>
  <c r="AI37" i="3"/>
  <c r="AG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K39" i="3"/>
  <c r="AG39" i="3"/>
  <c r="AC39" i="3" l="1"/>
  <c r="AA40" i="3"/>
  <c r="AE38" i="3"/>
  <c r="AG40" i="3"/>
  <c r="AK40" i="3"/>
  <c r="AB39" i="3"/>
  <c r="AI40" i="3"/>
  <c r="AC40" i="3" l="1"/>
  <c r="AA41" i="3"/>
  <c r="AE39" i="3"/>
  <c r="AB40" i="3"/>
  <c r="AG41" i="3"/>
  <c r="AI41" i="3"/>
  <c r="AK41" i="3"/>
  <c r="AC41" i="3" l="1"/>
  <c r="AA42" i="3"/>
  <c r="AE40" i="3"/>
  <c r="AB41" i="3"/>
  <c r="AI42" i="3"/>
  <c r="AK42" i="3"/>
  <c r="AG42" i="3"/>
  <c r="AC42" i="3" l="1"/>
  <c r="AA43" i="3"/>
  <c r="AE41" i="3"/>
  <c r="AK43" i="3"/>
  <c r="O8" i="3"/>
  <c r="AI43" i="3"/>
  <c r="AB42" i="3"/>
  <c r="AG43" i="3"/>
  <c r="N7" i="3"/>
  <c r="O10" i="3"/>
  <c r="O9" i="3"/>
  <c r="N8" i="3"/>
  <c r="N10" i="3"/>
  <c r="O7" i="3"/>
  <c r="N5" i="3" l="1"/>
  <c r="V2" i="3" s="1"/>
  <c r="AC43" i="3"/>
  <c r="AE42" i="3"/>
  <c r="O6" i="3"/>
  <c r="N9" i="3"/>
  <c r="AB43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<sst xmlns="http://schemas.openxmlformats.org/spreadsheetml/2006/main" count="522" uniqueCount="162">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</sst>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201FFBE-4DF2-4AD6-A20D-4936E0AD79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9C4C01-AD97-464F-9314-9B4343F790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19B125-3674-4B1B-AC51-F3AA8828A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F0CFFE-1442-4CC4-AC52-7D269C91BB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099ACE-96FC-47EE-B541-8DE3006C94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ABCCF6-F41D-49BC-8417-C499E8AC4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E58341-FF99-4C5A-B046-E485E1CC9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8C423C-AC10-4672-B7DA-0CE1A0DE7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52E552-64F1-477A-A08E-7DEC517456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BD01DF-04BB-4A76-9A4D-12B913018C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BE5163-5928-4031-9877-1048722DF2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AEA878-AA14-40E5-9254-9DB12DF95C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EF3026-908B-49C5-B6F0-1CFE24012D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34CF72-D8B3-4D58-9ECF-EC562C724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39C80B-F702-4772-8521-B617E3817D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562719-819D-4774-84B2-1475A3788E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296A1C-B0EF-41CF-AF82-A5D538B77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D4D329-E61D-4FED-88BB-EFC7909EC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8140F7-5B42-4F55-BAF7-56B81E1265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B8B89B-78DC-4B13-B325-EFE299026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C2FDAF-7764-49A1-AC80-AB5BEAD7D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522FDD-3D7D-49C3-ADCA-6B2E2FE3E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804AFC-8A78-49FE-8E43-E81CAF667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CC201E-A28F-400B-A0BE-171B24E97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40F227-4C28-4A7F-91EC-78C3CC14F1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376506-743F-4125-91CD-372C34199E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FE0508-6CA4-4F27-B270-53EC6DDA5A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835E02-33C1-43F2-B051-599B5A82D8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9EDC6A-6A39-4917-A28C-B8BE1E01F0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F93BBC-C6C7-4EAD-9903-7F3606BB58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B93ECD-A0AE-4305-B87A-B018267112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BF2191-91C3-4527-8029-6629DCB7C4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13348E-A88A-4EE2-A746-9D614521EE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69C450-070C-4D52-A738-E7DD95BA5A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8A27DE-B1CB-4D04-A88B-A2178F140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1ACBAF-51D3-479F-B9EE-2C1A6F8457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D07BDA-5726-420C-B7A3-FA39147A8D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CFD2D0-458B-46CE-8265-ADB4E0BE04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78431F-1DAC-4DEF-96EE-F78671FF3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012241-5653-4D44-8726-0C3166AB52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1C3E6F-68B5-4617-8180-5694D06FCE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4AC648-F3A5-46CA-94CA-EA20D19BE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7607A6-309A-413E-8C27-3DD6E3093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9FF571-62A3-4926-AC7B-966AB01FDC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DF951E-716F-4485-A5A0-69D20274F5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286203-6F47-4945-ACF9-39D5072143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4FC9F1-0396-4A27-9690-E5392BA767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B28C1D-7705-472A-A701-26CB8C3F5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B1D873-64AC-440B-B949-6979DC5B0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794C67-7887-4A1D-8097-A89001106A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8934F5-49AE-4BDB-8E7B-17FAE71DA9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E69D21-2303-48A7-8EAF-6A9C20A3A7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831EF1-F5C4-43FC-9C69-C27244F1C9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85548F-7155-4E03-9A96-AC344AD5D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9D4A49-B8D3-4C61-B200-8AB89F0F93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49BF4E-FCFC-44BA-949B-F47C77084D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28C58E-C00A-481D-A5B9-B3CE5EC0B7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03086B-F5D7-4FD5-B18A-6A7210AEB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43FB3A-DF6E-42C3-BEA0-C6AD0B1565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EB098F-DC75-4D20-98B0-9E171CC77C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0303A0-E795-40F9-A18A-217FADCA74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D34780-E347-4DFA-996E-95025FD5D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06782EC-C7E4-4B00-A8E4-5DD37300EF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7BEFDA-AF1F-4EBB-B683-C271AE010B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B6DB3D-C9B7-4175-94F0-57B0C6EF97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F3159C-E7A0-4AA9-AB2C-8072AF8237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2E2393-FAD0-46EF-A21A-73AA669F14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8510CC-C57C-427B-9131-E55453A67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F1A54A-D20A-4835-BD62-5855553DE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30132E-AAF1-465B-98B9-15EB1DA6E3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8BDB85-D0E7-4D01-AF55-9078D016D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3A6550-3279-4D34-904C-4666A782A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53E874-96F8-43EC-B697-472B89FBA9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DD8AAC-DAEA-4B27-9788-7F2133D8A3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3C52A0-295D-4C91-B207-99BCBF38F1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4FEA55-C20A-465B-AC3F-1EBBBA429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3FE557-4726-4D84-A62B-AF7BC38838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D896DD-B9D9-413B-8449-27567BB0A9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35297D-9522-4CAE-B0CC-4BCB62B79A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DFBA02-D2D2-477A-8B96-EB4CE91AC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717958-914C-45CB-B1FE-464E78C93B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E061B8-6932-4B0F-B06E-CA83B7923C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250B60-60FD-459E-8058-812E059C5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5B2143-5A8C-45C2-B09A-DACF8E0351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626507-130C-490B-9ECC-F6D0FC25A5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30D533-8A67-4AF9-8F11-621F42C091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901A77-4666-4905-A767-72139E4099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F662C3-010F-4060-97A4-752C7E5CF1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C8BA30-66FD-4E5C-BFD1-5A5D59E309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C493CA-86BA-4DA8-B8B4-F5136C2C80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12671A-11EB-48DC-8789-99E38B28AC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C8D138-27D8-46C6-8309-3CADA08D74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1" dataDxfId="110">
  <autoFilter ref="R13:X16" xr:uid="{FF2C9E8B-1A62-479C-AF68-79B236C0B7BB}"/>
  <tableColumns count="7">
    <tableColumn id="1" xr3:uid="{727C6146-39EA-4E15-8783-53CAA87FAF36}" name="Zone ID" dataDxfId="109"/>
    <tableColumn id="2" xr3:uid="{2CA65110-6DD7-46D8-BFC2-5EB0C0E57567}" name="Description" dataDxfId="108"/>
    <tableColumn id="3" xr3:uid="{12D64F80-6A69-494F-BF8F-E326D34A185A}" name="Short Description" dataDxfId="107"/>
    <tableColumn id="4" xr3:uid="{71F3F5B2-8F6B-4985-B1FC-5A9D60095474}" name="Start Date" dataDxfId="106"/>
    <tableColumn id="5" xr3:uid="{57258378-8FED-4727-89AC-D938CB414B7B}" name="Finish Date" dataDxfId="105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0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03">
      <calculatedColumnFormula>IF(AA13 = "Date", $S$4, AA13+7)</calculatedColumnFormula>
    </tableColumn>
    <tableColumn id="6" xr3:uid="{5740AC03-CF53-4345-8667-6AC0CA6843D0}" name="Primary Areas" dataDxfId="102">
      <calculatedColumnFormula>PrimaryAreas(3)</calculatedColumnFormula>
    </tableColumn>
    <tableColumn id="2" xr3:uid="{AF232D3D-EC3F-4232-BA5D-1427173C2D6A}" name="Weekly Plan" dataDxfId="101">
      <calculatedColumnFormula xml:space="preserve"> IF(#REF!="", 0,#REF!)+ IF(#REF!="", 0,#REF!)+ IF(#REF!="", 0,#REF!)</calculatedColumnFormula>
    </tableColumn>
    <tableColumn id="3" xr3:uid="{B28103F6-7596-4848-9F0D-3E4A9E5CBEFE}" name="Weekly Actual" dataDxfId="100">
      <calculatedColumnFormula>IF(AND(ISBLANK(#REF!),ISBLANK(#REF!),ISBLANK(#REF!)),"",#REF! +#REF!+#REF!)</calculatedColumnFormula>
    </tableColumn>
    <tableColumn id="4" xr3:uid="{EF1C6009-71E6-491B-B64F-04049D2D9103}" name="Accumulated Plan" dataDxfId="99">
      <calculatedColumnFormula>SUM($AC$14:AC14)</calculatedColumnFormula>
    </tableColumn>
    <tableColumn id="5" xr3:uid="{442DAB73-1233-4C61-8DE9-3B44CE2C5D69}" name="Accumulated Actual" dataDxfId="98">
      <calculatedColumnFormula>IF(AD14="",NA(),SUM($AD$14:AD14))</calculatedColumnFormula>
    </tableColumn>
    <tableColumn id="43" xr3:uid="{CE31DBAF-57B0-4D4D-852A-B07516A73A41}" name="WP_A1" dataDxfId="97">
      <calculatedColumnFormula>WeeklyPlanned(Output_Template[[#Headers],[WP_A1]], Output_Template[[#This Row],[Date]])</calculatedColumnFormula>
    </tableColumn>
    <tableColumn id="44" xr3:uid="{A0857F89-2BC6-42D6-B02F-90D9272451CA}" name="WA_A1" dataDxfId="96"/>
    <tableColumn id="45" xr3:uid="{2A74D439-B21B-40DD-BB55-7D2C2B18629E}" name="WP_A2" dataDxfId="95">
      <calculatedColumnFormula>WeeklyPlanned(Output_Template[[#Headers],[WP_A2]], Output_Template[[#This Row],[Date]])</calculatedColumnFormula>
    </tableColumn>
    <tableColumn id="46" xr3:uid="{670DB326-434A-466C-9E3C-6A8FE180F21F}" name="WA_A2" dataDxfId="94"/>
    <tableColumn id="47" xr3:uid="{B6798EC6-DE2D-49BB-961E-220FED1F6F10}" name="WP_A3" dataDxfId="93">
      <calculatedColumnFormula>WeeklyPlanned(Output_Template[[#Headers],[WP_A3]], Output_Template[[#This Row],[Date]])</calculatedColumnFormula>
    </tableColumn>
    <tableColumn id="48" xr3:uid="{B2CB6DA2-6E53-4BAC-881B-229E451DFCE0}" name="WA_A3" dataDxfId="9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1">
  <autoFilter ref="H2:H5" xr:uid="{1041DC80-58D6-4308-9DE1-A4EC8AAD3C20}"/>
  <tableColumns count="1">
    <tableColumn id="1" xr3:uid="{0E6D3E77-7CB7-40A1-BCA6-DDC8164AAEB9}" name="Holidays" dataDxfId="9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58" dataDxfId="57">
  <autoFilter ref="R13:X21" xr:uid="{FF2C9E8B-1A62-479C-AF68-79B236C0B7BB}"/>
  <tableColumns count="7">
    <tableColumn id="1" xr3:uid="{9FED2BA1-A1A7-4513-A20F-F09DB113155D}" name="Zone ID" dataDxfId="56"/>
    <tableColumn id="2" xr3:uid="{8B67A205-5329-400B-84DC-CB06A032CF16}" name="Description" dataDxfId="55"/>
    <tableColumn id="3" xr3:uid="{2253D560-C30C-43DE-ABAB-BFAFD145DF40}" name="Short Description" dataDxfId="54"/>
    <tableColumn id="4" xr3:uid="{09E57ADB-1BEB-4CFB-B160-A9C7ADA56DE0}" name="Start Date" dataDxfId="53"/>
    <tableColumn id="5" xr3:uid="{B704EAFC-B4AE-45F3-A5AC-5189060C6D42}" name="Finish Date" dataDxfId="52"/>
    <tableColumn id="6" xr3:uid="{FAFABCDE-D7F7-45A9-83E7-80ADC6F01B0B}" name="Total" dataDxfId="51" dataCellStyle="Normal"/>
    <tableColumn id="7" xr3:uid="{F8D69A8D-7550-4939-9D63-599172BCFFFD}" name="Completed Total" dataDxfId="50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49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48">
      <calculatedColumnFormula>IF(AA13 = "Date", $S$4, AA13+7)</calculatedColumnFormula>
    </tableColumn>
    <tableColumn id="6" xr3:uid="{DE271CBB-C0FC-482D-929A-C21AEFAC32E4}" name="Primary Areas" dataDxfId="47">
      <calculatedColumnFormula>PrimaryAreas(8)</calculatedColumnFormula>
    </tableColumn>
    <tableColumn id="2" xr3:uid="{71EE47CC-75E0-49E1-B527-E1364059B0A6}" name="Weekly Plan" dataDxfId="46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45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44">
      <calculatedColumnFormula>SUM($AC$14:AC14)</calculatedColumnFormula>
    </tableColumn>
    <tableColumn id="5" xr3:uid="{CB7FAB5B-BEAB-4D4A-BD18-57DE0B5DE266}" name="Accumulated Actual" dataDxfId="43">
      <calculatedColumnFormula>IF(AD14="",NA(),SUM($AD$14:AD14))</calculatedColumnFormula>
    </tableColumn>
    <tableColumn id="7" xr3:uid="{2A1CBA5C-29D6-4EB1-8BAA-AF2C064B4A02}" name="WP_ABC" dataDxfId="42">
      <calculatedColumnFormula>WeeklyPlanned(Output_0501[[#Headers],[WP_ABC]], Output_0501[[#This Row],[Date]])</calculatedColumnFormula>
    </tableColumn>
    <tableColumn id="8" xr3:uid="{04DC9374-2B37-4BF5-AA39-F11FC0149281}" name="WA_ABC" dataDxfId="41"/>
    <tableColumn id="9" xr3:uid="{4F88CC2C-A480-4C5B-BA01-24B210AB447A}" name="WP_ACS" dataDxfId="40">
      <calculatedColumnFormula>WeeklyPlanned(Output_0501[[#Headers],[WP_ACS]], Output_0501[[#This Row],[Date]])</calculatedColumnFormula>
    </tableColumn>
    <tableColumn id="10" xr3:uid="{48C24C77-4D2B-435F-BBC2-FAD4AD540AB6}" name="WA_ACS" dataDxfId="39"/>
    <tableColumn id="11" xr3:uid="{75D5C587-305D-4077-9FAA-C79F65923E57}" name="WP_AL1" dataDxfId="38">
      <calculatedColumnFormula>WeeklyPlanned(Output_0501[[#Headers],[WP_AL1]], Output_0501[[#This Row],[Date]])</calculatedColumnFormula>
    </tableColumn>
    <tableColumn id="12" xr3:uid="{8077796C-E6FC-4EE3-89F7-798709387F7F}" name="WA_AL1" dataDxfId="37"/>
    <tableColumn id="13" xr3:uid="{792F3323-B0E8-4776-9689-FD45E57B619D}" name="WP_HBase" dataDxfId="36">
      <calculatedColumnFormula>WeeklyPlanned(Output_0501[[#Headers],[WP_HBase]], Output_0501[[#This Row],[Date]])</calculatedColumnFormula>
    </tableColumn>
    <tableColumn id="14" xr3:uid="{9E7E74B1-B432-4576-8F57-2DCED559C004}" name="WA_HBase" dataDxfId="35"/>
    <tableColumn id="15" xr3:uid="{6C8A9406-B3E7-4378-8961-19DE99A823B8}" name="WP_HWST" dataDxfId="34">
      <calculatedColumnFormula>WeeklyPlanned(Output_0501[[#Headers],[WP_HWST]], Output_0501[[#This Row],[Date]])</calculatedColumnFormula>
    </tableColumn>
    <tableColumn id="16" xr3:uid="{85632008-1A06-41BF-96BF-DF4F2942C8E3}" name="WA_HWST" dataDxfId="33"/>
    <tableColumn id="17" xr3:uid="{4ED0746A-56E1-4B9A-8D82-621AD6A805EE}" name="WP_HWSR" dataDxfId="32">
      <calculatedColumnFormula>WeeklyPlanned(Output_0501[[#Headers],[WP_HWSR]], Output_0501[[#This Row],[Date]])</calculatedColumnFormula>
    </tableColumn>
    <tableColumn id="18" xr3:uid="{616A2447-10D3-4C5E-BE98-C8594A351722}" name="WA_HWSR" dataDxfId="31"/>
    <tableColumn id="19" xr3:uid="{13711C20-54F0-41FE-93CC-92DB5745C53C}" name="WP_HL2" dataDxfId="30">
      <calculatedColumnFormula>WeeklyPlanned(Output_0501[[#Headers],[WP_HL2]], Output_0501[[#This Row],[Date]])</calculatedColumnFormula>
    </tableColumn>
    <tableColumn id="20" xr3:uid="{AE155A80-4969-4902-8DAF-8DC808584420}" name="WA_HL2" dataDxfId="29"/>
    <tableColumn id="21" xr3:uid="{186F9C43-2DF5-47B7-A779-6A42D4C3454E}" name="WP_HBCeil" dataDxfId="28">
      <calculatedColumnFormula>WeeklyPlanned(Output_0501[[#Headers],[WP_HBCeil]], Output_0501[[#This Row],[Date]])</calculatedColumnFormula>
    </tableColumn>
    <tableColumn id="22" xr3:uid="{7F8ADB3E-C083-4C51-8B5A-9EACC6ABF4A0}" name="WA_HBCeil" dataDxfId="2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19" dataDxfId="18">
  <autoFilter ref="R13:X16" xr:uid="{FF2C9E8B-1A62-479C-AF68-79B236C0B7BB}"/>
  <tableColumns count="7">
    <tableColumn id="1" xr3:uid="{98B6CEFA-F45C-41F6-AA4B-12A3C8376FF3}" name="Zone ID" dataDxfId="17"/>
    <tableColumn id="2" xr3:uid="{0EED481C-6B7F-45EA-96EB-621E9C83F3F6}" name="Description" dataDxfId="16"/>
    <tableColumn id="3" xr3:uid="{92B65829-37BF-4514-B7D6-292B5B8F0C44}" name="Short Description" dataDxfId="15"/>
    <tableColumn id="4" xr3:uid="{80A86D55-7D1D-4DFA-811D-6869E0913B53}" name="Start Date" dataDxfId="14"/>
    <tableColumn id="5" xr3:uid="{93521AA3-7D74-4D93-B395-07061FC7E0C3}" name="Finish Date" dataDxfId="13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11">
      <calculatedColumnFormula>IF(AA13 = "Date", $S$4, AA13+7)</calculatedColumnFormula>
    </tableColumn>
    <tableColumn id="6" xr3:uid="{AB52DC66-705D-403C-9556-5F09775CDBB4}" name="Primary Areas" dataDxfId="10">
      <calculatedColumnFormula>PrimaryAreas(3)</calculatedColumnFormula>
    </tableColumn>
    <tableColumn id="2" xr3:uid="{B199DE9E-07BB-4F6F-BF0F-FD9612C1E4A1}" name="Weekly Plan" dataDxfId="9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">
      <calculatedColumnFormula>SUM($AC$14:AC14)</calculatedColumnFormula>
    </tableColumn>
    <tableColumn id="5" xr3:uid="{651F866A-913C-41F0-96AF-A1AE2AFF845B}" name="Accumulated Actual" dataDxfId="6">
      <calculatedColumnFormula>IF(AD14="",NA(),SUM($AD$14:AD14))</calculatedColumnFormula>
    </tableColumn>
    <tableColumn id="43" xr3:uid="{32BBBBE6-824B-424A-A817-1078C82774BD}" name="WP_A1" dataDxfId="5">
      <calculatedColumnFormula>WeeklyPlanned(Output_0001[[#Headers],[WP_A1]], Output_0001[[#This Row],[Date]])</calculatedColumnFormula>
    </tableColumn>
    <tableColumn id="44" xr3:uid="{2E76C9D7-DBC3-40AA-B2D2-F2A8133ADEDC}" name="WA_A1" dataDxfId="4"/>
    <tableColumn id="45" xr3:uid="{8349A05E-AB3B-4D38-86D5-C3757AF0C549}" name="WP_A2" dataDxfId="3">
      <calculatedColumnFormula>WeeklyPlanned(Output_0001[[#Headers],[WP_A2]], Output_0001[[#This Row],[Date]])</calculatedColumnFormula>
    </tableColumn>
    <tableColumn id="46" xr3:uid="{98829D33-590E-463C-A7AE-DB10CF64BCCB}" name="WA_A2" dataDxfId="2"/>
    <tableColumn id="47" xr3:uid="{0C2A1C55-569B-4688-8BB0-54DD665AAD32}" name="WP_A3" dataDxfId="1">
      <calculatedColumnFormula>WeeklyPlanned(Output_0001[[#Headers],[WP_A3]], Output_0001[[#This Row],[Date]])</calculatedColumnFormula>
    </tableColumn>
    <tableColumn id="48" xr3:uid="{5EA3C838-64EE-4DF3-8DFE-BE9B5AC605F5}" name="WA_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T29" sqref="T2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9" t="s">
        <v>80</v>
      </c>
      <c r="AB1" s="90"/>
    </row>
    <row r="2" spans="2:3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7" t="str">
        <f>Main!C33</f>
        <v>Sample Sub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(SF)</v>
      </c>
      <c r="K6" s="80"/>
      <c r="L6" s="80"/>
      <c r="M6" s="8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7" t="str">
        <f>RIGHT(Main!B33, LEN(Main!B33) - 4)</f>
        <v>Sample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(SF)</v>
      </c>
      <c r="K7" s="80"/>
      <c r="L7" s="80"/>
      <c r="M7" s="8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80" t="str">
        <f>_xlfn.CONCAT("This Week's Production (", IF(ISBLANK($S$6),"",$S$6), ")")</f>
        <v>This Week's Production (SF)</v>
      </c>
      <c r="K8" s="80"/>
      <c r="L8" s="80"/>
      <c r="M8" s="8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80" t="str">
        <f>_xlfn.CONCAT("Weekly Average (", IF(ISBLANK($S$6),"",$S$6), ")")</f>
        <v>Weekly Average (SF)</v>
      </c>
      <c r="K9" s="80"/>
      <c r="L9" s="80"/>
      <c r="M9" s="8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80" t="str">
        <f>_xlfn.CONCAT("Average Past 4 Weeks (", IF(ISBLANK($S$6),"",$S$6), ")")</f>
        <v>Average Past 4 Weeks (SF)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6" t="s">
        <v>157</v>
      </c>
      <c r="V10" s="96"/>
      <c r="W10" s="96"/>
      <c r="X10" s="96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80" t="str">
        <f>_xlfn.CONCAT("On Schedule Average (", IF(ISBLANK($S$6),"",$S$6), ")")</f>
        <v>On Schedule Average (SF)</v>
      </c>
      <c r="K11" s="80"/>
      <c r="L11" s="80"/>
      <c r="M11" s="8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96"/>
      <c r="V11" s="96"/>
      <c r="W11" s="96"/>
      <c r="X11" s="96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91" t="s">
        <v>45</v>
      </c>
      <c r="K12" s="91"/>
      <c r="L12" s="91"/>
      <c r="M12" s="91"/>
      <c r="N12" s="92">
        <f ca="1">MAX(INDIRECT("Input_"&amp;$S$2&amp;"[Finish Date]"))</f>
        <v>44105</v>
      </c>
      <c r="O12" s="9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91" t="s">
        <v>46</v>
      </c>
      <c r="K13" s="91"/>
      <c r="L13" s="91"/>
      <c r="M13" s="91"/>
      <c r="N13" s="9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6"/>
      <c r="N14" s="76"/>
      <c r="O14" s="7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78"/>
      <c r="M15" s="78"/>
      <c r="N15" s="78"/>
      <c r="O15" s="7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18" priority="10">
      <formula>ISERROR(AF14)</formula>
    </cfRule>
  </conditionalFormatting>
  <conditionalFormatting sqref="W13:X13">
    <cfRule type="expression" dxfId="117" priority="8">
      <formula>IF(OR($S$8 = "Assemble Addin", $S$8 = "Bluebeam QL"), TRUE, FALSE)</formula>
    </cfRule>
  </conditionalFormatting>
  <conditionalFormatting sqref="N6:O6">
    <cfRule type="expression" dxfId="116" priority="7">
      <formula>IF($N$6=$O$6, FALSE, TRUE)</formula>
    </cfRule>
  </conditionalFormatting>
  <conditionalFormatting sqref="W14:X16">
    <cfRule type="expression" dxfId="115" priority="5">
      <formula>IF(OR($S$8 = "Assemble Addin", $S$8 = "Bluebeam QL"), TRUE, FALSE)</formula>
    </cfRule>
    <cfRule type="expression" dxfId="114" priority="6">
      <formula>IF(OR($S$8 = "Assemble Addin", $S$8 = "Bluebeam QL"), MOD(ROW(), 2)=0, FALSE)</formula>
    </cfRule>
  </conditionalFormatting>
  <conditionalFormatting sqref="R13">
    <cfRule type="expression" dxfId="113" priority="2">
      <formula>IF($S$8 = "Assemble Addin", TRUE, FALSE)</formula>
    </cfRule>
  </conditionalFormatting>
  <conditionalFormatting sqref="R14:R16">
    <cfRule type="expression" dxfId="112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7" t="str">
        <f>UPPER("Structural Steel 07/01/2020")</f>
        <v>STRUCTURAL STEEL 07/01/2020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4" spans="1:14" x14ac:dyDescent="0.35">
      <c r="A34" s="98" t="s">
        <v>116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tabSelected="1" workbookViewId="0">
      <selection activeCell="J11" sqref="J1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0" t="s">
        <v>5</v>
      </c>
      <c r="F1" s="10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1" t="s">
        <v>6</v>
      </c>
      <c r="C2" s="10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zoomScale="115" zoomScaleNormal="115" workbookViewId="0">
      <selection activeCell="H39" sqref="H39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3" t="str">
        <f>"PROGRESS REPORT "&amp; TEXT(Report_Date, "mm/dd/yyy")</f>
        <v>PROGRESS REPORT 07/01/2020</v>
      </c>
      <c r="C2" s="103"/>
      <c r="D2" s="103"/>
      <c r="E2" s="103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2" t="s">
        <v>26</v>
      </c>
      <c r="C11" s="102"/>
      <c r="D11" s="102"/>
      <c r="E11" s="102"/>
      <c r="F11" s="16"/>
      <c r="G11" s="16"/>
      <c r="H11" s="16"/>
      <c r="I11" s="16"/>
      <c r="J11" s="16"/>
      <c r="K11" s="16"/>
      <c r="L11" s="67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2" t="s">
        <v>27</v>
      </c>
      <c r="C13" s="102"/>
      <c r="D13" s="102"/>
      <c r="E13" s="102"/>
      <c r="F13" s="16"/>
      <c r="G13" s="16"/>
      <c r="H13" s="16"/>
      <c r="I13" s="16"/>
      <c r="J13" s="16"/>
      <c r="K13" s="16"/>
      <c r="L13" s="67" t="s">
        <v>136</v>
      </c>
    </row>
    <row r="14" spans="2:12" hidden="1" x14ac:dyDescent="0.3">
      <c r="B14" s="9"/>
      <c r="G14" s="73"/>
      <c r="H14" s="37"/>
    </row>
    <row r="15" spans="2:12" ht="15" x14ac:dyDescent="0.3">
      <c r="B15" s="102" t="s">
        <v>28</v>
      </c>
      <c r="C15" s="102"/>
      <c r="D15" s="102"/>
      <c r="E15" s="102"/>
      <c r="F15" s="16"/>
      <c r="G15" s="16"/>
      <c r="H15" s="16"/>
      <c r="I15" s="16"/>
      <c r="J15" s="16"/>
      <c r="K15" s="16"/>
      <c r="L15" s="67" t="s">
        <v>136</v>
      </c>
    </row>
    <row r="16" spans="2:12" x14ac:dyDescent="0.3">
      <c r="B16" s="9" t="s">
        <v>151</v>
      </c>
      <c r="C16" s="67" t="s">
        <v>149</v>
      </c>
      <c r="D16" s="10">
        <f ca="1">'0501'!N5</f>
        <v>0</v>
      </c>
      <c r="E16" s="10">
        <f ca="1">'0501'!O5</f>
        <v>0.10714285714285712</v>
      </c>
      <c r="G16" s="73"/>
      <c r="H16" s="37" t="s">
        <v>150</v>
      </c>
      <c r="I16" s="74" t="str">
        <f ca="1">IF(Report_Date = INDIRECT(H16 &amp; "!S9"), "Ready", "Not Ready")</f>
        <v>Ready</v>
      </c>
      <c r="J16" s="67" t="s">
        <v>160</v>
      </c>
      <c r="K16" s="67" t="s">
        <v>161</v>
      </c>
    </row>
    <row r="17" spans="2:12" x14ac:dyDescent="0.3">
      <c r="B17" s="9"/>
      <c r="G17" s="73"/>
      <c r="H17" s="37"/>
    </row>
    <row r="18" spans="2:12" ht="15" hidden="1" x14ac:dyDescent="0.3">
      <c r="B18" s="102" t="s">
        <v>29</v>
      </c>
      <c r="C18" s="102"/>
      <c r="D18" s="102"/>
      <c r="E18" s="102"/>
      <c r="F18" s="16"/>
      <c r="G18" s="16"/>
      <c r="H18" s="16"/>
      <c r="I18" s="16"/>
      <c r="J18" s="16"/>
      <c r="K18" s="16"/>
      <c r="L18" s="67" t="s">
        <v>136</v>
      </c>
    </row>
    <row r="19" spans="2:12" hidden="1" x14ac:dyDescent="0.3">
      <c r="B19" s="9"/>
      <c r="G19" s="73"/>
      <c r="H19" s="37"/>
    </row>
    <row r="20" spans="2:12" ht="15" hidden="1" x14ac:dyDescent="0.3">
      <c r="B20" s="102" t="s">
        <v>30</v>
      </c>
      <c r="C20" s="102"/>
      <c r="D20" s="102"/>
      <c r="E20" s="102"/>
      <c r="F20" s="16"/>
      <c r="G20" s="16"/>
      <c r="H20" s="16"/>
      <c r="I20" s="16"/>
      <c r="J20" s="16"/>
      <c r="K20" s="16"/>
      <c r="L20" s="67" t="s">
        <v>136</v>
      </c>
    </row>
    <row r="21" spans="2:12" hidden="1" x14ac:dyDescent="0.3">
      <c r="B21" s="9"/>
      <c r="G21" s="73"/>
      <c r="H21" s="37"/>
    </row>
    <row r="22" spans="2:12" ht="15" hidden="1" x14ac:dyDescent="0.3">
      <c r="B22" s="102" t="s">
        <v>127</v>
      </c>
      <c r="C22" s="102"/>
      <c r="D22" s="102"/>
      <c r="E22" s="102"/>
      <c r="F22" s="16"/>
      <c r="G22" s="16"/>
      <c r="H22" s="16"/>
      <c r="I22" s="16"/>
      <c r="J22" s="16"/>
      <c r="K22" s="16"/>
      <c r="L22" s="67" t="s">
        <v>136</v>
      </c>
    </row>
    <row r="23" spans="2:12" hidden="1" x14ac:dyDescent="0.3">
      <c r="B23" s="9"/>
      <c r="G23" s="73"/>
      <c r="H23" s="37"/>
    </row>
    <row r="24" spans="2:12" ht="15" hidden="1" x14ac:dyDescent="0.3">
      <c r="B24" s="102" t="s">
        <v>128</v>
      </c>
      <c r="C24" s="102"/>
      <c r="D24" s="102"/>
      <c r="E24" s="102"/>
      <c r="F24" s="16"/>
      <c r="G24" s="16"/>
      <c r="H24" s="16"/>
      <c r="I24" s="16"/>
      <c r="J24" s="16"/>
      <c r="K24" s="16"/>
      <c r="L24" s="67" t="s">
        <v>136</v>
      </c>
    </row>
    <row r="25" spans="2:12" hidden="1" x14ac:dyDescent="0.3">
      <c r="B25" s="9"/>
      <c r="G25" s="73"/>
      <c r="H25" s="37"/>
    </row>
    <row r="26" spans="2:12" ht="15" hidden="1" x14ac:dyDescent="0.3">
      <c r="B26" s="102" t="s">
        <v>129</v>
      </c>
      <c r="C26" s="102"/>
      <c r="D26" s="102"/>
      <c r="E26" s="102"/>
      <c r="F26" s="16"/>
      <c r="G26" s="16"/>
      <c r="H26" s="16"/>
      <c r="I26" s="16"/>
      <c r="J26" s="16"/>
      <c r="K26" s="16"/>
      <c r="L26" s="67" t="s">
        <v>136</v>
      </c>
    </row>
    <row r="27" spans="2:12" hidden="1" x14ac:dyDescent="0.3">
      <c r="B27" s="9"/>
      <c r="G27" s="73"/>
      <c r="H27" s="37"/>
    </row>
    <row r="28" spans="2:12" ht="15" hidden="1" x14ac:dyDescent="0.3">
      <c r="B28" s="102" t="s">
        <v>130</v>
      </c>
      <c r="C28" s="102"/>
      <c r="D28" s="102"/>
      <c r="E28" s="102"/>
      <c r="F28" s="16"/>
      <c r="G28" s="16"/>
      <c r="H28" s="16"/>
      <c r="I28" s="16"/>
      <c r="J28" s="16"/>
      <c r="K28" s="16"/>
      <c r="L28" s="67" t="s">
        <v>136</v>
      </c>
    </row>
    <row r="29" spans="2:12" hidden="1" x14ac:dyDescent="0.3">
      <c r="B29" s="9"/>
      <c r="G29" s="73"/>
      <c r="H29" s="37"/>
    </row>
    <row r="30" spans="2:12" ht="15" hidden="1" x14ac:dyDescent="0.3">
      <c r="B30" s="102" t="s">
        <v>131</v>
      </c>
      <c r="C30" s="102"/>
      <c r="D30" s="102"/>
      <c r="E30" s="102"/>
      <c r="F30" s="16"/>
      <c r="G30" s="16"/>
      <c r="H30" s="16"/>
      <c r="I30" s="16"/>
      <c r="J30" s="16"/>
      <c r="K30" s="16"/>
      <c r="L30" s="67" t="s">
        <v>136</v>
      </c>
    </row>
    <row r="31" spans="2:12" hidden="1" x14ac:dyDescent="0.3">
      <c r="B31" s="9"/>
      <c r="G31" s="73"/>
      <c r="H31" s="37"/>
    </row>
    <row r="32" spans="2:12" ht="15" x14ac:dyDescent="0.3">
      <c r="B32" s="102" t="s">
        <v>132</v>
      </c>
      <c r="C32" s="102"/>
      <c r="D32" s="102"/>
      <c r="E32" s="102"/>
      <c r="F32" s="16"/>
      <c r="G32" s="16"/>
      <c r="H32" s="16"/>
      <c r="I32" s="16"/>
      <c r="J32" s="16"/>
      <c r="K32" s="16"/>
      <c r="L32" s="67" t="s">
        <v>136</v>
      </c>
    </row>
    <row r="33" spans="2:10" x14ac:dyDescent="0.3">
      <c r="B33" s="9" t="s">
        <v>154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89" priority="57">
      <formula>IF(ISBLANK($D12), FALSE, IF(RedGreen_Formatting = "Enabled", $D12 &lt;= $E12 + Percent_Error, FALSE))</formula>
    </cfRule>
    <cfRule type="expression" dxfId="88" priority="58">
      <formula>IF(ISBLANK($D12), FALSE, IF(RedGreen_Formatting = "Enabled", $D12 &gt; $E12 + Percent_Error, FALSE))</formula>
    </cfRule>
  </conditionalFormatting>
  <conditionalFormatting sqref="E22">
    <cfRule type="expression" dxfId="87" priority="55">
      <formula>IF(ISBLANK($D22), FALSE, IF(RedGreen_Formatting = "Enabled", $D22 &lt;= $E22 + Percent_Error, FALSE))</formula>
    </cfRule>
    <cfRule type="expression" dxfId="86" priority="56">
      <formula>IF(ISBLANK($D22), FALSE, IF(RedGreen_Formatting = "Enabled", $D22 &gt; $E22 + Percent_Error, FALSE))</formula>
    </cfRule>
  </conditionalFormatting>
  <conditionalFormatting sqref="E24">
    <cfRule type="expression" dxfId="85" priority="53">
      <formula>IF(ISBLANK($D24), FALSE, IF(RedGreen_Formatting = "Enabled", $D24 &lt;= $E24 + Percent_Error, FALSE))</formula>
    </cfRule>
    <cfRule type="expression" dxfId="84" priority="54">
      <formula>IF(ISBLANK($D24), FALSE, IF(RedGreen_Formatting = "Enabled", $D24 &gt; $E24 + Percent_Error, FALSE))</formula>
    </cfRule>
  </conditionalFormatting>
  <conditionalFormatting sqref="E26">
    <cfRule type="expression" dxfId="83" priority="51">
      <formula>IF(ISBLANK($D26), FALSE, IF(RedGreen_Formatting = "Enabled", $D26 &lt;= $E26 + Percent_Error, FALSE))</formula>
    </cfRule>
    <cfRule type="expression" dxfId="82" priority="52">
      <formula>IF(ISBLANK($D26), FALSE, IF(RedGreen_Formatting = "Enabled", $D26 &gt; $E26 + Percent_Error, FALSE))</formula>
    </cfRule>
  </conditionalFormatting>
  <conditionalFormatting sqref="E28">
    <cfRule type="expression" dxfId="81" priority="49">
      <formula>IF(ISBLANK($D28), FALSE, IF(RedGreen_Formatting = "Enabled", $D28 &lt;= $E28 + Percent_Error, FALSE))</formula>
    </cfRule>
    <cfRule type="expression" dxfId="80" priority="50">
      <formula>IF(ISBLANK($D28), FALSE, IF(RedGreen_Formatting = "Enabled", $D28 &gt; $E28 + Percent_Error, FALSE))</formula>
    </cfRule>
  </conditionalFormatting>
  <conditionalFormatting sqref="E30">
    <cfRule type="expression" dxfId="79" priority="47">
      <formula>IF(ISBLANK($D30), FALSE, IF(RedGreen_Formatting = "Enabled", $D30 &lt;= $E30 + Percent_Error, FALSE))</formula>
    </cfRule>
    <cfRule type="expression" dxfId="78" priority="48">
      <formula>IF(ISBLANK($D30), FALSE, IF(RedGreen_Formatting = "Enabled", $D30 &gt; $E30 + Percent_Error, FALSE))</formula>
    </cfRule>
  </conditionalFormatting>
  <conditionalFormatting sqref="E32">
    <cfRule type="expression" dxfId="77" priority="45">
      <formula>IF(ISBLANK($D32), FALSE, IF(RedGreen_Formatting = "Enabled", $D32 &lt;= $E32 + Percent_Error, FALSE))</formula>
    </cfRule>
    <cfRule type="expression" dxfId="76" priority="46">
      <formula>IF(ISBLANK($D32), FALSE, IF(RedGreen_Formatting = "Enabled", $D32 &gt; $E32 + Percent_Error, FALSE))</formula>
    </cfRule>
  </conditionalFormatting>
  <conditionalFormatting sqref="E34">
    <cfRule type="expression" dxfId="75" priority="27">
      <formula>IF(ISBLANK($D34), FALSE, IF(RedGreen_Formatting = "Enabled", $D34 &lt;= $E34 + Percent_Error, FALSE))</formula>
    </cfRule>
    <cfRule type="expression" dxfId="74" priority="28">
      <formula>IF(ISBLANK($D34), FALSE, IF(RedGreen_Formatting = "Enabled", $D34 &gt; $E34 + Percent_Error, FALSE))</formula>
    </cfRule>
  </conditionalFormatting>
  <conditionalFormatting sqref="E33">
    <cfRule type="expression" dxfId="73" priority="7">
      <formula>IF(ISBLANK($D33), FALSE, IF(RedGreen_Formatting = "Enabled", $D33 &lt;= $E33 + Percent_Error, FALSE))</formula>
    </cfRule>
    <cfRule type="expression" dxfId="72" priority="8">
      <formula>IF(ISBLANK($D33), FALSE, IF(RedGreen_Formatting = "Enabled", $D33 &gt; $E33 + Percent_Error, FALSE))</formula>
    </cfRule>
  </conditionalFormatting>
  <conditionalFormatting sqref="E16">
    <cfRule type="expression" dxfId="71" priority="5">
      <formula>IF(ISBLANK($D16), FALSE, IF(RedGreen_Formatting = "Enabled", $D16 &lt;= $E16 + Percent_Error, FALSE))</formula>
    </cfRule>
    <cfRule type="expression" dxfId="70" priority="6">
      <formula>IF(ISBLANK($D16), FALSE, IF(RedGreen_Formatting = "Enabled", $D16 &gt; $E16 + Percent_Error, FALSE))</formula>
    </cfRule>
  </conditionalFormatting>
  <conditionalFormatting sqref="I16">
    <cfRule type="cellIs" dxfId="69" priority="3" operator="equal">
      <formula>"Not Ready"</formula>
    </cfRule>
    <cfRule type="cellIs" dxfId="68" priority="4" operator="equal">
      <formula>"Ready"</formula>
    </cfRule>
  </conditionalFormatting>
  <conditionalFormatting sqref="I33">
    <cfRule type="cellIs" dxfId="67" priority="1" operator="equal">
      <formula>"Not Ready"</formula>
    </cfRule>
    <cfRule type="cellIs" dxfId="66" priority="2" operator="equal">
      <formula>"Ready"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S32" sqref="S32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" style="65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4.5" thickBot="1" x14ac:dyDescent="0.35">
      <c r="AA1" s="89" t="s">
        <v>80</v>
      </c>
      <c r="AB1" s="90"/>
    </row>
    <row r="2" spans="2:4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87" t="str">
        <f>Main!C16</f>
        <v>Glassey Steel Works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(Count)</v>
      </c>
      <c r="K6" s="80"/>
      <c r="L6" s="80"/>
      <c r="M6" s="8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87" t="str">
        <f>RIGHT(Main!B16, LEN(Main!B16) - 4)</f>
        <v>Structural Steel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(Count)</v>
      </c>
      <c r="K7" s="80"/>
      <c r="L7" s="80"/>
      <c r="M7" s="8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0" t="str">
        <f>_xlfn.CONCAT("This Week's Production (", IF(ISBLANK($S$6),"",$S$6), ")")</f>
        <v>This Week's Production (Count)</v>
      </c>
      <c r="K8" s="80"/>
      <c r="L8" s="80"/>
      <c r="M8" s="8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0" t="str">
        <f>_xlfn.CONCAT("Weekly Average (", IF(ISBLANK($S$6),"",$S$6), ")")</f>
        <v>Weekly Average (Count)</v>
      </c>
      <c r="K9" s="80"/>
      <c r="L9" s="80"/>
      <c r="M9" s="8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0" t="str">
        <f>_xlfn.CONCAT("Average Past 4 Weeks (", IF(ISBLANK($S$6),"",$S$6), ")")</f>
        <v>Average Past 4 Weeks (Count)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96"/>
      <c r="V10" s="96"/>
      <c r="W10" s="96"/>
      <c r="X10" s="96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0" t="str">
        <f>_xlfn.CONCAT("On Schedule Average (", IF(ISBLANK($S$6),"",$S$6), ")")</f>
        <v>On Schedule Average (Count)</v>
      </c>
      <c r="K11" s="80"/>
      <c r="L11" s="80"/>
      <c r="M11" s="8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6"/>
      <c r="V11" s="96"/>
      <c r="W11" s="96"/>
      <c r="X11" s="96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91" t="s">
        <v>45</v>
      </c>
      <c r="K12" s="91"/>
      <c r="L12" s="91"/>
      <c r="M12" s="91"/>
      <c r="N12" s="92">
        <f ca="1">MAX(INDIRECT("Input_"&amp;$S$2&amp;"[Finish Date]"))</f>
        <v>44195</v>
      </c>
      <c r="O12" s="93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91" t="s">
        <v>46</v>
      </c>
      <c r="K13" s="91"/>
      <c r="L13" s="91"/>
      <c r="M13" s="91"/>
      <c r="N13" s="92">
        <f ca="1">IF($O$5&gt;0.999, "Completed", WORKDAY($S$3, ROUNDUP((SUM(Input_0501[Total])-(INDIRECT("AF"&amp;MATCH($S$3, Output_0501[Date],0)+13)))/($O$10/COUNTIF($U$2:$U$8, TRUE)),0), Holidays_Table[Holidays]))</f>
        <v>44285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6"/>
      <c r="N14" s="76"/>
      <c r="O14" s="7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78"/>
      <c r="M15" s="78"/>
      <c r="N15" s="78"/>
      <c r="O15" s="7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140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144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143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142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141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5" priority="7">
      <formula>ISERROR(AF14)</formula>
    </cfRule>
  </conditionalFormatting>
  <conditionalFormatting sqref="W13:X13">
    <cfRule type="expression" dxfId="64" priority="6">
      <formula>IF(OR($S$8 = "Assemble Addin", $S$8 = "Bluebeam QL"), TRUE, FALSE)</formula>
    </cfRule>
  </conditionalFormatting>
  <conditionalFormatting sqref="N6:O6">
    <cfRule type="expression" dxfId="63" priority="5">
      <formula>IF($N$6=$O$6, FALSE, TRUE)</formula>
    </cfRule>
  </conditionalFormatting>
  <conditionalFormatting sqref="W14:X21">
    <cfRule type="expression" dxfId="62" priority="3">
      <formula>IF(OR($S$8 = "Assemble Addin", $S$8 = "Bluebeam QL"), TRUE, FALSE)</formula>
    </cfRule>
    <cfRule type="expression" dxfId="61" priority="4">
      <formula>IF(OR($S$8 = "Assemble Addin", $S$8 = "Bluebeam QL"), MOD(ROW(), 2)=0, FALSE)</formula>
    </cfRule>
  </conditionalFormatting>
  <conditionalFormatting sqref="R13">
    <cfRule type="expression" dxfId="60" priority="2">
      <formula>IF($S$8 = "Assemble Addin", TRUE, FALSE)</formula>
    </cfRule>
  </conditionalFormatting>
  <conditionalFormatting sqref="R14:R21">
    <cfRule type="expression" dxfId="59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89" t="s">
        <v>80</v>
      </c>
      <c r="AB1" s="90"/>
    </row>
    <row r="2" spans="2:3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7" t="str">
        <f>Main!C33</f>
        <v>Sample Sub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(SF)</v>
      </c>
      <c r="K6" s="80"/>
      <c r="L6" s="80"/>
      <c r="M6" s="8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7" t="str">
        <f>RIGHT(Main!B33, LEN(Main!B33) - 4)</f>
        <v>Sample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(SF)</v>
      </c>
      <c r="K7" s="80"/>
      <c r="L7" s="80"/>
      <c r="M7" s="8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0" t="str">
        <f>_xlfn.CONCAT("This Week's Production (", IF(ISBLANK($S$6),"",$S$6), ")")</f>
        <v>This Week's Production (SF)</v>
      </c>
      <c r="K8" s="80"/>
      <c r="L8" s="80"/>
      <c r="M8" s="8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0" t="str">
        <f>_xlfn.CONCAT("Weekly Average (", IF(ISBLANK($S$6),"",$S$6), ")")</f>
        <v>Weekly Average (SF)</v>
      </c>
      <c r="K9" s="80"/>
      <c r="L9" s="80"/>
      <c r="M9" s="8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0" t="str">
        <f>_xlfn.CONCAT("Average Past 4 Weeks (", IF(ISBLANK($S$6),"",$S$6), ")")</f>
        <v>Average Past 4 Weeks (SF)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6" t="s">
        <v>157</v>
      </c>
      <c r="V10" s="96"/>
      <c r="W10" s="96"/>
      <c r="X10" s="96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0" t="str">
        <f>_xlfn.CONCAT("On Schedule Average (", IF(ISBLANK($S$6),"",$S$6), ")")</f>
        <v>On Schedule Average (SF)</v>
      </c>
      <c r="K11" s="80"/>
      <c r="L11" s="80"/>
      <c r="M11" s="8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96"/>
      <c r="V11" s="96"/>
      <c r="W11" s="96"/>
      <c r="X11" s="96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91" t="s">
        <v>45</v>
      </c>
      <c r="K12" s="91"/>
      <c r="L12" s="91"/>
      <c r="M12" s="91"/>
      <c r="N12" s="92">
        <f ca="1">MAX(INDIRECT("Input_"&amp;$S$2&amp;"[Finish Date]"))</f>
        <v>44105</v>
      </c>
      <c r="O12" s="93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91" t="s">
        <v>46</v>
      </c>
      <c r="K13" s="91"/>
      <c r="L13" s="91"/>
      <c r="M13" s="91"/>
      <c r="N13" s="92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6"/>
      <c r="N14" s="76"/>
      <c r="O14" s="7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78"/>
      <c r="M15" s="78"/>
      <c r="N15" s="78"/>
      <c r="O15" s="7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conditionalFormatting sqref="AF14:AL43">
    <cfRule type="containsErrors" dxfId="26" priority="7">
      <formula>ISERROR(AF14)</formula>
    </cfRule>
  </conditionalFormatting>
  <conditionalFormatting sqref="W13:X13">
    <cfRule type="expression" dxfId="25" priority="6">
      <formula>IF(OR($S$8 = "Assemble Addin", $S$8 = "Bluebeam QL"), TRUE, FALSE)</formula>
    </cfRule>
  </conditionalFormatting>
  <conditionalFormatting sqref="N6:O6">
    <cfRule type="expression" dxfId="24" priority="5">
      <formula>IF($N$6=$O$6, FALSE, TRUE)</formula>
    </cfRule>
  </conditionalFormatting>
  <conditionalFormatting sqref="W14:X16">
    <cfRule type="expression" dxfId="23" priority="3">
      <formula>IF(OR($S$8 = "Assemble Addin", $S$8 = "Bluebeam QL"), TRUE, FALSE)</formula>
    </cfRule>
    <cfRule type="expression" dxfId="22" priority="4">
      <formula>IF(OR($S$8 = "Assemble Addin", $S$8 = "Bluebeam QL"), MOD(ROW(), 2)=0, FALSE)</formula>
    </cfRule>
  </conditionalFormatting>
  <conditionalFormatting sqref="R13">
    <cfRule type="expression" dxfId="21" priority="2">
      <formula>IF($S$8 = "Assemble Addin", TRUE, FALSE)</formula>
    </cfRule>
  </conditionalFormatting>
  <conditionalFormatting sqref="R14:R16">
    <cfRule type="expression" dxfId="2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2020-07-30T22:08:10Z</dcterms:modified>
</cp:coreProperties>
</file>