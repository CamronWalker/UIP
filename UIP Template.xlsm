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A46FE2C8-667B-46AC-B7E0-F574F5B66607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3" i="3" l="1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F18" i="3" s="1"/>
  <c r="AD17" i="3"/>
  <c r="AF17" i="3" s="1"/>
  <c r="AD16" i="3"/>
  <c r="AF16" i="3" s="1"/>
  <c r="AD15" i="3"/>
  <c r="AF15" i="3" s="1"/>
  <c r="AD14" i="3"/>
  <c r="AF14" i="3" s="1"/>
  <c r="AF20" i="3" l="1"/>
  <c r="AF21" i="3"/>
  <c r="AF22" i="3"/>
  <c r="AF19" i="3"/>
  <c r="AF24" i="3"/>
  <c r="AF23" i="3"/>
  <c r="S5" i="3"/>
  <c r="S4" i="3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K15" i="3"/>
  <c r="AG15" i="3"/>
  <c r="AI15" i="3"/>
  <c r="AB15" i="3" s="1"/>
  <c r="AB14" i="3"/>
  <c r="N12" i="3"/>
  <c r="AC15" i="3" l="1"/>
  <c r="AA16" i="3"/>
  <c r="AE14" i="3"/>
  <c r="B2" i="3"/>
  <c r="C7" i="3"/>
  <c r="C6" i="3"/>
  <c r="C5" i="3"/>
  <c r="C4" i="3"/>
  <c r="O10" i="3"/>
  <c r="AG16" i="3"/>
  <c r="AK16" i="3"/>
  <c r="AI16" i="3"/>
  <c r="O9" i="3"/>
  <c r="N6" i="3"/>
  <c r="AE15" i="3" l="1"/>
  <c r="AC16" i="3"/>
  <c r="AA17" i="3"/>
  <c r="AI17" i="3"/>
  <c r="AB16" i="3"/>
  <c r="AK17" i="3"/>
  <c r="AG17" i="3"/>
  <c r="AC17" i="3" l="1"/>
  <c r="AA18" i="3"/>
  <c r="AE16" i="3"/>
  <c r="B8" i="2"/>
  <c r="B7" i="2"/>
  <c r="B6" i="2"/>
  <c r="AI18" i="3"/>
  <c r="AK18" i="3"/>
  <c r="AG18" i="3"/>
  <c r="AB17" i="3"/>
  <c r="AE17" i="3" l="1"/>
  <c r="AC18" i="3"/>
  <c r="AA19" i="3"/>
  <c r="B2" i="2"/>
  <c r="B4" i="2"/>
  <c r="AG19" i="3"/>
  <c r="AI19" i="3"/>
  <c r="AK19" i="3"/>
  <c r="AB18" i="3"/>
  <c r="AC19" i="3" l="1"/>
  <c r="AA20" i="3"/>
  <c r="AE18" i="3"/>
  <c r="C6" i="1"/>
  <c r="AG20" i="3"/>
  <c r="AI20" i="3"/>
  <c r="AK20" i="3"/>
  <c r="AB19" i="3"/>
  <c r="AE19" i="3" l="1"/>
  <c r="AC20" i="3"/>
  <c r="AA21" i="3"/>
  <c r="AK21" i="3"/>
  <c r="AI21" i="3"/>
  <c r="AB20" i="3"/>
  <c r="AG21" i="3"/>
  <c r="AC21" i="3" l="1"/>
  <c r="AA22" i="3"/>
  <c r="AE20" i="3"/>
  <c r="AG22" i="3"/>
  <c r="AB21" i="3"/>
  <c r="AK22" i="3"/>
  <c r="AI22" i="3"/>
  <c r="AE21" i="3" l="1"/>
  <c r="AC22" i="3"/>
  <c r="AA23" i="3"/>
  <c r="O7" i="3"/>
  <c r="O8" i="3"/>
  <c r="AG23" i="3"/>
  <c r="AB22" i="3"/>
  <c r="AI23" i="3"/>
  <c r="AK23" i="3"/>
  <c r="AC23" i="3" l="1"/>
  <c r="AA24" i="3"/>
  <c r="AE22" i="3"/>
  <c r="AG24" i="3"/>
  <c r="AI24" i="3"/>
  <c r="AB23" i="3"/>
  <c r="AK24" i="3"/>
  <c r="AE23" i="3" l="1"/>
  <c r="AC24" i="3"/>
  <c r="AA25" i="3"/>
  <c r="AB24" i="3"/>
  <c r="AG25" i="3"/>
  <c r="AK25" i="3"/>
  <c r="AI25" i="3"/>
  <c r="AE24" i="3" l="1"/>
  <c r="AC25" i="3"/>
  <c r="AA26" i="3"/>
  <c r="AG26" i="3"/>
  <c r="AB25" i="3"/>
  <c r="AI26" i="3"/>
  <c r="AK26" i="3"/>
  <c r="AE25" i="3" l="1"/>
  <c r="AC26" i="3"/>
  <c r="AA27" i="3"/>
  <c r="AB26" i="3"/>
  <c r="AG27" i="3"/>
  <c r="AI27" i="3"/>
  <c r="AK27" i="3"/>
  <c r="AE26" i="3" l="1"/>
  <c r="AC27" i="3"/>
  <c r="AA28" i="3"/>
  <c r="AG28" i="3"/>
  <c r="AK28" i="3"/>
  <c r="AB27" i="3"/>
  <c r="AI28" i="3"/>
  <c r="AE27" i="3" l="1"/>
  <c r="AC28" i="3"/>
  <c r="AA29" i="3"/>
  <c r="AI29" i="3"/>
  <c r="AG29" i="3"/>
  <c r="AK29" i="3"/>
  <c r="AB28" i="3"/>
  <c r="AE28" i="3" l="1"/>
  <c r="AC29" i="3"/>
  <c r="AA30" i="3"/>
  <c r="N10" i="3"/>
  <c r="AB29" i="3"/>
  <c r="N8" i="3"/>
  <c r="AK30" i="3"/>
  <c r="AG30" i="3"/>
  <c r="AI30" i="3"/>
  <c r="AE29" i="3" l="1"/>
  <c r="AC30" i="3"/>
  <c r="AA31" i="3"/>
  <c r="AI31" i="3"/>
  <c r="AG31" i="3"/>
  <c r="N7" i="3"/>
  <c r="AK31" i="3"/>
  <c r="AB30" i="3"/>
  <c r="AE30" i="3" l="1"/>
  <c r="N5" i="3"/>
  <c r="AC31" i="3"/>
  <c r="AA32" i="3"/>
  <c r="AB31" i="3"/>
  <c r="AK32" i="3"/>
  <c r="AG32" i="3"/>
  <c r="AI32" i="3"/>
  <c r="AE31" i="3" l="1"/>
  <c r="AC32" i="3"/>
  <c r="AA33" i="3"/>
  <c r="AB32" i="3"/>
  <c r="AG33" i="3"/>
  <c r="AK33" i="3"/>
  <c r="AI33" i="3"/>
  <c r="AE32" i="3" l="1"/>
  <c r="AC33" i="3"/>
  <c r="AA34" i="3"/>
  <c r="AB33" i="3"/>
  <c r="AG34" i="3"/>
  <c r="AK34" i="3"/>
  <c r="AI34" i="3"/>
  <c r="AE33" i="3" l="1"/>
  <c r="AC34" i="3"/>
  <c r="AA35" i="3"/>
  <c r="AB34" i="3"/>
  <c r="AK35" i="3"/>
  <c r="AI35" i="3"/>
  <c r="AG35" i="3"/>
  <c r="AE34" i="3" l="1"/>
  <c r="AC35" i="3"/>
  <c r="AA36" i="3"/>
  <c r="AG36" i="3"/>
  <c r="AB35" i="3"/>
  <c r="AK36" i="3"/>
  <c r="AI36" i="3"/>
  <c r="AE35" i="3" l="1"/>
  <c r="AC36" i="3"/>
  <c r="AA37" i="3"/>
  <c r="AG37" i="3"/>
  <c r="AB36" i="3"/>
  <c r="AK37" i="3"/>
  <c r="AI37" i="3"/>
  <c r="AE36" i="3" l="1"/>
  <c r="AC37" i="3"/>
  <c r="AA38" i="3"/>
  <c r="AB37" i="3"/>
  <c r="AK38" i="3"/>
  <c r="AI38" i="3"/>
  <c r="AG38" i="3"/>
  <c r="AE37" i="3" l="1"/>
  <c r="AC38" i="3"/>
  <c r="AA39" i="3"/>
  <c r="AB38" i="3"/>
  <c r="AI39" i="3"/>
  <c r="AK39" i="3"/>
  <c r="AG39" i="3"/>
  <c r="AE38" i="3" l="1"/>
  <c r="AC39" i="3"/>
  <c r="AA40" i="3"/>
  <c r="AI40" i="3"/>
  <c r="AG40" i="3"/>
  <c r="AK40" i="3"/>
  <c r="AB39" i="3"/>
  <c r="AE39" i="3" l="1"/>
  <c r="AC40" i="3"/>
  <c r="AA41" i="3"/>
  <c r="AI41" i="3"/>
  <c r="AK41" i="3"/>
  <c r="AB40" i="3"/>
  <c r="AG41" i="3"/>
  <c r="AE40" i="3" l="1"/>
  <c r="AC41" i="3"/>
  <c r="AA42" i="3"/>
  <c r="AG42" i="3"/>
  <c r="AK42" i="3"/>
  <c r="AI42" i="3"/>
  <c r="AB41" i="3"/>
  <c r="AE41" i="3" l="1"/>
  <c r="AC42" i="3"/>
  <c r="AA43" i="3"/>
  <c r="AI43" i="3"/>
  <c r="AG43" i="3"/>
  <c r="AB42" i="3"/>
  <c r="AK43" i="3"/>
  <c r="AE42" i="3" l="1"/>
  <c r="AC43" i="3"/>
  <c r="AB43" i="3"/>
  <c r="N9" i="3"/>
  <c r="O6" i="3"/>
  <c r="AE43" i="3" l="1"/>
  <c r="O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<sst xmlns="http://schemas.openxmlformats.org/spreadsheetml/2006/main" count="103" uniqueCount="101">
  <si>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</si>
  <si>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</si>
  <si>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</si>
  <si>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</si>
  <si>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</si>
  <si>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</si>
  <si>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</si>
  <si>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</si>
  <si>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</si>
  <si>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</si>
  <si>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</si>
  <si>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</si>
  <si>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</si>
  <si>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</si>
  <si>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</si>
  <si>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</si>
  <si>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</si>
  <si>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</si>
  <si>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</si>
  <si>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</si>
  <si>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</si>
  <si>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</si>
  <si>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</si>
  <si>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</si>
  <si>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</si>
  <si>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</si>
  <si>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</si>
  <si>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</si>
  <si>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</si>
  <si>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</si>
  <si>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</si>
  <si>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</si>
  <si>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</si>
  <si>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</si>
  <si>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</si>
  <si>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</si>
  <si>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</si>
  <si>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</si>
  <si>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</si>
  <si>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</si>
  <si>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</si>
  <si>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</si>
  <si>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</si>
  <si>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</si>
  <si>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</si>
  <si>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</si>
  <si>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</si>
  <si>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</si>
  <si>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</si>
  <si>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</si>
  <si>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</si>
  <si>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</si>
  <si>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</si>
  <si>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</si>
  <si>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</si>
  <si>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</si>
  <si>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</si>
  <si>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</si>
  <si>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</si>
  <si>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</si>
  <si>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</si>
  <si>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</si>
  <si>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</si>
  <si>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</si>
  <si>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</si>
  <si>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</si>
  <si>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</si>
  <si>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</si>
  <si>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</si>
  <si>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</si>
  <si>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</si>
  <si>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</si>
  <si>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</si>
  <si>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</si>
  <si>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</si>
  <si>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</si>
  <si>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</si>
  <si>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</si>
  <si>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</si>
  <si>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</si>
  <si>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</si>
  <si>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</si>
  <si>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</si>
  <si>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</si>
  <si>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</si>
  <si>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</si>
  <si>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</si>
  <si>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</si>
  <si>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</si>
  <si>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</si>
  <si>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</si>
  <si>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</si>
  <si>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</si>
  <si>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</si>
  <si>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</si>
  <si>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</si>
  <si>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</si>
  <si>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</si>
  <si>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</si>
  <si>
    <t>Manual</t>
  </si>
  <si>
    <t>DANGER 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</si>
</sst>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31"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17B91EC-447F-4828-B2E9-C04F9116D1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578DE7-0615-4B58-B718-59DCBFF44C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6B60C0-94D8-4AF3-89E0-56744048E8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9C0DEC-2F22-4F54-9ACC-C9E0898306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E46A9F-F798-4F35-8F45-03F0C21002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E8678E-5201-47BC-8B28-47356E84E4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F035F2-27CA-4540-B20D-2AF3793D6F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05B99D-3BC8-47BA-9421-D1B9E8824B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A21DEE-D981-482C-A3A9-40FD51666B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F5BD38-CF75-4350-989F-AF404B1CB9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DA5A78-7BF9-42E7-A258-7B7438EC28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CEE368-B2C9-4648-A1D9-714E70F3B2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029F81-00E2-4792-9598-E368F3C776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03603E-C0D8-44DA-9ED7-33AC01EA78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FDDE99-D7F7-4B45-8D7A-435B680174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589F1E-32C9-427E-8112-DE6910B294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614F8B-EBD7-4DBF-A06C-91BC12EB1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2B6157-BCED-436D-AE07-DBA1748BB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BE226E-0754-4492-A4B2-5EEEA40D2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BFFC70-FA9C-44E0-88FE-AD05100591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8FD466-3CE0-406A-95C5-FF1BF7577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D9AB17-A09E-4B00-8547-FCBD9442D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5BA6F8-92CC-4600-9E05-55746C6447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AF6A52-FAB1-43EA-AB13-3B9EBF9F98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E2F3E2-1A9C-406E-8441-BB944495D4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2D3644-1E9D-47AD-8770-7C6B5490BA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76DF93-139F-498A-AAFD-163AA2C115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238F4E-A788-479A-BCA8-27AAFDBB17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8CA52D-2955-485F-A643-E878DC4FEE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069EAF-73A9-434E-A47E-B4436212FA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333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325</c:v>
                </c:pt>
                <c:pt idx="9">
                  <c:v>400</c:v>
                </c:pt>
                <c:pt idx="10">
                  <c:v>426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1533</c:v>
                </c:pt>
                <c:pt idx="5">
                  <c:v>1833</c:v>
                </c:pt>
                <c:pt idx="6">
                  <c:v>2166</c:v>
                </c:pt>
                <c:pt idx="7">
                  <c:v>2499</c:v>
                </c:pt>
                <c:pt idx="8">
                  <c:v>2824</c:v>
                </c:pt>
                <c:pt idx="9">
                  <c:v>3224</c:v>
                </c:pt>
                <c:pt idx="10">
                  <c:v>3650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1172883</xdr:colOff>
          <xdr:row>3</xdr:row>
          <xdr:rowOff>164353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40341</xdr:rowOff>
        </xdr:from>
        <xdr:to>
          <xdr:col>26</xdr:col>
          <xdr:colOff>1003300</xdr:colOff>
          <xdr:row>6</xdr:row>
          <xdr:rowOff>162858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33992</xdr:rowOff>
        </xdr:from>
        <xdr:to>
          <xdr:col>22</xdr:col>
          <xdr:colOff>1172883</xdr:colOff>
          <xdr:row>6</xdr:row>
          <xdr:rowOff>149412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3" dataDxfId="22">
  <autoFilter ref="R13:X16" xr:uid="{FF2C9E8B-1A62-479C-AF68-79B236C0B7BB}"/>
  <tableColumns count="7">
    <tableColumn id="1" xr3:uid="{727C6146-39EA-4E15-8783-53CAA87FAF36}" name="Zone ID" dataDxfId="21"/>
    <tableColumn id="2" xr3:uid="{2CA65110-6DD7-46D8-BFC2-5EB0C0E57567}" name="Description" dataDxfId="20"/>
    <tableColumn id="3" xr3:uid="{12D64F80-6A69-494F-BF8F-E326D34A185A}" name="Short Description" dataDxfId="19"/>
    <tableColumn id="4" xr3:uid="{71F3F5B2-8F6B-4985-B1FC-5A9D60095474}" name="Start Date" dataDxfId="18"/>
    <tableColumn id="5" xr3:uid="{57258378-8FED-4727-89AC-D938CB414B7B}" name="Finish Date" dataDxfId="17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5">
      <calculatedColumnFormula>IF(AA13 = "Date", $S$4, AA13+7)</calculatedColumnFormula>
    </tableColumn>
    <tableColumn id="6" xr3:uid="{5740AC03-CF53-4345-8667-6AC0CA6843D0}" name="Primary Areas" dataDxfId="14">
      <calculatedColumnFormula>PrimaryAreas(3)</calculatedColumnFormula>
    </tableColumn>
    <tableColumn id="2" xr3:uid="{AF232D3D-EC3F-4232-BA5D-1427173C2D6A}" name="Weekly Plan" dataDxfId="13">
      <calculatedColumnFormula xml:space="preserve"> IF(#REF!="", 0,#REF!)+ IF(#REF!="", 0,#REF!)+ IF(#REF!="", 0,#REF!)</calculatedColumnFormula>
    </tableColumn>
    <tableColumn id="3" xr3:uid="{B28103F6-7596-4848-9F0D-3E4A9E5CBEFE}" name="Weekly Actual" dataDxfId="12">
      <calculatedColumnFormula>IF(AND(ISBLANK(#REF!),ISBLANK(#REF!),ISBLANK(#REF!)), "",#REF! +#REF!+#REF!)</calculatedColumnFormula>
    </tableColumn>
    <tableColumn id="4" xr3:uid="{EF1C6009-71E6-491B-B64F-04049D2D9103}" name="Accumulated Plan" dataDxfId="11">
      <calculatedColumnFormula>SUM($AC$14:AC14)</calculatedColumnFormula>
    </tableColumn>
    <tableColumn id="5" xr3:uid="{442DAB73-1233-4C61-8DE9-3B44CE2C5D69}" name="Accumulated Actual" dataDxfId="10">
      <calculatedColumnFormula>IF(AD14=0,NA(),SUM($AD$14:AD14))</calculatedColumnFormula>
    </tableColumn>
    <tableColumn id="19" xr3:uid="{495756A6-E987-4666-BF6F-496E33FA9D61}" name="WP_A1" dataDxfId="9">
      <calculatedColumnFormula>WeeklyPlanned(Output_Template[[#Headers],[WP_A1]], Output_Template[[#This Row],[Date]])</calculatedColumnFormula>
    </tableColumn>
    <tableColumn id="20" xr3:uid="{2C075E83-1C10-4744-A980-166BA7BE4857}" name="WA_A1" dataDxfId="8"/>
    <tableColumn id="21" xr3:uid="{E3575C9E-E210-489C-AFDF-693C0177490E}" name="WP_A2" dataDxfId="7">
      <calculatedColumnFormula>WeeklyPlanned(Output_Template[[#Headers],[WP_A2]], Output_Template[[#This Row],[Date]])</calculatedColumnFormula>
    </tableColumn>
    <tableColumn id="22" xr3:uid="{6FE0AA40-9DE5-470B-9BAA-EC0415A37CB0}" name="WA_A2" dataDxfId="6"/>
    <tableColumn id="23" xr3:uid="{DE2148A7-80CA-4424-9C9E-54264C75EC8F}" name="WP_A3" dataDxfId="5">
      <calculatedColumnFormula>WeeklyPlanned(Output_Template[[#Headers],[WP_A3]], Output_Template[[#This Row],[Date]])</calculatedColumnFormula>
    </tableColumn>
    <tableColumn id="24" xr3:uid="{C4434836-C212-4E9C-8B05-89DB05443A26}" name="WA_A3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3">
  <autoFilter ref="H2:H5" xr:uid="{1041DC80-58D6-4308-9DE1-A4EC8AAD3C20}"/>
  <tableColumns count="1">
    <tableColumn id="1" xr3:uid="{0E6D3E77-7CB7-40A1-BCA6-DDC8164AAEB9}" name="Holidays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F1" zoomScale="85" zoomScaleNormal="85" workbookViewId="0">
      <selection activeCell="W22" sqref="W22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5" t="s">
        <v>100</v>
      </c>
      <c r="AB1" s="86"/>
    </row>
    <row r="2" spans="2:39" x14ac:dyDescent="0.3">
      <c r="B2" s="61" t="str">
        <f>_xlfn.CONCAT("PROGRESS REPORT ", TEXT(S3,"mm/dd/yyyy"))</f>
        <v>PROGRESS REPORT 05/26/2020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81"/>
      <c r="AB2" s="82"/>
    </row>
    <row r="3" spans="2:39" x14ac:dyDescent="0.3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81"/>
      <c r="AB3" s="82"/>
    </row>
    <row r="4" spans="2:39" ht="15" x14ac:dyDescent="0.3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81"/>
      <c r="AB4" s="82"/>
    </row>
    <row r="5" spans="2:39" ht="15" x14ac:dyDescent="0.3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0.33939393939393941</v>
      </c>
      <c r="O5" s="33">
        <f ca="1">IF(ISERROR(O7/O6), 0, O7/O6)</f>
        <v>0.40555555555555561</v>
      </c>
      <c r="R5" s="24" t="s">
        <v>98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81"/>
      <c r="AB5" s="82"/>
    </row>
    <row r="6" spans="2:39" ht="15" x14ac:dyDescent="0.3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  <c r="AA6" s="81"/>
      <c r="AB6" s="82"/>
    </row>
    <row r="7" spans="2:39" ht="15.5" thickBot="1" x14ac:dyDescent="0.35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3054.545454545455</v>
      </c>
      <c r="O7" s="36">
        <f ca="1">VLOOKUP($S$3, INDIRECT("Output_"&amp;$S$2), 6, FALSE)</f>
        <v>3650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83"/>
      <c r="AB7" s="84"/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436.36363636363637</v>
      </c>
      <c r="O8" s="36">
        <f ca="1">VLOOKUP($S$3, INDIRECT("Output_"&amp;$S$2), 4, FALSE)</f>
        <v>426</v>
      </c>
      <c r="R8" s="24" t="s">
        <v>62</v>
      </c>
      <c r="S8" s="26" t="s">
        <v>99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>
        <f ca="1">AVERAGE(INDIRECT("Output_"&amp;$S$2&amp;"[Weekly Plan]"))</f>
        <v>299.99999999999994</v>
      </c>
      <c r="O9" s="40">
        <f ca="1">AVERAGE(INDIRECT("AD14:AD" &amp;MATCH($S$3,INDIRECT("Output_"&amp;$S$2&amp;"[Date]"),0)+14))</f>
        <v>304.16666666666669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371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>
        <f ca="1">MAX(INDIRECT("Input_"&amp;$S$2&amp;"[Finish Date]"))</f>
        <v>44105</v>
      </c>
      <c r="O12" s="7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7" t="s">
        <v>84</v>
      </c>
      <c r="AC13" t="s">
        <v>80</v>
      </c>
      <c r="AD13" t="s">
        <v>81</v>
      </c>
      <c r="AE13" t="s">
        <v>82</v>
      </c>
      <c r="AF13" t="s">
        <v>83</v>
      </c>
      <c r="AG13" s="56" t="s">
        <v>88</v>
      </c>
      <c r="AH13" s="56" t="s">
        <v>90</v>
      </c>
      <c r="AI13" s="56" t="s">
        <v>89</v>
      </c>
      <c r="AJ13" s="56" t="s">
        <v>91</v>
      </c>
      <c r="AK13" s="56" t="s">
        <v>92</v>
      </c>
      <c r="AL13" s="56" t="s">
        <v>93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94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95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96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18" s="59">
        <f ca="1">SUM($AC$14:AC18)</f>
        <v>1145.4545454545455</v>
      </c>
      <c r="AF18" s="59">
        <f>IF(AD18=0,NA(),SUM($AD$14:AD18))</f>
        <v>1533</v>
      </c>
      <c r="AG18" s="59">
        <f ca="1">WeeklyPlanned(Output_Template[[#Headers],[WP_A1]], Output_Template[[#This Row],[Date]])</f>
        <v>272.72727272727275</v>
      </c>
      <c r="AH18" s="59">
        <v>333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1833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2166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2499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325</v>
      </c>
      <c r="AE22" s="59">
        <f ca="1">SUM($AC$14:AC22)</f>
        <v>2236.3636363636365</v>
      </c>
      <c r="AF22" s="59">
        <f>IF(AD22=0,NA(),SUM($AD$14:AD22))</f>
        <v>2824</v>
      </c>
      <c r="AG22" s="59">
        <f ca="1">WeeklyPlanned(Output_Template[[#Headers],[WP_A1]], Output_Template[[#This Row],[Date]])</f>
        <v>272.72727272727275</v>
      </c>
      <c r="AH22" s="59">
        <v>150</v>
      </c>
      <c r="AI22" s="59" t="str">
        <f ca="1">WeeklyPlanned(Output_Template[[#Headers],[WP_A2]], Output_Template[[#This Row],[Date]])</f>
        <v/>
      </c>
      <c r="AJ22" s="59">
        <v>175</v>
      </c>
      <c r="AK22" s="59" t="str">
        <f ca="1">WeeklyPlanned(Output_Template[[#Headers],[WP_A3]], Output_Template[[#This Row],[Date]])</f>
        <v/>
      </c>
      <c r="AL22" s="5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400</v>
      </c>
      <c r="AE23" s="59">
        <f ca="1">SUM($AC$14:AC23)</f>
        <v>2618.1818181818185</v>
      </c>
      <c r="AF23" s="59">
        <f>IF(AD23=0,NA(),SUM($AD$14:AD23))</f>
        <v>3224</v>
      </c>
      <c r="AG23" s="59">
        <f ca="1">WeeklyPlanned(Output_Template[[#Headers],[WP_A1]], Output_Template[[#This Row],[Date]])</f>
        <v>272.72727272727275</v>
      </c>
      <c r="AH23" s="59">
        <v>125</v>
      </c>
      <c r="AI23" s="59">
        <f ca="1">WeeklyPlanned(Output_Template[[#Headers],[WP_A2]], Output_Template[[#This Row],[Date]])</f>
        <v>109.09090909090909</v>
      </c>
      <c r="AJ23" s="59">
        <v>275</v>
      </c>
      <c r="AK23" s="59" t="str">
        <f ca="1">WeeklyPlanned(Output_Template[[#Headers],[WP_A3]], Output_Template[[#This Row],[Date]])</f>
        <v/>
      </c>
      <c r="AL23" s="5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426</v>
      </c>
      <c r="AE24" s="59">
        <f ca="1">SUM($AC$14:AC24)</f>
        <v>3054.545454545455</v>
      </c>
      <c r="AF24" s="59">
        <f>IF(AD24=0,NA(),SUM($AD$14:AD24))</f>
        <v>3650</v>
      </c>
      <c r="AG24" s="59">
        <f ca="1">WeeklyPlanned(Output_Template[[#Headers],[WP_A1]], Output_Template[[#This Row],[Date]])</f>
        <v>218.18181818181819</v>
      </c>
      <c r="AH24" s="59">
        <v>126</v>
      </c>
      <c r="AI24" s="59">
        <f ca="1">WeeklyPlanned(Output_Template[[#Headers],[WP_A2]], Output_Template[[#This Row],[Date]])</f>
        <v>218.18181818181819</v>
      </c>
      <c r="AJ24" s="59">
        <v>300</v>
      </c>
      <c r="AK24" s="59" t="str">
        <f ca="1">WeeklyPlanned(Output_Template[[#Headers],[WP_A3]], Output_Template[[#This Row],[Date]])</f>
        <v/>
      </c>
      <c r="AL24" s="5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5" x14ac:dyDescent="0.3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5" x14ac:dyDescent="0.3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5" x14ac:dyDescent="0.3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9">
    <mergeCell ref="AA1:AB1"/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30" priority="10">
      <formula>ISERROR(AF14)</formula>
    </cfRule>
  </conditionalFormatting>
  <conditionalFormatting sqref="W13:X13">
    <cfRule type="expression" dxfId="29" priority="8">
      <formula>IF(OR($S$8 = "Assemble Addin", $S$8 = "Bluebeam QL"), TRUE, FALSE)</formula>
    </cfRule>
  </conditionalFormatting>
  <conditionalFormatting sqref="N6:O6">
    <cfRule type="expression" dxfId="28" priority="7">
      <formula>IF($N$6=$O$6, FALSE, TRUE)</formula>
    </cfRule>
  </conditionalFormatting>
  <conditionalFormatting sqref="W14:X16">
    <cfRule type="expression" dxfId="27" priority="6">
      <formula>IF(OR($S$8 = "Assemble Addin", $S$8 = "Bluebeam QL"), MOD(ROW(), 2)=0, FALSE)</formula>
    </cfRule>
    <cfRule type="expression" dxfId="26" priority="5">
      <formula>IF(OR($S$8 = "Assemble Addin", $S$8 = "Bluebeam QL"), TRUE, FALSE)</formula>
    </cfRule>
  </conditionalFormatting>
  <conditionalFormatting sqref="R13">
    <cfRule type="expression" dxfId="25" priority="2">
      <formula>IF($S$8 = "Assemble Addin", TRUE, FALSE)</formula>
    </cfRule>
  </conditionalFormatting>
  <conditionalFormatting sqref="R14:R16">
    <cfRule type="expression" dxfId="24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31" sqref="C3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5" x14ac:dyDescent="0.35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97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29" sqref="H29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0" t="str">
        <f>"PROGRESS REPORT "&amp; TEXT(Report_Date, "mm/dd/yyy")</f>
        <v>PROGRESS REPORT 05/26/2020</v>
      </c>
      <c r="C2" s="80"/>
      <c r="D2" s="80"/>
      <c r="E2" s="80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2020-06-08T20:14:00Z</cp:lastPrinted>
  <dcterms:created xsi:type="dcterms:W3CDTF">2019-04-09T17:53:55Z</dcterms:created>
  <dcterms:modified xsi:type="dcterms:W3CDTF">2020-06-08T20:39:37Z</dcterms:modified>
</cp:coreProperties>
</file>