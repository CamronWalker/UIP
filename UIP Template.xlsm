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F55A361E-3A9B-45F9-8361-FD7686263C86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4" i="3" l="1"/>
  <c r="AG26" i="3"/>
  <c r="AD40" i="3" l="1"/>
  <c r="AD41" i="3"/>
  <c r="AD42" i="3"/>
  <c r="AD43" i="3"/>
  <c r="AK21" i="3"/>
  <c r="AK33" i="3"/>
  <c r="AK22" i="3"/>
  <c r="AK34" i="3"/>
  <c r="AK23" i="3"/>
  <c r="AK35" i="3"/>
  <c r="AK29" i="3"/>
  <c r="AK30" i="3"/>
  <c r="AK19" i="3"/>
  <c r="AK20" i="3"/>
  <c r="AK24" i="3"/>
  <c r="AK36" i="3"/>
  <c r="AK38" i="3"/>
  <c r="AK39" i="3"/>
  <c r="AK28" i="3"/>
  <c r="AK17" i="3"/>
  <c r="AK18" i="3"/>
  <c r="AK43" i="3"/>
  <c r="AK25" i="3"/>
  <c r="AK37" i="3"/>
  <c r="AK26" i="3"/>
  <c r="AK15" i="3"/>
  <c r="AK27" i="3"/>
  <c r="AK16" i="3"/>
  <c r="AK40" i="3"/>
  <c r="AK41" i="3"/>
  <c r="AK42" i="3"/>
  <c r="AK31" i="3"/>
  <c r="AK32" i="3"/>
  <c r="AI20" i="3"/>
  <c r="AI32" i="3"/>
  <c r="AI21" i="3"/>
  <c r="AI33" i="3"/>
  <c r="AI22" i="3"/>
  <c r="AI34" i="3"/>
  <c r="AI23" i="3"/>
  <c r="AI35" i="3"/>
  <c r="AI39" i="3"/>
  <c r="AI17" i="3"/>
  <c r="AI41" i="3"/>
  <c r="AI42" i="3"/>
  <c r="AI43" i="3"/>
  <c r="AI24" i="3"/>
  <c r="AI36" i="3"/>
  <c r="AI28" i="3"/>
  <c r="AI18" i="3"/>
  <c r="AI19" i="3"/>
  <c r="AI25" i="3"/>
  <c r="AI37" i="3"/>
  <c r="AI26" i="3"/>
  <c r="AI38" i="3"/>
  <c r="AI15" i="3"/>
  <c r="AI27" i="3"/>
  <c r="AI16" i="3"/>
  <c r="AI40" i="3"/>
  <c r="AI29" i="3"/>
  <c r="AI30" i="3"/>
  <c r="AI31" i="3"/>
  <c r="AK14" i="3"/>
  <c r="AI14" i="3"/>
  <c r="AG15" i="3"/>
  <c r="AG16" i="3"/>
  <c r="AG17" i="3"/>
  <c r="AG18" i="3"/>
  <c r="AG30" i="3"/>
  <c r="AG42" i="3"/>
  <c r="AG31" i="3"/>
  <c r="AG43" i="3"/>
  <c r="AG27" i="3"/>
  <c r="AG28" i="3"/>
  <c r="AG41" i="3"/>
  <c r="AG19" i="3"/>
  <c r="AG20" i="3"/>
  <c r="AG32" i="3"/>
  <c r="AG35" i="3"/>
  <c r="AG24" i="3"/>
  <c r="AG36" i="3"/>
  <c r="AG39" i="3"/>
  <c r="AG21" i="3"/>
  <c r="AG33" i="3"/>
  <c r="AG34" i="3"/>
  <c r="AG37" i="3"/>
  <c r="AG38" i="3"/>
  <c r="AG40" i="3"/>
  <c r="AG22" i="3"/>
  <c r="AG23" i="3"/>
  <c r="AG25" i="3"/>
  <c r="AG29" i="3"/>
  <c r="AC40" i="3" l="1"/>
  <c r="AC41" i="3"/>
  <c r="AC43" i="3"/>
  <c r="AC42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S5" i="3"/>
  <c r="S4" i="3"/>
  <c r="AF37" i="3" l="1"/>
  <c r="AF38" i="3"/>
  <c r="AF40" i="3"/>
  <c r="AF39" i="3"/>
  <c r="AF41" i="3"/>
  <c r="AF43" i="3"/>
  <c r="AF42" i="3"/>
  <c r="AF15" i="3"/>
  <c r="AF16" i="3"/>
  <c r="AF28" i="3"/>
  <c r="AF29" i="3"/>
  <c r="AF18" i="3"/>
  <c r="AF19" i="3"/>
  <c r="AF31" i="3"/>
  <c r="AF20" i="3"/>
  <c r="AF32" i="3"/>
  <c r="AF33" i="3"/>
  <c r="AF22" i="3"/>
  <c r="AF21" i="3"/>
  <c r="AF23" i="3"/>
  <c r="AF34" i="3"/>
  <c r="AF35" i="3"/>
  <c r="AF24" i="3"/>
  <c r="AF36" i="3"/>
  <c r="AF25" i="3"/>
  <c r="AF26" i="3"/>
  <c r="AF27" i="3"/>
  <c r="AF17" i="3"/>
  <c r="AF30" i="3"/>
  <c r="AF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N6" i="3" l="1"/>
  <c r="S7" i="3" l="1"/>
  <c r="L14" i="3" s="1"/>
  <c r="S3" i="3"/>
  <c r="B2" i="3" s="1"/>
  <c r="S2" i="3"/>
  <c r="AB30" i="3"/>
  <c r="AB32" i="3"/>
  <c r="AB35" i="3"/>
  <c r="AB25" i="3"/>
  <c r="AB28" i="3"/>
  <c r="AB33" i="3"/>
  <c r="AB27" i="3"/>
  <c r="AB20" i="3"/>
  <c r="AB17" i="3"/>
  <c r="AB26" i="3"/>
  <c r="AB42" i="3"/>
  <c r="AB16" i="3"/>
  <c r="AB37" i="3"/>
  <c r="AB34" i="3"/>
  <c r="AB15" i="3"/>
  <c r="AB41" i="3"/>
  <c r="AB24" i="3"/>
  <c r="AB36" i="3"/>
  <c r="AB14" i="3"/>
  <c r="AB43" i="3"/>
  <c r="AB39" i="3"/>
  <c r="AB22" i="3"/>
  <c r="AB19" i="3"/>
  <c r="AB21" i="3"/>
  <c r="AB31" i="3"/>
  <c r="AB38" i="3"/>
  <c r="AB40" i="3"/>
  <c r="AB29" i="3"/>
  <c r="AB23" i="3"/>
  <c r="AB18" i="3"/>
  <c r="AC14" i="3" l="1"/>
  <c r="AE14" i="3" s="1"/>
  <c r="C7" i="3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0" i="3"/>
  <c r="N11" i="3"/>
  <c r="N9" i="3"/>
  <c r="AE20" i="3" l="1"/>
  <c r="AE31" i="3"/>
  <c r="AE25" i="3"/>
  <c r="AE19" i="3"/>
  <c r="AE36" i="3"/>
  <c r="AE40" i="3"/>
  <c r="AE18" i="3"/>
  <c r="AE29" i="3"/>
  <c r="AE23" i="3"/>
  <c r="AE37" i="3"/>
  <c r="AE28" i="3"/>
  <c r="AE16" i="3"/>
  <c r="AE27" i="3"/>
  <c r="AE26" i="3"/>
  <c r="AE30" i="3"/>
  <c r="AE24" i="3"/>
  <c r="AE41" i="3"/>
  <c r="AE35" i="3"/>
  <c r="AE42" i="3"/>
  <c r="AE17" i="3"/>
  <c r="AE34" i="3"/>
  <c r="AE43" i="3"/>
  <c r="AE22" i="3"/>
  <c r="AE15" i="3"/>
  <c r="AE21" i="3"/>
  <c r="AE32" i="3"/>
  <c r="AE38" i="3"/>
  <c r="AE33" i="3"/>
  <c r="AE39" i="3"/>
  <c r="O5" i="3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<sst xmlns="http://schemas.openxmlformats.org/spreadsheetml/2006/main" count="102" uniqueCount="100">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</sst>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7CBAA4-80C2-4DB1-B44E-9825FCCE33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4BFE1D-D275-40D3-8F7E-30BCB0A880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338536-7609-49D4-9478-63641DF103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F984A9-084D-4F41-8948-7627F9E30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8C4CD3-97F5-42AD-AA80-432589B6FA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53A06E-87DD-45E0-93FB-D5BFAD286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41EE6F-250B-4C3E-9057-943F85C9DB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25F5FE-2457-462D-A16B-CD91CC722A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D0A359-FACA-44B3-AD79-C42F1D11FF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1F7B1B-B0D9-476D-8699-088D48E50A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CE7C92-C4E8-4E83-98E0-3F96D3601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3DA8B1-C757-4909-842E-0D7F2E605E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68673B-92FC-48A7-A841-5EB7DA253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0BDC044-6023-4932-A6BB-6E63C60AA6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102C14-56DD-4DCF-9897-7450AC533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9A953C-FC65-456E-B6B9-34B668454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E593F7-0DCF-4A13-BE8D-F727728045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670822-B60E-44AA-B525-B848DAC39A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91FD8B-650D-443F-AEA1-1575A7F037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E33FE7-EC97-4B96-AE5D-6086D28DF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F2F35E-4F6A-4D12-9404-BFB6B4CC7D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98784C-B3F1-4EAB-B2EB-CBCCC60B90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7D9898-28D4-4651-BAD2-8928A913E2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52416F-7050-4905-8340-BAB1DA6ED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C31E81-EB97-4A78-9DBB-373377F175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CE17F2-278D-4381-84FB-85206686FB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E7FF73-DF8F-43F4-8B28-214B6963D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358378-CDA6-41DD-8B8C-211480BA94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D268D0-D20A-480A-975B-CA6BDEE687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E3DD79-38ED-4AE5-9083-1AF66CB8E3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1945</c:v>
                </c:pt>
                <c:pt idx="28">
                  <c:v>2020</c:v>
                </c:pt>
                <c:pt idx="29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733426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4" dataDxfId="23">
  <autoFilter ref="R13:X16" xr:uid="{FF2C9E8B-1A62-479C-AF68-79B236C0B7BB}"/>
  <tableColumns count="7">
    <tableColumn id="1" xr3:uid="{727C6146-39EA-4E15-8783-53CAA87FAF36}" name="Zone ID" dataDxfId="22"/>
    <tableColumn id="2" xr3:uid="{2CA65110-6DD7-46D8-BFC2-5EB0C0E57567}" name="Description" dataDxfId="21"/>
    <tableColumn id="3" xr3:uid="{12D64F80-6A69-494F-BF8F-E326D34A185A}" name="Short Description" dataDxfId="20"/>
    <tableColumn id="4" xr3:uid="{71F3F5B2-8F6B-4985-B1FC-5A9D60095474}" name="Start Date" dataDxfId="19"/>
    <tableColumn id="5" xr3:uid="{57258378-8FED-4727-89AC-D938CB414B7B}" name="Finish Date" dataDxfId="18"/>
    <tableColumn id="6" xr3:uid="{ED4D3C9E-A6C7-420C-BE38-7AA6F80835A2}" name="Total" dataDxfId="17"/>
    <tableColumn id="7" xr3:uid="{AC25D65C-9FB4-4F8A-9A72-57F6F2EC5CEF}" name="Completed Tota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4">
      <calculatedColumnFormula>IF(AA13 = "Date", $S$4, AA13+7)</calculatedColumnFormula>
    </tableColumn>
    <tableColumn id="6" xr3:uid="{5740AC03-CF53-4345-8667-6AC0CA6843D0}" name="Primary Areas" dataDxfId="13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12">
      <calculatedColumnFormula>IF(AND(ISBLANK(#REF!),ISBLANK(#REF!),ISBLANK(#REF!)), "",#REF! +#REF!+#REF!)</calculatedColumnFormula>
    </tableColumn>
    <tableColumn id="4" xr3:uid="{EF1C6009-71E6-491B-B64F-04049D2D9103}" name="Accumulated Plan" dataDxfId="11">
      <calculatedColumnFormula>SUM($AC$14:AC14)</calculatedColumnFormula>
    </tableColumn>
    <tableColumn id="5" xr3:uid="{442DAB73-1233-4C61-8DE9-3B44CE2C5D69}" name="Accumulated Actual" dataDxfId="10">
      <calculatedColumnFormula>IF(AD14="",NA(),SUM($AD$14:AD14))</calculatedColumnFormula>
    </tableColumn>
    <tableColumn id="73" xr3:uid="{19DEAF04-CF4F-47B3-9F12-A3511B46CD86}" name="WP_A1" dataDxfId="9">
      <calculatedColumnFormula>WeeklyPlanned(Output_Template[[#Headers],[WP_A1]],Output_Template[[#This Row],[Date]])</calculatedColumnFormula>
    </tableColumn>
    <tableColumn id="74" xr3:uid="{40AF4BA6-7EF3-458A-A686-B17DC1058FDC}" name="WA_A1" dataDxfId="8"/>
    <tableColumn id="75" xr3:uid="{D6846A3D-51F0-435C-AB01-61ADF80CA836}" name="WP_A2" dataDxfId="7">
      <calculatedColumnFormula>WeeklyPlanned(Output_Template[[#Headers],[WP_A2]],Output_Template[[#This Row],[Date]])</calculatedColumnFormula>
    </tableColumn>
    <tableColumn id="76" xr3:uid="{D93EF851-63E2-4A34-8872-23E6A1DC739D}" name="WA_A2" dataDxfId="6"/>
    <tableColumn id="77" xr3:uid="{583E983D-2328-495F-AA39-29E65C484A57}" name="WP_A3" dataDxfId="5">
      <calculatedColumnFormula>WeeklyPlanned(Output_Template[[#Headers],[WP_A3]],Output_Template[[#This Row],[Date]])</calculatedColumnFormula>
    </tableColumn>
    <tableColumn id="78" xr3:uid="{9B5C21C0-6C9C-460B-A46F-58C73220D30A}" name="WA_A3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3">
  <autoFilter ref="H2:H5" xr:uid="{1041DC80-58D6-4308-9DE1-A4EC8AAD3C20}"/>
  <tableColumns count="1">
    <tableColumn id="1" xr3:uid="{0E6D3E77-7CB7-40A1-BCA6-DDC8164AAEB9}" name="Holidays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Q1" zoomScale="85" zoomScaleNormal="85" workbookViewId="0">
      <selection activeCell="AC1" sqref="AC1"/>
    </sheetView>
  </sheetViews>
  <sheetFormatPr defaultColWidth="8.7265625"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8" t="str">
        <f>_xlfn.CONCAT("PROGRESS REPORT ", TEXT(S3,"mm/dd/yyyy"))</f>
        <v>PROGRESS REPORT 05/20/2020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3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3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4" t="str">
        <f>Project_Name</f>
        <v>Westland Super Cool Project</v>
      </c>
      <c r="D4" s="74"/>
      <c r="E4" s="74"/>
      <c r="F4" s="74"/>
      <c r="G4" s="74"/>
      <c r="H4" s="74"/>
      <c r="I4" s="74"/>
      <c r="J4" s="75" t="s">
        <v>50</v>
      </c>
      <c r="K4" s="75"/>
      <c r="L4" s="75"/>
      <c r="M4" s="75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4" t="str">
        <f>Project_Number</f>
        <v>S000</v>
      </c>
      <c r="D5" s="74"/>
      <c r="E5" s="74"/>
      <c r="F5" s="74"/>
      <c r="G5" s="74"/>
      <c r="H5" s="74"/>
      <c r="I5" s="74"/>
      <c r="J5" s="67" t="s">
        <v>54</v>
      </c>
      <c r="K5" s="67"/>
      <c r="L5" s="67"/>
      <c r="M5" s="67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4" t="str">
        <f>Main!C12</f>
        <v>XYZ Corp</v>
      </c>
      <c r="D6" s="74"/>
      <c r="E6" s="74"/>
      <c r="F6" s="74"/>
      <c r="G6" s="74"/>
      <c r="H6" s="74"/>
      <c r="I6" s="74"/>
      <c r="J6" s="67" t="str">
        <f>_xlfn.CONCAT("Overall Totals (", IF(ISBLANK($S$6),"",$S$6), ")")</f>
        <v>Overall Totals (SF)</v>
      </c>
      <c r="K6" s="67"/>
      <c r="L6" s="67"/>
      <c r="M6" s="67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4" t="str">
        <f>RIGHT(Main!B13, LEN(Main!B13) - 4)</f>
        <v>Foundation Walls</v>
      </c>
      <c r="D7" s="74"/>
      <c r="E7" s="74"/>
      <c r="F7" s="74"/>
      <c r="G7" s="74"/>
      <c r="H7" s="74"/>
      <c r="I7" s="74"/>
      <c r="J7" s="67" t="str">
        <f>_xlfn.CONCAT("Overall Completed Totals (", IF(ISBLANK($S$6),"",$S$6), ")")</f>
        <v>Overall Completed Totals (SF)</v>
      </c>
      <c r="K7" s="67"/>
      <c r="L7" s="67"/>
      <c r="M7" s="67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7" t="str">
        <f>_xlfn.CONCAT("This Week's Production (", IF(ISBLANK($S$6),"",$S$6), ")")</f>
        <v>This Week's Production (SF)</v>
      </c>
      <c r="K8" s="67"/>
      <c r="L8" s="67"/>
      <c r="M8" s="67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7" t="str">
        <f>_xlfn.CONCAT("Weekly Average (", IF(ISBLANK($S$6),"",$S$6), ")")</f>
        <v>Weekly Average (SF)</v>
      </c>
      <c r="K9" s="67"/>
      <c r="L9" s="67"/>
      <c r="M9" s="67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7" t="str">
        <f>_xlfn.CONCAT("Average Past 4 Weeks (", IF(ISBLANK($S$6),"",$S$6), ")")</f>
        <v>Average Past 4 Weeks (SF)</v>
      </c>
      <c r="K10" s="67"/>
      <c r="L10" s="67"/>
      <c r="M10" s="67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7" t="str">
        <f>_xlfn.CONCAT("On Schedule Average (", IF(ISBLANK($S$6),"",$S$6), ")")</f>
        <v>On Schedule Average (SF)</v>
      </c>
      <c r="K11" s="67"/>
      <c r="L11" s="67"/>
      <c r="M11" s="67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9" t="s">
        <v>57</v>
      </c>
      <c r="K12" s="59"/>
      <c r="L12" s="59"/>
      <c r="M12" s="59"/>
      <c r="N12" s="60" t="str">
        <f>$T$2</f>
        <v>Works Monday:</v>
      </c>
      <c r="O12" s="6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9" t="s">
        <v>58</v>
      </c>
      <c r="K13" s="59"/>
      <c r="L13" s="59"/>
      <c r="M13" s="59"/>
      <c r="N13" s="60" t="e">
        <f ca="1">$R$3+ROUNDUP(($R$7-$R$5)/($O$10/IF($T$4="NO", 5,6)),0)+(TRUNC(ROUNDUP(($R$7-$R$5)/($O$10/IF($T$4="NO", 5,6)),0)/7)*IF($T$4="NO",2,1))</f>
        <v>#VALUE!</v>
      </c>
      <c r="O13" s="6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3"/>
      <c r="N14" s="63"/>
      <c r="O14" s="6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43" si="0">IF(AA13 = "Date", $S$4, AA13+7)</f>
        <v>43907</v>
      </c>
      <c r="AB14" s="57" t="str">
        <f ca="1">PrimaryAreas(3)</f>
        <v>A1</v>
      </c>
      <c r="AC14" t="e">
        <f ca="1">Output_Template[[#This Row],[WP_A1]]+Output_Template[[#This Row],[WP_A2]]+Output_Template[[#This Row],[WP_A3]]</f>
        <v>#VALUE!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 t="e">
        <f ca="1">SUM($AC$14:AC14)</f>
        <v>#VALUE!</v>
      </c>
      <c r="AF14">
        <f>IF(AD14="",NA(),SUM($AD$14:AD14))</f>
        <v>55</v>
      </c>
      <c r="AG14" s="19">
        <f ca="1">WeeklyPlanned(Output_Template[[#Headers],[WP_A1]],Output_Template[[#This Row],[Date]])</f>
        <v>54.545454545454547</v>
      </c>
      <c r="AH14" s="19">
        <v>55</v>
      </c>
      <c r="AI14" s="19" t="str">
        <f ca="1">WeeklyPlanned(Output_Template[[#Headers],[WP_A2]],Output_Template[[#This Row],[Date]])</f>
        <v/>
      </c>
      <c r="AJ14" s="19"/>
      <c r="AK14" s="19" t="str">
        <f ca="1">WeeklyPlanned(Output_Template[[#Headers],[WP_A3]],Output_Template[[#This Row],[Date]])</f>
        <v/>
      </c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5"/>
      <c r="M15" s="65"/>
      <c r="N15" s="65"/>
      <c r="O15" s="6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ref="AB15:AB43" ca="1" si="1">PrimaryAreas(3)</f>
        <v>A1</v>
      </c>
      <c r="AC15" t="e">
        <f ca="1">Output_Template[[#This Row],[WP_A1]]+Output_Template[[#This Row],[WP_A2]]+Output_Template[[#This Row],[WP_A3]]</f>
        <v>#VALUE!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 t="e">
        <f ca="1">SUM($AC$14:AC15)</f>
        <v>#VALUE!</v>
      </c>
      <c r="AF15">
        <f>IF(AD15="",NA(),SUM($AD$14:AD15))</f>
        <v>110</v>
      </c>
      <c r="AG15" s="19">
        <f ca="1">WeeklyPlanned(Output_Template[[#Headers],[WP_A1]],Output_Template[[#This Row],[Date]])</f>
        <v>272.72727272727275</v>
      </c>
      <c r="AH15" s="19">
        <v>55</v>
      </c>
      <c r="AI15" s="19" t="str">
        <f ca="1">WeeklyPlanned(Output_Template[[#Headers],[WP_A2]],Output_Template[[#This Row],[Date]])</f>
        <v/>
      </c>
      <c r="AJ15" s="19"/>
      <c r="AK15" s="19" t="str">
        <f ca="1">WeeklyPlanned(Output_Template[[#Headers],[WP_A3]],Output_Template[[#This Row],[Date]])</f>
        <v/>
      </c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t="e">
        <f ca="1">Output_Template[[#This Row],[WP_A1]]+Output_Template[[#This Row],[WP_A2]]+Output_Template[[#This Row],[WP_A3]]</f>
        <v>#VALUE!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 t="e">
        <f ca="1">SUM($AC$14:AC16)</f>
        <v>#VALUE!</v>
      </c>
      <c r="AF16">
        <f>IF(AD16="",NA(),SUM($AD$14:AD16))</f>
        <v>165</v>
      </c>
      <c r="AG16" s="19">
        <f ca="1">WeeklyPlanned(Output_Template[[#Headers],[WP_A1]],Output_Template[[#This Row],[Date]])</f>
        <v>272.72727272727275</v>
      </c>
      <c r="AH16" s="19">
        <v>55</v>
      </c>
      <c r="AI16" s="19" t="str">
        <f ca="1">WeeklyPlanned(Output_Template[[#Headers],[WP_A2]],Output_Template[[#This Row],[Date]])</f>
        <v/>
      </c>
      <c r="AJ16" s="19"/>
      <c r="AK16" s="19" t="str">
        <f ca="1">WeeklyPlanned(Output_Template[[#Headers],[WP_A3]],Output_Template[[#This Row],[Date]])</f>
        <v/>
      </c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t="e">
        <f ca="1">Output_Template[[#This Row],[WP_A1]]+Output_Template[[#This Row],[WP_A2]]+Output_Template[[#This Row],[WP_A3]]</f>
        <v>#VALUE!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 t="e">
        <f ca="1">SUM($AC$14:AC17)</f>
        <v>#VALUE!</v>
      </c>
      <c r="AF17">
        <f>IF(AD17="",NA(),SUM($AD$14:AD17))</f>
        <v>220</v>
      </c>
      <c r="AG17" s="19">
        <f ca="1">WeeklyPlanned(Output_Template[[#Headers],[WP_A1]],Output_Template[[#This Row],[Date]])</f>
        <v>272.72727272727275</v>
      </c>
      <c r="AH17" s="19">
        <v>55</v>
      </c>
      <c r="AI17" s="19" t="str">
        <f ca="1">WeeklyPlanned(Output_Template[[#Headers],[WP_A2]],Output_Template[[#This Row],[Date]])</f>
        <v/>
      </c>
      <c r="AJ17" s="19"/>
      <c r="AK17" s="19" t="str">
        <f ca="1">WeeklyPlanned(Output_Template[[#Headers],[WP_A3]],Output_Template[[#This Row],[Date]])</f>
        <v/>
      </c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t="e">
        <f ca="1">Output_Template[[#This Row],[WP_A1]]+Output_Template[[#This Row],[WP_A2]]+Output_Template[[#This Row],[WP_A3]]</f>
        <v>#VALUE!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 t="e">
        <f ca="1">SUM($AC$14:AC18)</f>
        <v>#VALUE!</v>
      </c>
      <c r="AF18">
        <f>IF(AD18="",NA(),SUM($AD$14:AD18))</f>
        <v>275</v>
      </c>
      <c r="AG18" s="19">
        <f ca="1">WeeklyPlanned(Output_Template[[#Headers],[WP_A1]],Output_Template[[#This Row],[Date]])</f>
        <v>272.72727272727275</v>
      </c>
      <c r="AH18" s="19">
        <v>55</v>
      </c>
      <c r="AI18" s="19" t="str">
        <f ca="1">WeeklyPlanned(Output_Template[[#Headers],[WP_A2]],Output_Template[[#This Row],[Date]])</f>
        <v/>
      </c>
      <c r="AJ18" s="19"/>
      <c r="AK18" s="19" t="str">
        <f ca="1">WeeklyPlanned(Output_Template[[#Headers],[WP_A3]],Output_Template[[#This Row],[Date]])</f>
        <v/>
      </c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t="e">
        <f ca="1">Output_Template[[#This Row],[WP_A1]]+Output_Template[[#This Row],[WP_A2]]+Output_Template[[#This Row],[WP_A3]]</f>
        <v>#VALUE!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 t="e">
        <f ca="1">SUM($AC$14:AC19)</f>
        <v>#VALUE!</v>
      </c>
      <c r="AF19">
        <f>IF(AD19="",NA(),SUM($AD$14:AD19))</f>
        <v>330</v>
      </c>
      <c r="AG19" s="19">
        <f ca="1">WeeklyPlanned(Output_Template[[#Headers],[WP_A1]],Output_Template[[#This Row],[Date]])</f>
        <v>272.72727272727275</v>
      </c>
      <c r="AH19" s="19">
        <v>55</v>
      </c>
      <c r="AI19" s="19" t="str">
        <f ca="1">WeeklyPlanned(Output_Template[[#Headers],[WP_A2]],Output_Template[[#This Row],[Date]])</f>
        <v/>
      </c>
      <c r="AJ19" s="19"/>
      <c r="AK19" s="19" t="str">
        <f ca="1">WeeklyPlanned(Output_Template[[#Headers],[WP_A3]],Output_Template[[#This Row],[Date]])</f>
        <v/>
      </c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t="e">
        <f ca="1">Output_Template[[#This Row],[WP_A1]]+Output_Template[[#This Row],[WP_A2]]+Output_Template[[#This Row],[WP_A3]]</f>
        <v>#VALUE!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 t="e">
        <f ca="1">SUM($AC$14:AC20)</f>
        <v>#VALUE!</v>
      </c>
      <c r="AF20">
        <f>IF(AD20="",NA(),SUM($AD$14:AD20))</f>
        <v>385</v>
      </c>
      <c r="AG20" s="19">
        <f ca="1">WeeklyPlanned(Output_Template[[#Headers],[WP_A1]],Output_Template[[#This Row],[Date]])</f>
        <v>272.72727272727275</v>
      </c>
      <c r="AH20" s="19">
        <v>55</v>
      </c>
      <c r="AI20" s="19" t="str">
        <f ca="1">WeeklyPlanned(Output_Template[[#Headers],[WP_A2]],Output_Template[[#This Row],[Date]])</f>
        <v/>
      </c>
      <c r="AJ20" s="19"/>
      <c r="AK20" s="19" t="str">
        <f ca="1">WeeklyPlanned(Output_Template[[#Headers],[WP_A3]],Output_Template[[#This Row],[Date]])</f>
        <v/>
      </c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t="e">
        <f ca="1">Output_Template[[#This Row],[WP_A1]]+Output_Template[[#This Row],[WP_A2]]+Output_Template[[#This Row],[WP_A3]]</f>
        <v>#VALUE!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 t="e">
        <f ca="1">SUM($AC$14:AC21)</f>
        <v>#VALUE!</v>
      </c>
      <c r="AF21">
        <f>IF(AD21="",NA(),SUM($AD$14:AD21))</f>
        <v>440</v>
      </c>
      <c r="AG21" s="19">
        <f ca="1">WeeklyPlanned(Output_Template[[#Headers],[WP_A1]],Output_Template[[#This Row],[Date]])</f>
        <v>272.72727272727275</v>
      </c>
      <c r="AH21" s="19">
        <v>55</v>
      </c>
      <c r="AI21" s="19" t="str">
        <f ca="1">WeeklyPlanned(Output_Template[[#Headers],[WP_A2]],Output_Template[[#This Row],[Date]])</f>
        <v/>
      </c>
      <c r="AJ21" s="19"/>
      <c r="AK21" s="19" t="str">
        <f ca="1">WeeklyPlanned(Output_Template[[#Headers],[WP_A3]],Output_Template[[#This Row],[Date]])</f>
        <v/>
      </c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t="e">
        <f ca="1">Output_Template[[#This Row],[WP_A1]]+Output_Template[[#This Row],[WP_A2]]+Output_Template[[#This Row],[WP_A3]]</f>
        <v>#VALUE!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 t="e">
        <f ca="1">SUM($AC$14:AC22)</f>
        <v>#VALUE!</v>
      </c>
      <c r="AF22">
        <f>IF(AD22="",NA(),SUM($AD$14:AD22))</f>
        <v>495</v>
      </c>
      <c r="AG22" s="19">
        <f ca="1">WeeklyPlanned(Output_Template[[#Headers],[WP_A1]],Output_Template[[#This Row],[Date]])</f>
        <v>272.72727272727275</v>
      </c>
      <c r="AH22" s="19">
        <v>55</v>
      </c>
      <c r="AI22" s="19" t="str">
        <f ca="1">WeeklyPlanned(Output_Template[[#Headers],[WP_A2]],Output_Template[[#This Row],[Date]])</f>
        <v/>
      </c>
      <c r="AJ22" s="19"/>
      <c r="AK22" s="19" t="str">
        <f ca="1">WeeklyPlanned(Output_Template[[#Headers],[WP_A3]],Output_Template[[#This Row],[Date]])</f>
        <v/>
      </c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t="e">
        <f ca="1">Output_Template[[#This Row],[WP_A1]]+Output_Template[[#This Row],[WP_A2]]+Output_Template[[#This Row],[WP_A3]]</f>
        <v>#VALUE!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 t="e">
        <f ca="1">SUM($AC$14:AC23)</f>
        <v>#VALUE!</v>
      </c>
      <c r="AF23">
        <f>IF(AD23="",NA(),SUM($AD$14:AD23))</f>
        <v>605</v>
      </c>
      <c r="AG23" s="19">
        <f ca="1">WeeklyPlanned(Output_Template[[#Headers],[WP_A1]],Output_Template[[#This Row],[Date]])</f>
        <v>272.72727272727275</v>
      </c>
      <c r="AH23" s="19">
        <v>55</v>
      </c>
      <c r="AI23" s="19">
        <f ca="1">WeeklyPlanned(Output_Template[[#Headers],[WP_A2]],Output_Template[[#This Row],[Date]])</f>
        <v>109.09090909090909</v>
      </c>
      <c r="AJ23" s="19">
        <v>55</v>
      </c>
      <c r="AK23" s="19" t="str">
        <f ca="1">WeeklyPlanned(Output_Template[[#Headers],[WP_A3]],Output_Template[[#This Row],[Date]])</f>
        <v/>
      </c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t="e">
        <f ca="1">Output_Template[[#This Row],[WP_A1]]+Output_Template[[#This Row],[WP_A2]]+Output_Template[[#This Row],[WP_A3]]</f>
        <v>#VALUE!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 t="e">
        <f ca="1">SUM($AC$14:AC24)</f>
        <v>#VALUE!</v>
      </c>
      <c r="AF24">
        <f>IF(AD24="",NA(),SUM($AD$14:AD24))</f>
        <v>715</v>
      </c>
      <c r="AG24" s="19">
        <f ca="1">WeeklyPlanned(Output_Template[[#Headers],[WP_A1]],Output_Template[[#This Row],[Date]])</f>
        <v>272.72727272727275</v>
      </c>
      <c r="AH24" s="19">
        <v>55</v>
      </c>
      <c r="AI24" s="19">
        <f ca="1">WeeklyPlanned(Output_Template[[#Headers],[WP_A2]],Output_Template[[#This Row],[Date]])</f>
        <v>272.72727272727275</v>
      </c>
      <c r="AJ24" s="19">
        <v>55</v>
      </c>
      <c r="AK24" s="19" t="str">
        <f ca="1">WeeklyPlanned(Output_Template[[#Headers],[WP_A3]],Output_Template[[#This Row],[Date]])</f>
        <v/>
      </c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43984</v>
      </c>
      <c r="AB25" s="57" t="str">
        <f t="shared" ca="1" si="1"/>
        <v>A1, A2</v>
      </c>
      <c r="AC25" t="e">
        <f ca="1">Output_Template[[#This Row],[WP_A1]]+Output_Template[[#This Row],[WP_A2]]+Output_Template[[#This Row],[WP_A3]]</f>
        <v>#VALUE!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 t="e">
        <f ca="1">SUM($AC$14:AC25)</f>
        <v>#VALUE!</v>
      </c>
      <c r="AF25">
        <f>IF(AD25="",NA(),SUM($AD$14:AD25))</f>
        <v>825</v>
      </c>
      <c r="AG25" s="19">
        <f ca="1">WeeklyPlanned(Output_Template[[#Headers],[WP_A1]],Output_Template[[#This Row],[Date]])</f>
        <v>272.72727272727275</v>
      </c>
      <c r="AH25" s="19">
        <v>55</v>
      </c>
      <c r="AI25" s="19">
        <f ca="1">WeeklyPlanned(Output_Template[[#Headers],[WP_A2]],Output_Template[[#This Row],[Date]])</f>
        <v>272.72727272727275</v>
      </c>
      <c r="AJ25" s="19">
        <v>55</v>
      </c>
      <c r="AK25" s="19" t="str">
        <f ca="1">WeeklyPlanned(Output_Template[[#Headers],[WP_A3]],Output_Template[[#This Row],[Date]])</f>
        <v/>
      </c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0"/>
        <v>43991</v>
      </c>
      <c r="AB26" s="57" t="str">
        <f t="shared" ca="1" si="1"/>
        <v>A2</v>
      </c>
      <c r="AC26" t="e">
        <f ca="1">Output_Template[[#This Row],[WP_A1]]+Output_Template[[#This Row],[WP_A2]]+Output_Template[[#This Row],[WP_A3]]</f>
        <v>#VALUE!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 t="e">
        <f ca="1">SUM($AC$14:AC26)</f>
        <v>#VALUE!</v>
      </c>
      <c r="AF26">
        <f>IF(AD26="",NA(),SUM($AD$14:AD26))</f>
        <v>935</v>
      </c>
      <c r="AG26" s="19" t="str">
        <f ca="1">WeeklyPlanned(Output_Template[[#Headers],[WP_A1]],Output_Template[[#This Row],[Date]])</f>
        <v/>
      </c>
      <c r="AH26" s="19">
        <v>55</v>
      </c>
      <c r="AI26" s="19">
        <f ca="1">WeeklyPlanned(Output_Template[[#Headers],[WP_A2]],Output_Template[[#This Row],[Date]])</f>
        <v>272.72727272727275</v>
      </c>
      <c r="AJ26" s="19">
        <v>55</v>
      </c>
      <c r="AK26" s="19" t="str">
        <f ca="1">WeeklyPlanned(Output_Template[[#Headers],[WP_A3]],Output_Template[[#This Row],[Date]])</f>
        <v/>
      </c>
      <c r="AL26" s="1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0"/>
        <v>43998</v>
      </c>
      <c r="AB27" s="57" t="str">
        <f t="shared" ca="1" si="1"/>
        <v>A2</v>
      </c>
      <c r="AC27" t="e">
        <f ca="1">Output_Template[[#This Row],[WP_A1]]+Output_Template[[#This Row],[WP_A2]]+Output_Template[[#This Row],[WP_A3]]</f>
        <v>#VALUE!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 t="e">
        <f ca="1">SUM($AC$14:AC27)</f>
        <v>#VALUE!</v>
      </c>
      <c r="AF27">
        <f>IF(AD27="",NA(),SUM($AD$14:AD27))</f>
        <v>1045</v>
      </c>
      <c r="AG27" s="19" t="str">
        <f ca="1">WeeklyPlanned(Output_Template[[#Headers],[WP_A1]],Output_Template[[#This Row],[Date]])</f>
        <v/>
      </c>
      <c r="AH27" s="19">
        <v>55</v>
      </c>
      <c r="AI27" s="19">
        <f ca="1">WeeklyPlanned(Output_Template[[#Headers],[WP_A2]],Output_Template[[#This Row],[Date]])</f>
        <v>272.72727272727275</v>
      </c>
      <c r="AJ27" s="19">
        <v>55</v>
      </c>
      <c r="AK27" s="19" t="str">
        <f ca="1">WeeklyPlanned(Output_Template[[#Headers],[WP_A3]],Output_Template[[#This Row],[Date]])</f>
        <v/>
      </c>
      <c r="AL27" s="1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0"/>
        <v>44005</v>
      </c>
      <c r="AB28" s="57" t="str">
        <f t="shared" ca="1" si="1"/>
        <v>A2</v>
      </c>
      <c r="AC28" t="e">
        <f ca="1">Output_Template[[#This Row],[WP_A1]]+Output_Template[[#This Row],[WP_A2]]+Output_Template[[#This Row],[WP_A3]]</f>
        <v>#VALUE!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 t="e">
        <f ca="1">SUM($AC$14:AC28)</f>
        <v>#VALUE!</v>
      </c>
      <c r="AF28">
        <f>IF(AD28="",NA(),SUM($AD$14:AD28))</f>
        <v>1100</v>
      </c>
      <c r="AG28" s="19" t="str">
        <f ca="1">WeeklyPlanned(Output_Template[[#Headers],[WP_A1]],Output_Template[[#This Row],[Date]])</f>
        <v/>
      </c>
      <c r="AH28" s="19"/>
      <c r="AI28" s="19">
        <f ca="1">WeeklyPlanned(Output_Template[[#Headers],[WP_A2]],Output_Template[[#This Row],[Date]])</f>
        <v>272.72727272727275</v>
      </c>
      <c r="AJ28" s="19">
        <v>55</v>
      </c>
      <c r="AK28" s="19" t="str">
        <f ca="1">WeeklyPlanned(Output_Template[[#Headers],[WP_A3]],Output_Template[[#This Row],[Date]])</f>
        <v/>
      </c>
      <c r="AL28" s="1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0"/>
        <v>44012</v>
      </c>
      <c r="AB29" s="57" t="str">
        <f t="shared" ca="1" si="1"/>
        <v>A2</v>
      </c>
      <c r="AC29" t="e">
        <f ca="1">Output_Template[[#This Row],[WP_A1]]+Output_Template[[#This Row],[WP_A2]]+Output_Template[[#This Row],[WP_A3]]</f>
        <v>#VALUE!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 t="e">
        <f ca="1">SUM($AC$14:AC29)</f>
        <v>#VALUE!</v>
      </c>
      <c r="AF29">
        <f>IF(AD29="",NA(),SUM($AD$14:AD29))</f>
        <v>1155</v>
      </c>
      <c r="AG29" s="19" t="str">
        <f ca="1">WeeklyPlanned(Output_Template[[#Headers],[WP_A1]],Output_Template[[#This Row],[Date]])</f>
        <v/>
      </c>
      <c r="AH29" s="19"/>
      <c r="AI29" s="19">
        <f ca="1">WeeklyPlanned(Output_Template[[#Headers],[WP_A2]],Output_Template[[#This Row],[Date]])</f>
        <v>272.72727272727275</v>
      </c>
      <c r="AJ29" s="19">
        <v>55</v>
      </c>
      <c r="AK29" s="19" t="str">
        <f ca="1">WeeklyPlanned(Output_Template[[#Headers],[WP_A3]],Output_Template[[#This Row],[Date]])</f>
        <v/>
      </c>
      <c r="AL29" s="1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0"/>
        <v>44019</v>
      </c>
      <c r="AB30" s="57" t="str">
        <f t="shared" ca="1" si="1"/>
        <v>A2</v>
      </c>
      <c r="AC30" t="e">
        <f ca="1">Output_Template[[#This Row],[WP_A1]]+Output_Template[[#This Row],[WP_A2]]+Output_Template[[#This Row],[WP_A3]]</f>
        <v>#VALUE!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 t="e">
        <f ca="1">SUM($AC$14:AC30)</f>
        <v>#VALUE!</v>
      </c>
      <c r="AF30">
        <f>IF(AD30="",NA(),SUM($AD$14:AD30))</f>
        <v>1210</v>
      </c>
      <c r="AG30" s="19" t="str">
        <f ca="1">WeeklyPlanned(Output_Template[[#Headers],[WP_A1]],Output_Template[[#This Row],[Date]])</f>
        <v/>
      </c>
      <c r="AH30" s="19"/>
      <c r="AI30" s="19">
        <f ca="1">WeeklyPlanned(Output_Template[[#Headers],[WP_A2]],Output_Template[[#This Row],[Date]])</f>
        <v>272.72727272727275</v>
      </c>
      <c r="AJ30" s="19">
        <v>55</v>
      </c>
      <c r="AK30" s="19" t="str">
        <f ca="1">WeeklyPlanned(Output_Template[[#Headers],[WP_A3]],Output_Template[[#This Row],[Date]])</f>
        <v/>
      </c>
      <c r="AL30" s="1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0"/>
        <v>44026</v>
      </c>
      <c r="AB31" s="57" t="str">
        <f t="shared" ca="1" si="1"/>
        <v>A2</v>
      </c>
      <c r="AC31" t="e">
        <f ca="1">Output_Template[[#This Row],[WP_A1]]+Output_Template[[#This Row],[WP_A2]]+Output_Template[[#This Row],[WP_A3]]</f>
        <v>#VALUE!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 t="e">
        <f ca="1">SUM($AC$14:AC31)</f>
        <v>#VALUE!</v>
      </c>
      <c r="AF31">
        <f>IF(AD31="",NA(),SUM($AD$14:AD31))</f>
        <v>1265</v>
      </c>
      <c r="AG31" s="19" t="str">
        <f ca="1">WeeklyPlanned(Output_Template[[#Headers],[WP_A1]],Output_Template[[#This Row],[Date]])</f>
        <v/>
      </c>
      <c r="AH31" s="19"/>
      <c r="AI31" s="19">
        <f ca="1">WeeklyPlanned(Output_Template[[#Headers],[WP_A2]],Output_Template[[#This Row],[Date]])</f>
        <v>272.72727272727275</v>
      </c>
      <c r="AJ31" s="19">
        <v>55</v>
      </c>
      <c r="AK31" s="19" t="str">
        <f ca="1">WeeklyPlanned(Output_Template[[#Headers],[WP_A3]],Output_Template[[#This Row],[Date]])</f>
        <v/>
      </c>
      <c r="AL31" s="1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0"/>
        <v>44033</v>
      </c>
      <c r="AB32" s="57" t="str">
        <f t="shared" ca="1" si="1"/>
        <v>A2, A3</v>
      </c>
      <c r="AC32" t="e">
        <f ca="1">Output_Template[[#This Row],[WP_A1]]+Output_Template[[#This Row],[WP_A2]]+Output_Template[[#This Row],[WP_A3]]</f>
        <v>#VALUE!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 t="e">
        <f ca="1">SUM($AC$14:AC32)</f>
        <v>#VALUE!</v>
      </c>
      <c r="AF32">
        <f>IF(AD32="",NA(),SUM($AD$14:AD32))</f>
        <v>1320</v>
      </c>
      <c r="AG32" s="19" t="str">
        <f ca="1">WeeklyPlanned(Output_Template[[#Headers],[WP_A1]],Output_Template[[#This Row],[Date]])</f>
        <v/>
      </c>
      <c r="AH32" s="19"/>
      <c r="AI32" s="19">
        <f ca="1">WeeklyPlanned(Output_Template[[#Headers],[WP_A2]],Output_Template[[#This Row],[Date]])</f>
        <v>272.72727272727275</v>
      </c>
      <c r="AJ32" s="19">
        <v>55</v>
      </c>
      <c r="AK32" s="19">
        <f ca="1">WeeklyPlanned(Output_Template[[#Headers],[WP_A3]],Output_Template[[#This Row],[Date]])</f>
        <v>210.52631578947367</v>
      </c>
      <c r="AL32" s="1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0"/>
        <v>44040</v>
      </c>
      <c r="AB33" s="57" t="str">
        <f t="shared" ca="1" si="1"/>
        <v>A2, A3</v>
      </c>
      <c r="AC33" t="e">
        <f ca="1">Output_Template[[#This Row],[WP_A1]]+Output_Template[[#This Row],[WP_A2]]+Output_Template[[#This Row],[WP_A3]]</f>
        <v>#VALUE!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 t="e">
        <f ca="1">SUM($AC$14:AC33)</f>
        <v>#VALUE!</v>
      </c>
      <c r="AF33">
        <f>IF(AD33="",NA(),SUM($AD$14:AD33))</f>
        <v>1375</v>
      </c>
      <c r="AG33" s="19" t="str">
        <f ca="1">WeeklyPlanned(Output_Template[[#Headers],[WP_A1]],Output_Template[[#This Row],[Date]])</f>
        <v/>
      </c>
      <c r="AH33" s="19"/>
      <c r="AI33" s="19">
        <f ca="1">WeeklyPlanned(Output_Template[[#Headers],[WP_A2]],Output_Template[[#This Row],[Date]])</f>
        <v>272.72727272727275</v>
      </c>
      <c r="AJ33" s="19">
        <v>55</v>
      </c>
      <c r="AK33" s="19">
        <f ca="1">WeeklyPlanned(Output_Template[[#Headers],[WP_A3]],Output_Template[[#This Row],[Date]])</f>
        <v>263.15789473684208</v>
      </c>
      <c r="AL33" s="1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0"/>
        <v>44047</v>
      </c>
      <c r="AB34" s="57" t="str">
        <f t="shared" ca="1" si="1"/>
        <v>A2, A3</v>
      </c>
      <c r="AC34" t="e">
        <f ca="1">Output_Template[[#This Row],[WP_A1]]+Output_Template[[#This Row],[WP_A2]]+Output_Template[[#This Row],[WP_A3]]</f>
        <v>#VALUE!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 t="e">
        <f ca="1">SUM($AC$14:AC34)</f>
        <v>#VALUE!</v>
      </c>
      <c r="AF34">
        <f>IF(AD34="",NA(),SUM($AD$14:AD34))</f>
        <v>1485</v>
      </c>
      <c r="AG34" s="19" t="str">
        <f ca="1">WeeklyPlanned(Output_Template[[#Headers],[WP_A1]],Output_Template[[#This Row],[Date]])</f>
        <v/>
      </c>
      <c r="AH34" s="19"/>
      <c r="AI34" s="19">
        <f ca="1">WeeklyPlanned(Output_Template[[#Headers],[WP_A2]],Output_Template[[#This Row],[Date]])</f>
        <v>218.18181818181819</v>
      </c>
      <c r="AJ34" s="19">
        <v>55</v>
      </c>
      <c r="AK34" s="19">
        <f ca="1">WeeklyPlanned(Output_Template[[#Headers],[WP_A3]],Output_Template[[#This Row],[Date]])</f>
        <v>263.15789473684208</v>
      </c>
      <c r="AL34" s="19">
        <v>55</v>
      </c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0"/>
        <v>44054</v>
      </c>
      <c r="AB35" s="57" t="str">
        <f t="shared" ca="1" si="1"/>
        <v>A3</v>
      </c>
      <c r="AC35" t="e">
        <f ca="1">Output_Template[[#This Row],[WP_A1]]+Output_Template[[#This Row],[WP_A2]]+Output_Template[[#This Row],[WP_A3]]</f>
        <v>#VALUE!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 t="e">
        <f ca="1">SUM($AC$14:AC35)</f>
        <v>#VALUE!</v>
      </c>
      <c r="AF35">
        <f>IF(AD35="",NA(),SUM($AD$14:AD35))</f>
        <v>1595</v>
      </c>
      <c r="AG35" s="19" t="str">
        <f ca="1">WeeklyPlanned(Output_Template[[#Headers],[WP_A1]],Output_Template[[#This Row],[Date]])</f>
        <v/>
      </c>
      <c r="AH35" s="19"/>
      <c r="AI35" s="19" t="str">
        <f ca="1">WeeklyPlanned(Output_Template[[#Headers],[WP_A2]],Output_Template[[#This Row],[Date]])</f>
        <v/>
      </c>
      <c r="AJ35" s="19">
        <v>55</v>
      </c>
      <c r="AK35" s="19">
        <f ca="1">WeeklyPlanned(Output_Template[[#Headers],[WP_A3]],Output_Template[[#This Row],[Date]])</f>
        <v>263.15789473684208</v>
      </c>
      <c r="AL35" s="19">
        <v>55</v>
      </c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0"/>
        <v>44061</v>
      </c>
      <c r="AB36" s="57" t="str">
        <f t="shared" ca="1" si="1"/>
        <v>A3</v>
      </c>
      <c r="AC36" t="e">
        <f ca="1">Output_Template[[#This Row],[WP_A1]]+Output_Template[[#This Row],[WP_A2]]+Output_Template[[#This Row],[WP_A3]]</f>
        <v>#VALUE!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 t="e">
        <f ca="1">SUM($AC$14:AC36)</f>
        <v>#VALUE!</v>
      </c>
      <c r="AF36">
        <f>IF(AD36="",NA(),SUM($AD$14:AD36))</f>
        <v>1650</v>
      </c>
      <c r="AG36" s="19" t="str">
        <f ca="1">WeeklyPlanned(Output_Template[[#Headers],[WP_A1]],Output_Template[[#This Row],[Date]])</f>
        <v/>
      </c>
      <c r="AH36" s="19"/>
      <c r="AI36" s="19" t="str">
        <f ca="1">WeeklyPlanned(Output_Template[[#Headers],[WP_A2]],Output_Template[[#This Row],[Date]])</f>
        <v/>
      </c>
      <c r="AJ36" s="19"/>
      <c r="AK36" s="19">
        <f ca="1">WeeklyPlanned(Output_Template[[#Headers],[WP_A3]],Output_Template[[#This Row],[Date]])</f>
        <v>263.15789473684208</v>
      </c>
      <c r="AL36" s="19">
        <v>55</v>
      </c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0"/>
        <v>44068</v>
      </c>
      <c r="AB37" s="57" t="str">
        <f t="shared" ca="1" si="1"/>
        <v>A3</v>
      </c>
      <c r="AC37" t="e">
        <f ca="1">Output_Template[[#This Row],[WP_A1]]+Output_Template[[#This Row],[WP_A2]]+Output_Template[[#This Row],[WP_A3]]</f>
        <v>#VALUE!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 t="e">
        <f ca="1">SUM($AC$14:AC37)</f>
        <v>#VALUE!</v>
      </c>
      <c r="AF37">
        <f>IF(AD37="",NA(),SUM($AD$14:AD37))</f>
        <v>1705</v>
      </c>
      <c r="AG37" s="19" t="str">
        <f ca="1">WeeklyPlanned(Output_Template[[#Headers],[WP_A1]],Output_Template[[#This Row],[Date]])</f>
        <v/>
      </c>
      <c r="AH37" s="19"/>
      <c r="AI37" s="19" t="str">
        <f ca="1">WeeklyPlanned(Output_Template[[#Headers],[WP_A2]],Output_Template[[#This Row],[Date]])</f>
        <v/>
      </c>
      <c r="AJ37" s="19"/>
      <c r="AK37" s="19">
        <f ca="1">WeeklyPlanned(Output_Template[[#Headers],[WP_A3]],Output_Template[[#This Row],[Date]])</f>
        <v>263.15789473684208</v>
      </c>
      <c r="AL37" s="19">
        <v>55</v>
      </c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0"/>
        <v>44075</v>
      </c>
      <c r="AB38" s="57" t="str">
        <f t="shared" ca="1" si="1"/>
        <v>A3</v>
      </c>
      <c r="AC38" t="e">
        <f ca="1">Output_Template[[#This Row],[WP_A1]]+Output_Template[[#This Row],[WP_A2]]+Output_Template[[#This Row],[WP_A3]]</f>
        <v>#VALUE!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 t="e">
        <f ca="1">SUM($AC$14:AC38)</f>
        <v>#VALUE!</v>
      </c>
      <c r="AF38">
        <f>IF(AD38="",NA(),SUM($AD$14:AD38))</f>
        <v>1760</v>
      </c>
      <c r="AG38" s="19" t="str">
        <f ca="1">WeeklyPlanned(Output_Template[[#Headers],[WP_A1]],Output_Template[[#This Row],[Date]])</f>
        <v/>
      </c>
      <c r="AH38" s="19"/>
      <c r="AI38" s="19" t="str">
        <f ca="1">WeeklyPlanned(Output_Template[[#Headers],[WP_A2]],Output_Template[[#This Row],[Date]])</f>
        <v/>
      </c>
      <c r="AJ38" s="19"/>
      <c r="AK38" s="19">
        <f ca="1">WeeklyPlanned(Output_Template[[#Headers],[WP_A3]],Output_Template[[#This Row],[Date]])</f>
        <v>263.15789473684208</v>
      </c>
      <c r="AL38" s="19">
        <v>55</v>
      </c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0"/>
        <v>44082</v>
      </c>
      <c r="AB39" s="57" t="str">
        <f t="shared" ca="1" si="1"/>
        <v>A3</v>
      </c>
      <c r="AC39" t="e">
        <f ca="1">Output_Template[[#This Row],[WP_A1]]+Output_Template[[#This Row],[WP_A2]]+Output_Template[[#This Row],[WP_A3]]</f>
        <v>#VALUE!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 t="e">
        <f ca="1">SUM($AC$14:AC39)</f>
        <v>#VALUE!</v>
      </c>
      <c r="AF39">
        <f>IF(AD39="",NA(),SUM($AD$14:AD39))</f>
        <v>1815</v>
      </c>
      <c r="AG39" s="19" t="str">
        <f ca="1">WeeklyPlanned(Output_Template[[#Headers],[WP_A1]],Output_Template[[#This Row],[Date]])</f>
        <v/>
      </c>
      <c r="AH39" s="19"/>
      <c r="AI39" s="19" t="str">
        <f ca="1">WeeklyPlanned(Output_Template[[#Headers],[WP_A2]],Output_Template[[#This Row],[Date]])</f>
        <v/>
      </c>
      <c r="AJ39" s="19"/>
      <c r="AK39" s="19">
        <f ca="1">WeeklyPlanned(Output_Template[[#Headers],[WP_A3]],Output_Template[[#This Row],[Date]])</f>
        <v>263.15789473684208</v>
      </c>
      <c r="AL39" s="19">
        <v>55</v>
      </c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0"/>
        <v>44089</v>
      </c>
      <c r="AB40" s="57" t="str">
        <f t="shared" ca="1" si="1"/>
        <v>A3</v>
      </c>
      <c r="AC40" t="e">
        <f ca="1">Output_Template[[#This Row],[WP_A1]]+Output_Template[[#This Row],[WP_A2]]+Output_Template[[#This Row],[WP_A3]]</f>
        <v>#VALUE!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 t="e">
        <f ca="1">SUM($AC$14:AC40)</f>
        <v>#VALUE!</v>
      </c>
      <c r="AF40">
        <f>IF(AD40="",NA(),SUM($AD$14:AD40))</f>
        <v>1870</v>
      </c>
      <c r="AG40" s="19" t="str">
        <f ca="1">WeeklyPlanned(Output_Template[[#Headers],[WP_A1]],Output_Template[[#This Row],[Date]])</f>
        <v/>
      </c>
      <c r="AH40" s="19"/>
      <c r="AI40" s="19" t="str">
        <f ca="1">WeeklyPlanned(Output_Template[[#Headers],[WP_A2]],Output_Template[[#This Row],[Date]])</f>
        <v/>
      </c>
      <c r="AJ40" s="19"/>
      <c r="AK40" s="19">
        <f ca="1">WeeklyPlanned(Output_Template[[#Headers],[WP_A3]],Output_Template[[#This Row],[Date]])</f>
        <v>263.15789473684208</v>
      </c>
      <c r="AL40" s="19">
        <v>55</v>
      </c>
    </row>
    <row r="41" spans="2:38" ht="14.5" x14ac:dyDescent="0.35">
      <c r="AA41" s="54">
        <f t="shared" si="0"/>
        <v>44096</v>
      </c>
      <c r="AB41" s="57" t="str">
        <f t="shared" ca="1" si="1"/>
        <v>A3</v>
      </c>
      <c r="AC41" t="e">
        <f ca="1">Output_Template[[#This Row],[WP_A1]]+Output_Template[[#This Row],[WP_A2]]+Output_Template[[#This Row],[WP_A3]]</f>
        <v>#VALUE!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1" t="e">
        <f ca="1">SUM($AC$14:AC41)</f>
        <v>#VALUE!</v>
      </c>
      <c r="AF41">
        <f>IF(AD41="",NA(),SUM($AD$14:AD41))</f>
        <v>1945</v>
      </c>
      <c r="AG41" s="19" t="str">
        <f ca="1">WeeklyPlanned(Output_Template[[#Headers],[WP_A1]],Output_Template[[#This Row],[Date]])</f>
        <v/>
      </c>
      <c r="AH41" s="19"/>
      <c r="AI41" s="19" t="str">
        <f ca="1">WeeklyPlanned(Output_Template[[#Headers],[WP_A2]],Output_Template[[#This Row],[Date]])</f>
        <v/>
      </c>
      <c r="AJ41" s="19"/>
      <c r="AK41" s="19">
        <f ca="1">WeeklyPlanned(Output_Template[[#Headers],[WP_A3]],Output_Template[[#This Row],[Date]])</f>
        <v>263.15789473684208</v>
      </c>
      <c r="AL41" s="19">
        <v>75</v>
      </c>
    </row>
    <row r="42" spans="2:38" ht="14.5" x14ac:dyDescent="0.35">
      <c r="AA42" s="54">
        <f t="shared" si="0"/>
        <v>44103</v>
      </c>
      <c r="AB42" s="57" t="str">
        <f t="shared" ca="1" si="1"/>
        <v>A3</v>
      </c>
      <c r="AC42" t="e">
        <f ca="1">Output_Template[[#This Row],[WP_A1]]+Output_Template[[#This Row],[WP_A2]]+Output_Template[[#This Row],[WP_A3]]</f>
        <v>#VALUE!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2" t="e">
        <f ca="1">SUM($AC$14:AC42)</f>
        <v>#VALUE!</v>
      </c>
      <c r="AF42">
        <f>IF(AD42="",NA(),SUM($AD$14:AD42))</f>
        <v>2020</v>
      </c>
      <c r="AG42" s="19" t="str">
        <f ca="1">WeeklyPlanned(Output_Template[[#Headers],[WP_A1]],Output_Template[[#This Row],[Date]])</f>
        <v/>
      </c>
      <c r="AH42" s="19"/>
      <c r="AI42" s="19" t="str">
        <f ca="1">WeeklyPlanned(Output_Template[[#Headers],[WP_A2]],Output_Template[[#This Row],[Date]])</f>
        <v/>
      </c>
      <c r="AJ42" s="19"/>
      <c r="AK42" s="19">
        <f ca="1">WeeklyPlanned(Output_Template[[#Headers],[WP_A3]],Output_Template[[#This Row],[Date]])</f>
        <v>263.15789473684208</v>
      </c>
      <c r="AL42" s="19">
        <v>75</v>
      </c>
    </row>
    <row r="43" spans="2:38" ht="14.5" x14ac:dyDescent="0.35">
      <c r="AA43" s="54">
        <f t="shared" si="0"/>
        <v>44110</v>
      </c>
      <c r="AB43" s="57" t="str">
        <f t="shared" ca="1" si="1"/>
        <v>A3</v>
      </c>
      <c r="AC43" t="e">
        <f ca="1">Output_Template[[#This Row],[WP_A1]]+Output_Template[[#This Row],[WP_A2]]+Output_Template[[#This Row],[WP_A3]]</f>
        <v>#VALUE!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3" t="e">
        <f ca="1">SUM($AC$14:AC43)</f>
        <v>#VALUE!</v>
      </c>
      <c r="AF43">
        <f>IF(AD43="",NA(),SUM($AD$14:AD43))</f>
        <v>2095</v>
      </c>
      <c r="AG43" s="19" t="str">
        <f ca="1">WeeklyPlanned(Output_Template[[#Headers],[WP_A1]],Output_Template[[#This Row],[Date]])</f>
        <v/>
      </c>
      <c r="AH43" s="19"/>
      <c r="AI43" s="19" t="str">
        <f ca="1">WeeklyPlanned(Output_Template[[#Headers],[WP_A2]],Output_Template[[#This Row],[Date]])</f>
        <v/>
      </c>
      <c r="AJ43" s="19"/>
      <c r="AK43" s="19">
        <f ca="1">WeeklyPlanned(Output_Template[[#Headers],[WP_A3]],Output_Template[[#This Row],[Date]])</f>
        <v>157.89473684210526</v>
      </c>
      <c r="AL43" s="19">
        <v>75</v>
      </c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5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5" x14ac:dyDescent="0.35">
      <c r="B2" s="77" t="s">
        <v>6</v>
      </c>
      <c r="C2" s="77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G25" sqref="G25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9" t="str">
        <f>"PROGRESS REPORT "&amp; TEXT(Report_Date, "mm/dd/yyy")</f>
        <v>PROGRESS REPORT 05/20/2020</v>
      </c>
      <c r="C2" s="79"/>
      <c r="D2" s="79"/>
      <c r="E2" s="79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2020-05-20T16:34:20Z</cp:lastPrinted>
  <dcterms:created xsi:type="dcterms:W3CDTF">2019-04-09T17:53:55Z</dcterms:created>
  <dcterms:modified xsi:type="dcterms:W3CDTF">2020-05-21T00:44:32Z</dcterms:modified>
</cp:coreProperties>
</file>