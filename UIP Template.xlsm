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8198513F-5E80-47A0-8938-EFA383E0B881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 calcCompleted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I16" i="2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<sst xmlns="http://schemas.openxmlformats.org/spreadsheetml/2006/main" count="538" uniqueCount="162">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</sst>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6C4799-254C-467B-9BDC-2AA8DA15E2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280B29-D717-49F7-AA10-D5460CE000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23BA40-052A-42BD-B418-E38C7B5F01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02BC9A-02D8-434C-BB00-1671DF4096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03C644-3647-4644-BBA0-E3E973ECF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17621D-333E-44F0-A39A-DF41AAD2BA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2890F8-612A-4362-B6FC-C10D11E916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210895-1E08-492A-BA53-1058E3F984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A1E1EF-6D11-46FC-9B71-3737D3C48D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E5F6CE-92C8-4241-B632-AB76A5B52C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5E49C5-6984-4F3B-86A2-A1D67E2790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9A41A3-F16C-433E-9C9E-0D106067A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54ACCD-C663-4038-9286-96C7CD111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93D126-FCA1-431A-BBA4-A99F8D82DB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9C3C66-2F84-431C-ABA2-313D85FE62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EFBD1E-FE13-4FA6-A90F-5C1F4EDCB6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87CEBB-EB6A-4BF5-9DFC-705D9CE8A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EB015B-F2F6-4509-8E18-6A3B57C14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6D74E8-28B1-4799-A680-6674E1A6D4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64DECF-BFBA-4F87-A169-F99C13ADA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177CDB-2E9F-4F6E-B9C3-B845E4A642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68B0A4-FB21-487A-A87C-7C17234FBA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DDDAA4-6711-471A-889E-B2313ED887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6E28BF-1BDA-45A9-B5AF-48F6F13AB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5DBEF3-F68F-4E32-B0EA-BF7BEBF33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741A02-1110-4EB1-9D9A-C993768A76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90A7A8-1C1F-4703-A248-61EA8EF4F0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E84567-AC1B-4FAA-BD31-24EF82298F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1FF223-7B9F-4FAB-93C4-A3F1C5A4A9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9A084F-210F-482E-837B-7282EB8178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5BF4E32-6B5A-446F-A69E-5F72FEA9D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ACCACF-A479-4562-AA08-E62397D98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E1F4B4-7068-4D16-AC27-C7EF9CA1AD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D17E0A-BAC1-4DEC-8C70-7FCF19A783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6C2B1B-EC20-451D-8A4F-F296C31053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A52C07-BA66-4AD0-B1F3-B6DC0D5A9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728C88-CFE6-4FE8-A2B5-6314E1AA60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360737-F6D4-42E3-9380-63CB88A775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CCEBE0-3499-49F2-BA04-D64A3EA24F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B66B45-FA48-4AA4-B18A-BEBA25E28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17DFAE-87B9-4F35-8033-9E536D9871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5B2844-0E58-4B65-A2A3-38C9406315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F573ED-E8C0-4905-A095-27F4EAD3E2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D544B9-72D7-42A5-B190-AB96B37993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02F4E5-1718-4C1A-A663-3E6692187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FE7E17-A23A-47D4-AA6D-1EA8E06E1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73A913-C3F0-470B-80A4-D8D65D8F02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486EC6-72AD-4823-BE23-0F403B966A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BA6F58-094F-4DF3-ADFC-BBAA24914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8F3263-0B9D-4CAD-83C1-F8BCFBD35E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A8A99E-AD12-41CD-ABEA-A3ED71B6D2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E9D44D-FBD9-499C-96FE-E0705B090C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A98F0C-3B9D-4634-91D4-61C784E141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E688748-6069-40AE-A619-8342B74651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EAF6FD-0398-48D1-9A7D-608A64614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66D396-896F-4793-A430-F2C87B5324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2FAC90-BDB3-4025-86BD-D5A19E9DB0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776798-9B98-4C19-BDF0-99CEEBC887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F4D848-3CF2-40C4-AC98-15CC35609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4B07E7-71B7-4025-96FA-51393933B2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DB8078-F2DC-460E-8244-FABDF39D2C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D8FA65-67C3-4410-BDC7-E3A4FD6C46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9D3E8F-23AD-4B0A-92D2-663006D21A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66DFAE-9EEC-454F-9041-82059ABD8B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EE0F2D-58C3-4EA9-8BEB-30677F1726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183AD0-86F2-437F-BDF0-32E9E6600A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E903E1-6A63-40FF-A3A4-2750FE4792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C1B306-C934-42A0-954F-B5D8CD4B92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720722-4EA5-42E1-9F7E-813D23AC80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DC4DC0-CC12-423C-800B-51FF2C168A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A80ACE-CCBE-4A5B-8E5F-1C82E8D6A2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0892EF-6BC2-4A6D-A863-24AAF3EF6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99E637-193C-455D-B428-A1D8E00154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6D8A52-3B66-4F8C-9DC1-433D860F0D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7791E8-3E69-4C3D-8873-00C7F7A287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36CDEA-5270-468A-8619-44BB55EB41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ED3564-9747-4DA2-AF72-462A1A5A4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D6089B-8902-4C0B-8EC3-D3A021566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F30B43-A9B0-4167-BBEE-32BCAB8A32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1F6803-13AD-439B-9573-B9FFC9026D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5F5DF4-5299-49DA-9949-3DEBE8F4DB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B7024E-D5D1-4A51-8609-0B96617DEE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CA08E8-E919-4A30-AD2E-044A48E61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9524CA-A746-44AB-B0D0-DDFBEF081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972BAF-4557-4D80-A388-62A8985E9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35614</xdr:colOff>
          <xdr:row>1</xdr:row>
          <xdr:rowOff>19050</xdr:rowOff>
        </xdr:from>
        <xdr:to>
          <xdr:col>8</xdr:col>
          <xdr:colOff>1316935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26" dataDxfId="125">
  <autoFilter ref="R13:X16" xr:uid="{FF2C9E8B-1A62-479C-AF68-79B236C0B7BB}"/>
  <tableColumns count="7">
    <tableColumn id="1" xr3:uid="{727C6146-39EA-4E15-8783-53CAA87FAF36}" name="Zone ID" dataDxfId="124"/>
    <tableColumn id="2" xr3:uid="{2CA65110-6DD7-46D8-BFC2-5EB0C0E57567}" name="Description" dataDxfId="123"/>
    <tableColumn id="3" xr3:uid="{12D64F80-6A69-494F-BF8F-E326D34A185A}" name="Short Description" dataDxfId="122"/>
    <tableColumn id="4" xr3:uid="{71F3F5B2-8F6B-4985-B1FC-5A9D60095474}" name="Start Date" dataDxfId="121"/>
    <tableColumn id="5" xr3:uid="{57258378-8FED-4727-89AC-D938CB414B7B}" name="Finish Date" dataDxfId="120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9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8">
      <calculatedColumnFormula>IF(AA13 = "Date", $S$4, AA13+7)</calculatedColumnFormula>
    </tableColumn>
    <tableColumn id="6" xr3:uid="{5740AC03-CF53-4345-8667-6AC0CA6843D0}" name="Primary Areas" dataDxfId="117">
      <calculatedColumnFormula>PrimaryAreas(3)</calculatedColumnFormula>
    </tableColumn>
    <tableColumn id="2" xr3:uid="{AF232D3D-EC3F-4232-BA5D-1427173C2D6A}" name="Weekly Plan" dataDxfId="116">
      <calculatedColumnFormula xml:space="preserve"> IF(#REF!="", 0,#REF!)+ IF(#REF!="", 0,#REF!)+ IF(#REF!="", 0,#REF!)</calculatedColumnFormula>
    </tableColumn>
    <tableColumn id="3" xr3:uid="{B28103F6-7596-4848-9F0D-3E4A9E5CBEFE}" name="Weekly Actual" dataDxfId="115">
      <calculatedColumnFormula>IF(AND(ISBLANK(#REF!),ISBLANK(#REF!),ISBLANK(#REF!)),"",#REF! +#REF!+#REF!)</calculatedColumnFormula>
    </tableColumn>
    <tableColumn id="4" xr3:uid="{EF1C6009-71E6-491B-B64F-04049D2D9103}" name="Accumulated Plan" dataDxfId="114">
      <calculatedColumnFormula>SUM($AC$14:AC14)</calculatedColumnFormula>
    </tableColumn>
    <tableColumn id="5" xr3:uid="{442DAB73-1233-4C61-8DE9-3B44CE2C5D69}" name="Accumulated Actual" dataDxfId="113">
      <calculatedColumnFormula>IF(AD14="",NA(),SUM($AD$14:AD14))</calculatedColumnFormula>
    </tableColumn>
    <tableColumn id="43" xr3:uid="{CE31DBAF-57B0-4D4D-852A-B07516A73A41}" name="WP_A1" dataDxfId="112">
      <calculatedColumnFormula>WeeklyPlanned(Output_Template[[#Headers],[WP_A1]], Output_Template[[#This Row],[Date]])</calculatedColumnFormula>
    </tableColumn>
    <tableColumn id="44" xr3:uid="{A0857F89-2BC6-42D6-B02F-90D9272451CA}" name="WA_A1" dataDxfId="111"/>
    <tableColumn id="45" xr3:uid="{2A74D439-B21B-40DD-BB55-7D2C2B18629E}" name="WP_A2" dataDxfId="110">
      <calculatedColumnFormula>WeeklyPlanned(Output_Template[[#Headers],[WP_A2]], Output_Template[[#This Row],[Date]])</calculatedColumnFormula>
    </tableColumn>
    <tableColumn id="46" xr3:uid="{670DB326-434A-466C-9E3C-6A8FE180F21F}" name="WA_A2" dataDxfId="109"/>
    <tableColumn id="47" xr3:uid="{B6798EC6-DE2D-49BB-961E-220FED1F6F10}" name="WP_A3" dataDxfId="108">
      <calculatedColumnFormula>WeeklyPlanned(Output_Template[[#Headers],[WP_A3]], Output_Template[[#This Row],[Date]])</calculatedColumnFormula>
    </tableColumn>
    <tableColumn id="48" xr3:uid="{B2CB6DA2-6E53-4BAC-881B-229E451DFCE0}" name="WA_A3" dataDxfId="10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6">
  <autoFilter ref="H2:H5" xr:uid="{1041DC80-58D6-4308-9DE1-A4EC8AAD3C20}"/>
  <tableColumns count="1">
    <tableColumn id="1" xr3:uid="{0E6D3E77-7CB7-40A1-BCA6-DDC8164AAEB9}" name="Holidays" dataDxfId="10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04" dataDxfId="103">
  <autoFilter ref="R13:X21" xr:uid="{FF2C9E8B-1A62-479C-AF68-79B236C0B7BB}"/>
  <tableColumns count="7">
    <tableColumn id="1" xr3:uid="{5AA37268-DD16-498C-9169-AE2EA9DA526A}" name="Zone ID" dataDxfId="102"/>
    <tableColumn id="2" xr3:uid="{0E3A0621-3CBD-40FC-B7C1-86ED2397BCEE}" name="Description" dataDxfId="101"/>
    <tableColumn id="3" xr3:uid="{5A73CD5C-5126-40F4-B5B3-C7A438ED4F4F}" name="Short Description" dataDxfId="100"/>
    <tableColumn id="4" xr3:uid="{CDB025F5-BA1E-4D3D-9F16-1E7E8B24997A}" name="Start Date" dataDxfId="99"/>
    <tableColumn id="5" xr3:uid="{A32C4534-D094-4392-BDFF-D9E6184B332E}" name="Finish Date" dataDxfId="98"/>
    <tableColumn id="6" xr3:uid="{4EBF5FA0-D78E-4850-9053-2FD3D4DF8DDF}" name="Total" dataDxfId="97" dataCellStyle="Linked Cell"/>
    <tableColumn id="7" xr3:uid="{2024E4D3-6ED3-428B-AA0E-731077A47B05}" name="Completed Total" dataDxfId="96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95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94">
      <calculatedColumnFormula>IF(AA13 = "Date", $S$4, AA13+7)</calculatedColumnFormula>
    </tableColumn>
    <tableColumn id="6" xr3:uid="{001A0E6C-64CB-4894-8C22-5853E33F6BB2}" name="Primary Areas" dataDxfId="93">
      <calculatedColumnFormula>PrimaryAreas(8)</calculatedColumnFormula>
    </tableColumn>
    <tableColumn id="2" xr3:uid="{1360E334-97F5-432E-BB23-793619A14458}" name="Weekly Plan" dataDxfId="92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91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0">
      <calculatedColumnFormula>SUM($AC$14:AC14)</calculatedColumnFormula>
    </tableColumn>
    <tableColumn id="5" xr3:uid="{1924FD4A-42CB-49CF-B4A5-079079B5D0F3}" name="Accumulated Actual" dataDxfId="89">
      <calculatedColumnFormula>IF(AD14="",NA(),SUM($AD$14:AD14))</calculatedColumnFormula>
    </tableColumn>
    <tableColumn id="23" xr3:uid="{9D909FAC-40FF-4109-8EAE-74DFABFF8319}" name="WP_ABC" dataDxfId="88">
      <calculatedColumnFormula>WeeklyPlanned(Output_0000[[#Headers],[WP_ABC]], Output_0000[[#This Row],[Date]])</calculatedColumnFormula>
    </tableColumn>
    <tableColumn id="24" xr3:uid="{92ADE5B7-CAEC-41A0-B928-8F7F4344FE26}" name="WA_ABC" dataDxfId="87"/>
    <tableColumn id="25" xr3:uid="{F7FD9E19-6CFF-44A1-AF87-237747B65D1E}" name="WP_ACS" dataDxfId="86">
      <calculatedColumnFormula>WeeklyPlanned(Output_0000[[#Headers],[WP_ACS]], Output_0000[[#This Row],[Date]])</calculatedColumnFormula>
    </tableColumn>
    <tableColumn id="26" xr3:uid="{1FD6096E-155A-48FA-BF57-ABEB209A76A8}" name="WA_ACS" dataDxfId="85"/>
    <tableColumn id="27" xr3:uid="{C32CB5E4-987A-4E05-BFD2-AD1BA55323A7}" name="WP_AL1" dataDxfId="84">
      <calculatedColumnFormula>WeeklyPlanned(Output_0000[[#Headers],[WP_AL1]], Output_0000[[#This Row],[Date]])</calculatedColumnFormula>
    </tableColumn>
    <tableColumn id="28" xr3:uid="{741EC55D-ACF8-45FE-B760-246C2984AB76}" name="WA_AL1" dataDxfId="83"/>
    <tableColumn id="29" xr3:uid="{02D5C536-D7AB-4845-AF46-BA557A0711BE}" name="WP_HBase" dataDxfId="82">
      <calculatedColumnFormula>WeeklyPlanned(Output_0000[[#Headers],[WP_HBase]], Output_0000[[#This Row],[Date]])</calculatedColumnFormula>
    </tableColumn>
    <tableColumn id="30" xr3:uid="{6CFFBF9B-4C23-4C48-B9B4-2C3A9A72CE8C}" name="WA_HBase" dataDxfId="81"/>
    <tableColumn id="31" xr3:uid="{27A2EB7B-E3EA-47B1-A3F2-FFBF58F06F0D}" name="WP_HWST" dataDxfId="80">
      <calculatedColumnFormula>WeeklyPlanned(Output_0000[[#Headers],[WP_HWST]], Output_0000[[#This Row],[Date]])</calculatedColumnFormula>
    </tableColumn>
    <tableColumn id="32" xr3:uid="{1F1D10B3-084B-4075-8E04-CBCE81737E69}" name="WA_HWST" dataDxfId="79"/>
    <tableColumn id="33" xr3:uid="{127722D0-80A4-4F75-9175-6D2C54EBC191}" name="WP_HWSR" dataDxfId="78">
      <calculatedColumnFormula>WeeklyPlanned(Output_0000[[#Headers],[WP_HWSR]], Output_0000[[#This Row],[Date]])</calculatedColumnFormula>
    </tableColumn>
    <tableColumn id="34" xr3:uid="{ED1A96FC-35C0-4018-81E1-B3B51101AB44}" name="WA_HWSR" dataDxfId="77"/>
    <tableColumn id="35" xr3:uid="{584725E1-3456-4D62-8919-994293AB89D3}" name="WP_HL2" dataDxfId="76">
      <calculatedColumnFormula>WeeklyPlanned(Output_0000[[#Headers],[WP_HL2]], Output_0000[[#This Row],[Date]])</calculatedColumnFormula>
    </tableColumn>
    <tableColumn id="36" xr3:uid="{0D58AE03-CEC6-4352-9275-206C438024A6}" name="WA_HL2" dataDxfId="75"/>
    <tableColumn id="37" xr3:uid="{76718DA7-C2F0-424A-9855-A1F7A4401A40}" name="WP_HBCeil" dataDxfId="74">
      <calculatedColumnFormula>WeeklyPlanned(Output_0000[[#Headers],[WP_HBCeil]], Output_0000[[#This Row],[Date]])</calculatedColumnFormula>
    </tableColumn>
    <tableColumn id="38" xr3:uid="{DF9E8E0F-9F93-4E51-85D2-94DDAA517F51}" name="WA_HBCeil" dataDxfId="7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2" dataDxfId="71">
  <autoFilter ref="R13:X21" xr:uid="{FF2C9E8B-1A62-479C-AF68-79B236C0B7BB}"/>
  <tableColumns count="7">
    <tableColumn id="1" xr3:uid="{9FED2BA1-A1A7-4513-A20F-F09DB113155D}" name="Zone ID" dataDxfId="70"/>
    <tableColumn id="2" xr3:uid="{8B67A205-5329-400B-84DC-CB06A032CF16}" name="Description" dataDxfId="69"/>
    <tableColumn id="3" xr3:uid="{2253D560-C30C-43DE-ABAB-BFAFD145DF40}" name="Short Description" dataDxfId="68"/>
    <tableColumn id="4" xr3:uid="{09E57ADB-1BEB-4CFB-B160-A9C7ADA56DE0}" name="Start Date" dataDxfId="67"/>
    <tableColumn id="5" xr3:uid="{B704EAFC-B4AE-45F3-A5AC-5189060C6D42}" name="Finish Date" dataDxfId="66"/>
    <tableColumn id="6" xr3:uid="{FAFABCDE-D7F7-45A9-83E7-80ADC6F01B0B}" name="Total" dataDxfId="65" dataCellStyle="Normal"/>
    <tableColumn id="7" xr3:uid="{F8D69A8D-7550-4939-9D63-599172BCFFFD}" name="Completed Total" dataDxfId="64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3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2">
      <calculatedColumnFormula>IF(AA13 = "Date", $S$4, AA13+7)</calculatedColumnFormula>
    </tableColumn>
    <tableColumn id="6" xr3:uid="{DE271CBB-C0FC-482D-929A-C21AEFAC32E4}" name="Primary Areas" dataDxfId="61">
      <calculatedColumnFormula>PrimaryAreas(8)</calculatedColumnFormula>
    </tableColumn>
    <tableColumn id="2" xr3:uid="{71EE47CC-75E0-49E1-B527-E1364059B0A6}" name="Weekly Plan" dataDxfId="60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59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58">
      <calculatedColumnFormula>SUM($AC$14:AC14)</calculatedColumnFormula>
    </tableColumn>
    <tableColumn id="5" xr3:uid="{CB7FAB5B-BEAB-4D4A-BD18-57DE0B5DE266}" name="Accumulated Actual" dataDxfId="57">
      <calculatedColumnFormula>IF(AD14="",NA(),SUM($AD$14:AD14))</calculatedColumnFormula>
    </tableColumn>
    <tableColumn id="7" xr3:uid="{2A1CBA5C-29D6-4EB1-8BAA-AF2C064B4A02}" name="WP_ABC" dataDxfId="56">
      <calculatedColumnFormula>WeeklyPlanned(Output_0501[[#Headers],[WP_ABC]], Output_0501[[#This Row],[Date]])</calculatedColumnFormula>
    </tableColumn>
    <tableColumn id="8" xr3:uid="{04DC9374-2B37-4BF5-AA39-F11FC0149281}" name="WA_ABC" dataDxfId="55"/>
    <tableColumn id="9" xr3:uid="{4F88CC2C-A480-4C5B-BA01-24B210AB447A}" name="WP_ACS" dataDxfId="54">
      <calculatedColumnFormula>WeeklyPlanned(Output_0501[[#Headers],[WP_ACS]], Output_0501[[#This Row],[Date]])</calculatedColumnFormula>
    </tableColumn>
    <tableColumn id="10" xr3:uid="{48C24C77-4D2B-435F-BBC2-FAD4AD540AB6}" name="WA_ACS" dataDxfId="53"/>
    <tableColumn id="11" xr3:uid="{75D5C587-305D-4077-9FAA-C79F65923E57}" name="WP_AL1" dataDxfId="52">
      <calculatedColumnFormula>WeeklyPlanned(Output_0501[[#Headers],[WP_AL1]], Output_0501[[#This Row],[Date]])</calculatedColumnFormula>
    </tableColumn>
    <tableColumn id="12" xr3:uid="{8077796C-E6FC-4EE3-89F7-798709387F7F}" name="WA_AL1" dataDxfId="51"/>
    <tableColumn id="13" xr3:uid="{792F3323-B0E8-4776-9689-FD45E57B619D}" name="WP_HBase" dataDxfId="50">
      <calculatedColumnFormula>WeeklyPlanned(Output_0501[[#Headers],[WP_HBase]], Output_0501[[#This Row],[Date]])</calculatedColumnFormula>
    </tableColumn>
    <tableColumn id="14" xr3:uid="{9E7E74B1-B432-4576-8F57-2DCED559C004}" name="WA_HBase" dataDxfId="49"/>
    <tableColumn id="15" xr3:uid="{6C8A9406-B3E7-4378-8961-19DE99A823B8}" name="WP_HWST" dataDxfId="48">
      <calculatedColumnFormula>WeeklyPlanned(Output_0501[[#Headers],[WP_HWST]], Output_0501[[#This Row],[Date]])</calculatedColumnFormula>
    </tableColumn>
    <tableColumn id="16" xr3:uid="{85632008-1A06-41BF-96BF-DF4F2942C8E3}" name="WA_HWST" dataDxfId="47"/>
    <tableColumn id="17" xr3:uid="{4ED0746A-56E1-4B9A-8D82-621AD6A805EE}" name="WP_HWSR" dataDxfId="46">
      <calculatedColumnFormula>WeeklyPlanned(Output_0501[[#Headers],[WP_HWSR]], Output_0501[[#This Row],[Date]])</calculatedColumnFormula>
    </tableColumn>
    <tableColumn id="18" xr3:uid="{616A2447-10D3-4C5E-BE98-C8594A351722}" name="WA_HWSR" dataDxfId="45"/>
    <tableColumn id="19" xr3:uid="{13711C20-54F0-41FE-93CC-92DB5745C53C}" name="WP_HL2" dataDxfId="44">
      <calculatedColumnFormula>WeeklyPlanned(Output_0501[[#Headers],[WP_HL2]], Output_0501[[#This Row],[Date]])</calculatedColumnFormula>
    </tableColumn>
    <tableColumn id="20" xr3:uid="{AE155A80-4969-4902-8DAF-8DC808584420}" name="WA_HL2" dataDxfId="43"/>
    <tableColumn id="21" xr3:uid="{186F9C43-2DF5-47B7-A779-6A42D4C3454E}" name="WP_HBCeil" dataDxfId="42">
      <calculatedColumnFormula>WeeklyPlanned(Output_0501[[#Headers],[WP_HBCeil]], Output_0501[[#This Row],[Date]])</calculatedColumnFormula>
    </tableColumn>
    <tableColumn id="22" xr3:uid="{7F8ADB3E-C083-4C51-8B5A-9EACC6ABF4A0}" name="WA_HBCeil" dataDxfId="4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9" t="s">
        <v>80</v>
      </c>
      <c r="AB1" s="80"/>
    </row>
    <row r="2" spans="2:39" x14ac:dyDescent="0.3">
      <c r="B2" s="94" t="str">
        <f>_xlfn.CONCAT("PROGRESS REPORT ", TEXT(S3,"mm/dd/yyyy"))</f>
        <v>PROGRESS REPORT 07/01/2020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7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77" t="str">
        <f>Project_Name</f>
        <v>St. George Temple Major Renovation 2019</v>
      </c>
      <c r="D4" s="77"/>
      <c r="E4" s="77"/>
      <c r="F4" s="77"/>
      <c r="G4" s="77"/>
      <c r="H4" s="77"/>
      <c r="I4" s="77"/>
      <c r="J4" s="78" t="s">
        <v>38</v>
      </c>
      <c r="K4" s="78"/>
      <c r="L4" s="78"/>
      <c r="M4" s="7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77" t="str">
        <f>Project_Number</f>
        <v>S590</v>
      </c>
      <c r="D5" s="77"/>
      <c r="E5" s="77"/>
      <c r="F5" s="77"/>
      <c r="G5" s="77"/>
      <c r="H5" s="77"/>
      <c r="I5" s="77"/>
      <c r="J5" s="76" t="s">
        <v>42</v>
      </c>
      <c r="K5" s="76"/>
      <c r="L5" s="76"/>
      <c r="M5" s="76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77" t="str">
        <f>Main!C33</f>
        <v>Sample Sub</v>
      </c>
      <c r="D6" s="77"/>
      <c r="E6" s="77"/>
      <c r="F6" s="77"/>
      <c r="G6" s="77"/>
      <c r="H6" s="77"/>
      <c r="I6" s="77"/>
      <c r="J6" s="76" t="str">
        <f>_xlfn.CONCAT("Overall Totals (", IF(ISBLANK($S$6),"",$S$6), ")")</f>
        <v>Overall Totals (SF)</v>
      </c>
      <c r="K6" s="76"/>
      <c r="L6" s="76"/>
      <c r="M6" s="76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77" t="str">
        <f>RIGHT(Main!B33, LEN(Main!B33) - 4)</f>
        <v>Sample</v>
      </c>
      <c r="D7" s="77"/>
      <c r="E7" s="77"/>
      <c r="F7" s="77"/>
      <c r="G7" s="77"/>
      <c r="H7" s="77"/>
      <c r="I7" s="77"/>
      <c r="J7" s="76" t="str">
        <f>_xlfn.CONCAT("Overall Completed Totals (", IF(ISBLANK($S$6),"",$S$6), ")")</f>
        <v>Overall Completed Totals (SF)</v>
      </c>
      <c r="K7" s="76"/>
      <c r="L7" s="76"/>
      <c r="M7" s="76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76" t="str">
        <f>_xlfn.CONCAT("This Week's Production (", IF(ISBLANK($S$6),"",$S$6), ")")</f>
        <v>This Week's Production (SF)</v>
      </c>
      <c r="K8" s="76"/>
      <c r="L8" s="76"/>
      <c r="M8" s="76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76" t="str">
        <f>_xlfn.CONCAT("Weekly Average (", IF(ISBLANK($S$6),"",$S$6), ")")</f>
        <v>Weekly Average (SF)</v>
      </c>
      <c r="K9" s="76"/>
      <c r="L9" s="76"/>
      <c r="M9" s="76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76" t="str">
        <f>_xlfn.CONCAT("Average Past 4 Weeks (", IF(ISBLANK($S$6),"",$S$6), ")")</f>
        <v>Average Past 4 Weeks (SF)</v>
      </c>
      <c r="K10" s="76"/>
      <c r="L10" s="76"/>
      <c r="M10" s="76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157</v>
      </c>
      <c r="V10" s="86"/>
      <c r="W10" s="86"/>
      <c r="X10" s="86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76" t="str">
        <f>_xlfn.CONCAT("On Schedule Average (", IF(ISBLANK($S$6),"",$S$6), ")")</f>
        <v>On Schedule Average (SF)</v>
      </c>
      <c r="K11" s="76"/>
      <c r="L11" s="76"/>
      <c r="M11" s="76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6"/>
      <c r="V11" s="86"/>
      <c r="W11" s="86"/>
      <c r="X11" s="86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1" t="s">
        <v>46</v>
      </c>
      <c r="K13" s="81"/>
      <c r="L13" s="81"/>
      <c r="M13" s="81"/>
      <c r="N13" s="8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2"/>
      <c r="N14" s="72"/>
      <c r="O14" s="73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74"/>
      <c r="M15" s="74"/>
      <c r="N15" s="74"/>
      <c r="O15" s="75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40" priority="10">
      <formula>ISERROR(AF14)</formula>
    </cfRule>
  </conditionalFormatting>
  <conditionalFormatting sqref="W13:X13">
    <cfRule type="expression" dxfId="39" priority="8">
      <formula>IF(OR($S$8 = "Assemble Addin", $S$8 = "Bluebeam QL"), TRUE, FALSE)</formula>
    </cfRule>
  </conditionalFormatting>
  <conditionalFormatting sqref="N6:O6">
    <cfRule type="expression" dxfId="38" priority="7">
      <formula>IF($N$6=$O$6, FALSE, TRUE)</formula>
    </cfRule>
  </conditionalFormatting>
  <conditionalFormatting sqref="W14:X16">
    <cfRule type="expression" dxfId="37" priority="5">
      <formula>IF(OR($S$8 = "Assemble Addin", $S$8 = "Bluebeam QL"), TRUE, FALSE)</formula>
    </cfRule>
    <cfRule type="expression" dxfId="36" priority="6">
      <formula>IF(OR($S$8 = "Assemble Addin", $S$8 = "Bluebeam QL"), MOD(ROW(), 2)=0, FALSE)</formula>
    </cfRule>
  </conditionalFormatting>
  <conditionalFormatting sqref="R13">
    <cfRule type="expression" dxfId="35" priority="2">
      <formula>IF($S$8 = "Assemble Addin", TRUE, FALSE)</formula>
    </cfRule>
  </conditionalFormatting>
  <conditionalFormatting sqref="R14:R16">
    <cfRule type="expression" dxfId="34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87" t="str">
        <f>UPPER("Structural Steel 07/01/2020")</f>
        <v>STRUCTURAL STEEL 07/01/2020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1:14" x14ac:dyDescent="0.3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4" spans="1:14" x14ac:dyDescent="0.35">
      <c r="A34" s="88" t="s">
        <v>116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0" t="s">
        <v>5</v>
      </c>
      <c r="F1" s="9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91" t="s">
        <v>6</v>
      </c>
      <c r="C2" s="9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G39" sqref="G39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93" t="str">
        <f>"PROGRESS REPORT "&amp; TEXT(Report_Date, "mm/dd/yyy")</f>
        <v>PROGRESS REPORT 07/01/2020</v>
      </c>
      <c r="C2" s="93"/>
      <c r="D2" s="93"/>
      <c r="E2" s="93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105" t="s">
        <v>16</v>
      </c>
      <c r="H6" s="100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105" t="s">
        <v>31</v>
      </c>
      <c r="H7" s="101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105" t="s">
        <v>32</v>
      </c>
      <c r="H8" s="102">
        <v>0.06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92" t="s">
        <v>26</v>
      </c>
      <c r="C11" s="92"/>
      <c r="D11" s="92"/>
      <c r="E11" s="92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92" t="s">
        <v>27</v>
      </c>
      <c r="C13" s="92"/>
      <c r="D13" s="92"/>
      <c r="E13" s="92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103"/>
      <c r="H14" s="37"/>
    </row>
    <row r="15" spans="2:12" ht="15" x14ac:dyDescent="0.3">
      <c r="B15" s="92" t="s">
        <v>28</v>
      </c>
      <c r="C15" s="92"/>
      <c r="D15" s="92"/>
      <c r="E15" s="92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103"/>
      <c r="H16" s="37" t="s">
        <v>150</v>
      </c>
      <c r="I16" s="104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103"/>
      <c r="H17" s="37"/>
    </row>
    <row r="18" spans="2:12" ht="15" hidden="1" x14ac:dyDescent="0.3">
      <c r="B18" s="92" t="s">
        <v>29</v>
      </c>
      <c r="C18" s="92"/>
      <c r="D18" s="92"/>
      <c r="E18" s="92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103"/>
      <c r="H19" s="37"/>
    </row>
    <row r="20" spans="2:12" ht="15" hidden="1" x14ac:dyDescent="0.3">
      <c r="B20" s="92" t="s">
        <v>30</v>
      </c>
      <c r="C20" s="92"/>
      <c r="D20" s="92"/>
      <c r="E20" s="92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103"/>
      <c r="H21" s="37"/>
    </row>
    <row r="22" spans="2:12" ht="15" hidden="1" x14ac:dyDescent="0.3">
      <c r="B22" s="92" t="s">
        <v>127</v>
      </c>
      <c r="C22" s="92"/>
      <c r="D22" s="92"/>
      <c r="E22" s="92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103"/>
      <c r="H23" s="37"/>
    </row>
    <row r="24" spans="2:12" ht="15" hidden="1" x14ac:dyDescent="0.3">
      <c r="B24" s="92" t="s">
        <v>128</v>
      </c>
      <c r="C24" s="92"/>
      <c r="D24" s="92"/>
      <c r="E24" s="92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103"/>
      <c r="H25" s="37"/>
    </row>
    <row r="26" spans="2:12" ht="15" hidden="1" x14ac:dyDescent="0.3">
      <c r="B26" s="92" t="s">
        <v>129</v>
      </c>
      <c r="C26" s="92"/>
      <c r="D26" s="92"/>
      <c r="E26" s="92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103"/>
      <c r="H27" s="37"/>
    </row>
    <row r="28" spans="2:12" ht="15" hidden="1" x14ac:dyDescent="0.3">
      <c r="B28" s="92" t="s">
        <v>130</v>
      </c>
      <c r="C28" s="92"/>
      <c r="D28" s="92"/>
      <c r="E28" s="92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103"/>
      <c r="H29" s="37"/>
    </row>
    <row r="30" spans="2:12" ht="15" hidden="1" x14ac:dyDescent="0.3">
      <c r="B30" s="92" t="s">
        <v>131</v>
      </c>
      <c r="C30" s="92"/>
      <c r="D30" s="92"/>
      <c r="E30" s="92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103"/>
      <c r="H31" s="37"/>
    </row>
    <row r="32" spans="2:12" ht="15" x14ac:dyDescent="0.3">
      <c r="B32" s="92" t="s">
        <v>132</v>
      </c>
      <c r="C32" s="92"/>
      <c r="D32" s="92"/>
      <c r="E32" s="92"/>
      <c r="F32" s="16"/>
      <c r="G32" s="16"/>
      <c r="H32" s="16"/>
      <c r="I32" s="16"/>
      <c r="J32" s="16"/>
      <c r="K32" s="16"/>
      <c r="L32" s="71" t="s">
        <v>136</v>
      </c>
    </row>
    <row r="33" spans="2:8" x14ac:dyDescent="0.3">
      <c r="B33" s="9" t="s">
        <v>154</v>
      </c>
      <c r="C33" s="71" t="s">
        <v>133</v>
      </c>
      <c r="G33" s="103"/>
      <c r="H33" s="37" t="s">
        <v>134</v>
      </c>
    </row>
    <row r="34" spans="2:8" x14ac:dyDescent="0.3">
      <c r="G34" s="38"/>
      <c r="H34" s="37"/>
    </row>
    <row r="35" spans="2:8" x14ac:dyDescent="0.3">
      <c r="G35" s="38"/>
      <c r="H35" s="37"/>
    </row>
    <row r="36" spans="2:8" x14ac:dyDescent="0.3">
      <c r="G36" s="38"/>
      <c r="H36" s="37"/>
    </row>
    <row r="37" spans="2:8" x14ac:dyDescent="0.3">
      <c r="G37" s="38"/>
      <c r="H37" s="37"/>
    </row>
    <row r="38" spans="2:8" x14ac:dyDescent="0.3">
      <c r="G38" s="38"/>
      <c r="H38" s="37"/>
    </row>
    <row r="39" spans="2:8" x14ac:dyDescent="0.3">
      <c r="G39" s="38"/>
      <c r="H39" s="37"/>
    </row>
    <row r="40" spans="2:8" x14ac:dyDescent="0.3">
      <c r="G40" s="38"/>
      <c r="H40" s="37"/>
    </row>
    <row r="41" spans="2:8" x14ac:dyDescent="0.3">
      <c r="G41" s="38"/>
      <c r="H41" s="37"/>
    </row>
    <row r="42" spans="2:8" x14ac:dyDescent="0.3">
      <c r="G42" s="38"/>
      <c r="H42" s="37"/>
    </row>
    <row r="43" spans="2:8" x14ac:dyDescent="0.3">
      <c r="G43" s="38"/>
      <c r="H43" s="37"/>
    </row>
    <row r="44" spans="2:8" x14ac:dyDescent="0.3">
      <c r="G44" s="38"/>
      <c r="H44" s="37"/>
    </row>
    <row r="45" spans="2:8" x14ac:dyDescent="0.3">
      <c r="G45" s="38"/>
      <c r="H45" s="37"/>
    </row>
    <row r="46" spans="2:8" x14ac:dyDescent="0.3">
      <c r="G46" s="38"/>
      <c r="H46" s="37"/>
    </row>
    <row r="47" spans="2:8" x14ac:dyDescent="0.3">
      <c r="G47" s="38"/>
      <c r="H47" s="37"/>
    </row>
    <row r="48" spans="2:8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33" priority="53">
      <formula>IF(ISBLANK($D12), FALSE, IF(RedGreen_Formatting = "Enabled", $D12 &lt;= $E12 + Percent_Error, FALSE))</formula>
    </cfRule>
    <cfRule type="expression" dxfId="32" priority="54">
      <formula>IF(ISBLANK($D12), FALSE, IF(RedGreen_Formatting = "Enabled", $D12 &gt; $E12 + Percent_Error, FALSE))</formula>
    </cfRule>
  </conditionalFormatting>
  <conditionalFormatting sqref="E22">
    <cfRule type="expression" dxfId="31" priority="51">
      <formula>IF(ISBLANK($D22), FALSE, IF(RedGreen_Formatting = "Enabled", $D22 &lt;= $E22 + Percent_Error, FALSE))</formula>
    </cfRule>
    <cfRule type="expression" dxfId="30" priority="52">
      <formula>IF(ISBLANK($D22), FALSE, IF(RedGreen_Formatting = "Enabled", $D22 &gt; $E22 + Percent_Error, FALSE))</formula>
    </cfRule>
  </conditionalFormatting>
  <conditionalFormatting sqref="E24">
    <cfRule type="expression" dxfId="29" priority="49">
      <formula>IF(ISBLANK($D24), FALSE, IF(RedGreen_Formatting = "Enabled", $D24 &lt;= $E24 + Percent_Error, FALSE))</formula>
    </cfRule>
    <cfRule type="expression" dxfId="28" priority="50">
      <formula>IF(ISBLANK($D24), FALSE, IF(RedGreen_Formatting = "Enabled", $D24 &gt; $E24 + Percent_Error, FALSE))</formula>
    </cfRule>
  </conditionalFormatting>
  <conditionalFormatting sqref="E26">
    <cfRule type="expression" dxfId="27" priority="47">
      <formula>IF(ISBLANK($D26), FALSE, IF(RedGreen_Formatting = "Enabled", $D26 &lt;= $E26 + Percent_Error, FALSE))</formula>
    </cfRule>
    <cfRule type="expression" dxfId="26" priority="48">
      <formula>IF(ISBLANK($D26), FALSE, IF(RedGreen_Formatting = "Enabled", $D26 &gt; $E26 + Percent_Error, FALSE))</formula>
    </cfRule>
  </conditionalFormatting>
  <conditionalFormatting sqref="E28">
    <cfRule type="expression" dxfId="25" priority="45">
      <formula>IF(ISBLANK($D28), FALSE, IF(RedGreen_Formatting = "Enabled", $D28 &lt;= $E28 + Percent_Error, FALSE))</formula>
    </cfRule>
    <cfRule type="expression" dxfId="24" priority="46">
      <formula>IF(ISBLANK($D28), FALSE, IF(RedGreen_Formatting = "Enabled", $D28 &gt; $E28 + Percent_Error, FALSE))</formula>
    </cfRule>
  </conditionalFormatting>
  <conditionalFormatting sqref="E30">
    <cfRule type="expression" dxfId="23" priority="43">
      <formula>IF(ISBLANK($D30), FALSE, IF(RedGreen_Formatting = "Enabled", $D30 &lt;= $E30 + Percent_Error, FALSE))</formula>
    </cfRule>
    <cfRule type="expression" dxfId="22" priority="44">
      <formula>IF(ISBLANK($D30), FALSE, IF(RedGreen_Formatting = "Enabled", $D30 &gt; $E30 + Percent_Error, FALSE))</formula>
    </cfRule>
  </conditionalFormatting>
  <conditionalFormatting sqref="E32">
    <cfRule type="expression" dxfId="21" priority="41">
      <formula>IF(ISBLANK($D32), FALSE, IF(RedGreen_Formatting = "Enabled", $D32 &lt;= $E32 + Percent_Error, FALSE))</formula>
    </cfRule>
    <cfRule type="expression" dxfId="20" priority="42">
      <formula>IF(ISBLANK($D32), FALSE, IF(RedGreen_Formatting = "Enabled", $D32 &gt; $E32 + Percent_Error, FALSE))</formula>
    </cfRule>
  </conditionalFormatting>
  <conditionalFormatting sqref="E34">
    <cfRule type="expression" dxfId="19" priority="23">
      <formula>IF(ISBLANK($D34), FALSE, IF(RedGreen_Formatting = "Enabled", $D34 &lt;= $E34 + Percent_Error, FALSE))</formula>
    </cfRule>
    <cfRule type="expression" dxfId="18" priority="24">
      <formula>IF(ISBLANK($D34), FALSE, IF(RedGreen_Formatting = "Enabled", $D34 &gt; $E34 + Percent_Error, FALSE))</formula>
    </cfRule>
  </conditionalFormatting>
  <conditionalFormatting sqref="E33">
    <cfRule type="expression" dxfId="17" priority="3">
      <formula>IF(ISBLANK($D33), FALSE, IF(RedGreen_Formatting = "Enabled", $D33 &lt;= $E33 + Percent_Error, FALSE))</formula>
    </cfRule>
    <cfRule type="expression" dxfId="16" priority="4">
      <formula>IF(ISBLANK($D33), FALSE, IF(RedGreen_Formatting = "Enabled", $D33 &gt; $E33 + Percent_Error, FALSE))</formula>
    </cfRule>
  </conditionalFormatting>
  <conditionalFormatting sqref="E16">
    <cfRule type="expression" dxfId="15" priority="1">
      <formula>IF(ISBLANK($D16), FALSE, IF(RedGreen_Formatting = "Enabled", $D16 &lt;= $E16 + Percent_Error, FALSE))</formula>
    </cfRule>
    <cfRule type="expression" dxfId="14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9" t="s">
        <v>80</v>
      </c>
      <c r="AB1" s="80"/>
    </row>
    <row r="2" spans="2:49" ht="14" customHeight="1" x14ac:dyDescent="0.3">
      <c r="B2" s="94" t="str">
        <f>_xlfn.CONCAT("PROGRESS REPORT ", TEXT(S3,"mm/dd/yyyy"))</f>
        <v>PROGRESS REPORT 07/01/2020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7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77" t="str">
        <f>Project_Name</f>
        <v>St. George Temple Major Renovation 2019</v>
      </c>
      <c r="D4" s="77"/>
      <c r="E4" s="77"/>
      <c r="F4" s="77"/>
      <c r="G4" s="77"/>
      <c r="H4" s="77"/>
      <c r="I4" s="77"/>
      <c r="J4" s="78" t="s">
        <v>38</v>
      </c>
      <c r="K4" s="78"/>
      <c r="L4" s="78"/>
      <c r="M4" s="7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77" t="str">
        <f>Project_Number</f>
        <v>S590</v>
      </c>
      <c r="D5" s="77"/>
      <c r="E5" s="77"/>
      <c r="F5" s="77"/>
      <c r="G5" s="77"/>
      <c r="H5" s="77"/>
      <c r="I5" s="77"/>
      <c r="J5" s="76" t="s">
        <v>42</v>
      </c>
      <c r="K5" s="76"/>
      <c r="L5" s="76"/>
      <c r="M5" s="76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77" t="e">
        <f>Main!#REF!</f>
        <v>#REF!</v>
      </c>
      <c r="D6" s="77"/>
      <c r="E6" s="77"/>
      <c r="F6" s="77"/>
      <c r="G6" s="77"/>
      <c r="H6" s="77"/>
      <c r="I6" s="77"/>
      <c r="J6" s="76" t="str">
        <f>_xlfn.CONCAT("Overall Totals (", IF(ISBLANK($S$6),"",$S$6), ")")</f>
        <v>Overall Totals (Count)</v>
      </c>
      <c r="K6" s="76"/>
      <c r="L6" s="76"/>
      <c r="M6" s="76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77" t="e">
        <f>RIGHT(Main!#REF!, LEN(Main!#REF!) - 4)</f>
        <v>#REF!</v>
      </c>
      <c r="D7" s="77"/>
      <c r="E7" s="77"/>
      <c r="F7" s="77"/>
      <c r="G7" s="77"/>
      <c r="H7" s="77"/>
      <c r="I7" s="77"/>
      <c r="J7" s="76" t="str">
        <f>_xlfn.CONCAT("Overall Completed Totals (", IF(ISBLANK($S$6),"",$S$6), ")")</f>
        <v>Overall Completed Totals (Count)</v>
      </c>
      <c r="K7" s="76"/>
      <c r="L7" s="76"/>
      <c r="M7" s="76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76" t="str">
        <f>_xlfn.CONCAT("This Week's Production (", IF(ISBLANK($S$6),"",$S$6), ")")</f>
        <v>This Week's Production (Count)</v>
      </c>
      <c r="K8" s="76"/>
      <c r="L8" s="76"/>
      <c r="M8" s="76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76" t="str">
        <f>_xlfn.CONCAT("Weekly Average (", IF(ISBLANK($S$6),"",$S$6), ")")</f>
        <v>Weekly Average (Count)</v>
      </c>
      <c r="K9" s="76"/>
      <c r="L9" s="76"/>
      <c r="M9" s="76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76" t="str">
        <f>_xlfn.CONCAT("Average Past 4 Weeks (", IF(ISBLANK($S$6),"",$S$6), ")")</f>
        <v>Average Past 4 Weeks (Count)</v>
      </c>
      <c r="K10" s="76"/>
      <c r="L10" s="76"/>
      <c r="M10" s="76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76" t="str">
        <f>_xlfn.CONCAT("On Schedule Average (", IF(ISBLANK($S$6),"",$S$6), ")")</f>
        <v>On Schedule Average (Count)</v>
      </c>
      <c r="K11" s="76"/>
      <c r="L11" s="76"/>
      <c r="M11" s="76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1" t="s">
        <v>46</v>
      </c>
      <c r="K13" s="81"/>
      <c r="L13" s="81"/>
      <c r="M13" s="81"/>
      <c r="N13" s="82"/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2"/>
      <c r="N14" s="72"/>
      <c r="O14" s="73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74"/>
      <c r="M15" s="74"/>
      <c r="N15" s="74"/>
      <c r="O15" s="75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V27" sqref="V2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9" t="s">
        <v>80</v>
      </c>
      <c r="AB1" s="80"/>
    </row>
    <row r="2" spans="2:49" x14ac:dyDescent="0.3">
      <c r="B2" s="94" t="str">
        <f>_xlfn.CONCAT("PROGRESS REPORT ", TEXT(S3,"mm/dd/yyyy"))</f>
        <v>PROGRESS REPORT 07/01/2020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7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77" t="str">
        <f>Project_Name</f>
        <v>St. George Temple Major Renovation 2019</v>
      </c>
      <c r="D4" s="77"/>
      <c r="E4" s="77"/>
      <c r="F4" s="77"/>
      <c r="G4" s="77"/>
      <c r="H4" s="77"/>
      <c r="I4" s="77"/>
      <c r="J4" s="78" t="s">
        <v>38</v>
      </c>
      <c r="K4" s="78"/>
      <c r="L4" s="78"/>
      <c r="M4" s="7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77" t="str">
        <f>Project_Number</f>
        <v>S590</v>
      </c>
      <c r="D5" s="77"/>
      <c r="E5" s="77"/>
      <c r="F5" s="77"/>
      <c r="G5" s="77"/>
      <c r="H5" s="77"/>
      <c r="I5" s="77"/>
      <c r="J5" s="76" t="s">
        <v>42</v>
      </c>
      <c r="K5" s="76"/>
      <c r="L5" s="76"/>
      <c r="M5" s="76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77" t="str">
        <f>Main!C16</f>
        <v>Glassey Steel Works</v>
      </c>
      <c r="D6" s="77"/>
      <c r="E6" s="77"/>
      <c r="F6" s="77"/>
      <c r="G6" s="77"/>
      <c r="H6" s="77"/>
      <c r="I6" s="77"/>
      <c r="J6" s="76" t="str">
        <f>_xlfn.CONCAT("Overall Totals (", IF(ISBLANK($S$6),"",$S$6), ")")</f>
        <v>Overall Totals (Count)</v>
      </c>
      <c r="K6" s="76"/>
      <c r="L6" s="76"/>
      <c r="M6" s="76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77" t="str">
        <f>RIGHT(Main!B16, LEN(Main!B16) - 4)</f>
        <v>Structural Steel</v>
      </c>
      <c r="D7" s="77"/>
      <c r="E7" s="77"/>
      <c r="F7" s="77"/>
      <c r="G7" s="77"/>
      <c r="H7" s="77"/>
      <c r="I7" s="77"/>
      <c r="J7" s="76" t="str">
        <f>_xlfn.CONCAT("Overall Completed Totals (", IF(ISBLANK($S$6),"",$S$6), ")")</f>
        <v>Overall Completed Totals (Count)</v>
      </c>
      <c r="K7" s="76"/>
      <c r="L7" s="76"/>
      <c r="M7" s="76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76" t="str">
        <f>_xlfn.CONCAT("This Week's Production (", IF(ISBLANK($S$6),"",$S$6), ")")</f>
        <v>This Week's Production (Count)</v>
      </c>
      <c r="K8" s="76"/>
      <c r="L8" s="76"/>
      <c r="M8" s="76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76" t="str">
        <f>_xlfn.CONCAT("Weekly Average (", IF(ISBLANK($S$6),"",$S$6), ")")</f>
        <v>Weekly Average (Count)</v>
      </c>
      <c r="K9" s="76"/>
      <c r="L9" s="76"/>
      <c r="M9" s="76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76" t="str">
        <f>_xlfn.CONCAT("Average Past 4 Weeks (", IF(ISBLANK($S$6),"",$S$6), ")")</f>
        <v>Average Past 4 Weeks (Count)</v>
      </c>
      <c r="K10" s="76"/>
      <c r="L10" s="76"/>
      <c r="M10" s="76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6"/>
      <c r="V10" s="86"/>
      <c r="W10" s="86"/>
      <c r="X10" s="86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76" t="str">
        <f>_xlfn.CONCAT("On Schedule Average (", IF(ISBLANK($S$6),"",$S$6), ")")</f>
        <v>On Schedule Average (Count)</v>
      </c>
      <c r="K11" s="76"/>
      <c r="L11" s="76"/>
      <c r="M11" s="76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6"/>
      <c r="V11" s="86"/>
      <c r="W11" s="86"/>
      <c r="X11" s="86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1" t="s">
        <v>46</v>
      </c>
      <c r="K13" s="81"/>
      <c r="L13" s="81"/>
      <c r="M13" s="81"/>
      <c r="N13" s="82">
        <f ca="1">IF($O$5&gt;0.999, "Completed", WORKDAY($S$3, ROUNDUP((SUM(Input_0501[Total])-(INDIRECT("AF"&amp;MATCH($S$3, Output_0501[Date],0)+13)))/($O$10/COUNTIF($U$2:$U$8, TRUE)),0), Holidays_Table[Holidays]))</f>
        <v>44285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2"/>
      <c r="N14" s="72"/>
      <c r="O14" s="73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74"/>
      <c r="M15" s="74"/>
      <c r="N15" s="74"/>
      <c r="O15" s="75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2020-07-15T00:31:54Z</dcterms:modified>
</cp:coreProperties>
</file>