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E27106A9-E89A-4EE8-A279-DE467F4A8323}" xr6:coauthVersionLast="44" xr6:coauthVersionMax="44" xr10:uidLastSave="{00000000-0000-0000-0000-000000000000}"/>
  <bookViews>
    <workbookView xWindow="-28920" yWindow="14190" windowWidth="29040" windowHeight="17640" xr2:uid="{791B15CC-68B2-4D54-B53E-4FED7E26F6F4}"/>
  </bookViews>
  <sheets>
    <sheet name="Template" sheetId="3" r:id="rId1"/>
    <sheet name="Settings" sheetId="1" r:id="rId2"/>
    <sheet name="Main" sheetId="2" r:id="rId3"/>
    <sheet name="0000" sheetId="4" r:id="rId4"/>
  </sheets>
  <functionGroups builtInGroupCount="19"/>
  <definedNames>
    <definedName name="AssembleConnection">Settings!$C$11</definedName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3">'0000'!$B$2:$O$40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I24" i="3" l="1"/>
  <c r="AD7" i="3" l="1"/>
  <c r="AB10" i="3"/>
  <c r="AC10" i="3"/>
  <c r="AC9" i="3"/>
  <c r="AD10" i="3" l="1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F29" i="3" s="1"/>
  <c r="AD28" i="3"/>
  <c r="AF28" i="3" s="1"/>
  <c r="AD27" i="3"/>
  <c r="AF27" i="3" s="1"/>
  <c r="AD26" i="3"/>
  <c r="AF26" i="3" s="1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AF15" i="3" l="1"/>
  <c r="AF16" i="3"/>
  <c r="AF18" i="3"/>
  <c r="AF19" i="3"/>
  <c r="AF17" i="3"/>
  <c r="AF20" i="3"/>
  <c r="AF21" i="3"/>
  <c r="AF22" i="3"/>
  <c r="AF23" i="3"/>
  <c r="AF2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AE9" i="3"/>
  <c r="AD9" i="3"/>
  <c r="AU36" i="4"/>
  <c r="AU35" i="4"/>
  <c r="AU34" i="4"/>
  <c r="AU33" i="4"/>
  <c r="AU32" i="4"/>
  <c r="AU31" i="4"/>
  <c r="AU30" i="4"/>
  <c r="AU29" i="4"/>
  <c r="AU28" i="4"/>
  <c r="AU27" i="4"/>
  <c r="AU26" i="4"/>
  <c r="AU25" i="4"/>
  <c r="AU24" i="4"/>
  <c r="AU23" i="4"/>
  <c r="AU22" i="4"/>
  <c r="AU21" i="4"/>
  <c r="AU20" i="4"/>
  <c r="AU19" i="4"/>
  <c r="AU18" i="4"/>
  <c r="AU17" i="4"/>
  <c r="AU16" i="4"/>
  <c r="AU15" i="4"/>
  <c r="AU14" i="4"/>
  <c r="AS36" i="4"/>
  <c r="AS35" i="4"/>
  <c r="AS34" i="4"/>
  <c r="AS33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Q36" i="4"/>
  <c r="AQ35" i="4"/>
  <c r="AQ34" i="4"/>
  <c r="AQ33" i="4"/>
  <c r="AQ32" i="4"/>
  <c r="AQ31" i="4"/>
  <c r="AQ30" i="4"/>
  <c r="AQ29" i="4"/>
  <c r="AQ28" i="4"/>
  <c r="AQ27" i="4"/>
  <c r="AQ26" i="4"/>
  <c r="AQ25" i="4"/>
  <c r="AQ24" i="4"/>
  <c r="AQ23" i="4"/>
  <c r="AQ22" i="4"/>
  <c r="AQ21" i="4"/>
  <c r="AQ20" i="4"/>
  <c r="AQ19" i="4"/>
  <c r="AQ18" i="4"/>
  <c r="AQ17" i="4"/>
  <c r="AQ16" i="4"/>
  <c r="AQ15" i="4"/>
  <c r="AQ14" i="4"/>
  <c r="AO36" i="4"/>
  <c r="AO35" i="4"/>
  <c r="AO34" i="4"/>
  <c r="AO33" i="4"/>
  <c r="AO32" i="4"/>
  <c r="AO31" i="4"/>
  <c r="AO30" i="4"/>
  <c r="AO29" i="4"/>
  <c r="AO28" i="4"/>
  <c r="AO27" i="4"/>
  <c r="AO26" i="4"/>
  <c r="AO25" i="4"/>
  <c r="AO24" i="4"/>
  <c r="AO23" i="4"/>
  <c r="AO22" i="4"/>
  <c r="AO21" i="4"/>
  <c r="AO20" i="4"/>
  <c r="AO19" i="4"/>
  <c r="AO18" i="4"/>
  <c r="AO17" i="4"/>
  <c r="AO16" i="4"/>
  <c r="AO15" i="4"/>
  <c r="AO14" i="4"/>
  <c r="AM36" i="4"/>
  <c r="AM35" i="4"/>
  <c r="AM34" i="4"/>
  <c r="AM33" i="4"/>
  <c r="AM32" i="4"/>
  <c r="AM31" i="4"/>
  <c r="AM30" i="4"/>
  <c r="AM29" i="4"/>
  <c r="AM28" i="4"/>
  <c r="AM27" i="4"/>
  <c r="AM26" i="4"/>
  <c r="AM25" i="4"/>
  <c r="AM24" i="4"/>
  <c r="AM23" i="4"/>
  <c r="AM22" i="4"/>
  <c r="AM21" i="4"/>
  <c r="AM20" i="4"/>
  <c r="AM19" i="4"/>
  <c r="AM18" i="4"/>
  <c r="AM17" i="4"/>
  <c r="AM16" i="4"/>
  <c r="AM15" i="4"/>
  <c r="AM14" i="4"/>
  <c r="AK36" i="4"/>
  <c r="AK35" i="4"/>
  <c r="AK34" i="4"/>
  <c r="AK33" i="4"/>
  <c r="AK32" i="4"/>
  <c r="AK31" i="4"/>
  <c r="AK30" i="4"/>
  <c r="AK29" i="4"/>
  <c r="AK28" i="4"/>
  <c r="AK27" i="4"/>
  <c r="AK26" i="4"/>
  <c r="AK25" i="4"/>
  <c r="AK24" i="4"/>
  <c r="AK23" i="4"/>
  <c r="AK22" i="4"/>
  <c r="AK21" i="4"/>
  <c r="AK20" i="4"/>
  <c r="AK19" i="4"/>
  <c r="AK18" i="4"/>
  <c r="AK17" i="4"/>
  <c r="AK16" i="4"/>
  <c r="AK15" i="4"/>
  <c r="AK14" i="4"/>
  <c r="AI36" i="4"/>
  <c r="AI35" i="4"/>
  <c r="AI34" i="4"/>
  <c r="AI33" i="4"/>
  <c r="AI32" i="4"/>
  <c r="AI31" i="4"/>
  <c r="AI30" i="4"/>
  <c r="AI29" i="4"/>
  <c r="AI28" i="4"/>
  <c r="AI27" i="4"/>
  <c r="AI26" i="4"/>
  <c r="AI25" i="4"/>
  <c r="AI24" i="4"/>
  <c r="AI23" i="4"/>
  <c r="AI22" i="4"/>
  <c r="AI21" i="4"/>
  <c r="AI20" i="4"/>
  <c r="AI19" i="4"/>
  <c r="AI18" i="4"/>
  <c r="AI17" i="4"/>
  <c r="AI16" i="4"/>
  <c r="AI15" i="4"/>
  <c r="AI14" i="4"/>
  <c r="AG36" i="4"/>
  <c r="AG35" i="4"/>
  <c r="AG34" i="4"/>
  <c r="AG33" i="4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B9" i="3" l="1"/>
  <c r="AC30" i="4"/>
  <c r="AC18" i="4"/>
  <c r="AC29" i="4"/>
  <c r="AC17" i="4"/>
  <c r="AC28" i="4"/>
  <c r="AC16" i="4"/>
  <c r="AC27" i="4"/>
  <c r="AC15" i="4"/>
  <c r="AC26" i="4"/>
  <c r="AC14" i="4"/>
  <c r="AC25" i="4"/>
  <c r="AC36" i="4"/>
  <c r="AC24" i="4"/>
  <c r="AC35" i="4"/>
  <c r="AC23" i="4"/>
  <c r="AC34" i="4"/>
  <c r="AC22" i="4"/>
  <c r="AC33" i="4"/>
  <c r="AC21" i="4"/>
  <c r="AC32" i="4"/>
  <c r="AC20" i="4"/>
  <c r="AC31" i="4"/>
  <c r="AC19" i="4"/>
  <c r="J11" i="4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B36" i="4"/>
  <c r="AB35" i="4"/>
  <c r="AB34" i="4"/>
  <c r="AB33" i="4"/>
  <c r="AB32" i="4"/>
  <c r="AB31" i="4"/>
  <c r="AB30" i="4"/>
  <c r="AB29" i="4"/>
  <c r="AB28" i="4"/>
  <c r="AB27" i="4"/>
  <c r="AB26" i="4"/>
  <c r="AB25" i="4"/>
  <c r="AB24" i="4"/>
  <c r="AB23" i="4"/>
  <c r="AB22" i="4"/>
  <c r="AB21" i="4"/>
  <c r="AB20" i="4"/>
  <c r="AB19" i="4"/>
  <c r="AB18" i="4"/>
  <c r="AB17" i="4"/>
  <c r="AB16" i="4"/>
  <c r="AB15" i="4"/>
  <c r="AB14" i="4"/>
  <c r="AE35" i="4" l="1"/>
  <c r="AE36" i="4"/>
  <c r="AE34" i="4"/>
  <c r="AE33" i="4"/>
  <c r="AE32" i="4"/>
  <c r="AE31" i="4"/>
  <c r="AE30" i="4"/>
  <c r="AE29" i="4"/>
  <c r="AE28" i="4"/>
  <c r="AE26" i="4"/>
  <c r="AE27" i="4"/>
  <c r="AE25" i="4"/>
  <c r="AE24" i="4"/>
  <c r="AE23" i="4"/>
  <c r="AE22" i="4"/>
  <c r="AE21" i="4"/>
  <c r="AE20" i="4"/>
  <c r="AE19" i="4"/>
  <c r="AE18" i="4"/>
  <c r="AE16" i="4"/>
  <c r="AE17" i="4"/>
  <c r="AE14" i="4"/>
  <c r="AE15" i="4"/>
  <c r="AA15" i="4"/>
  <c r="S4" i="3"/>
  <c r="N6" i="4"/>
  <c r="N12" i="4"/>
  <c r="AA16" i="4" l="1"/>
  <c r="S5" i="3"/>
  <c r="AA17" i="4" l="1"/>
  <c r="AA14" i="3"/>
  <c r="J11" i="3"/>
  <c r="J10" i="3"/>
  <c r="J9" i="3"/>
  <c r="J8" i="3"/>
  <c r="J7" i="3"/>
  <c r="J6" i="3"/>
  <c r="AI14" i="3"/>
  <c r="AG14" i="3"/>
  <c r="AK14" i="3"/>
  <c r="AC14" i="3" l="1"/>
  <c r="AA18" i="4"/>
  <c r="AA15" i="3"/>
  <c r="S7" i="3"/>
  <c r="L14" i="3" s="1"/>
  <c r="S3" i="3"/>
  <c r="S2" i="3"/>
  <c r="AB14" i="3"/>
  <c r="AI15" i="3"/>
  <c r="AK15" i="3"/>
  <c r="AG15" i="3"/>
  <c r="N12" i="3"/>
  <c r="AB15" i="3"/>
  <c r="AC15" i="3" l="1"/>
  <c r="AE14" i="3"/>
  <c r="AA16" i="3"/>
  <c r="AA19" i="4"/>
  <c r="B2" i="3"/>
  <c r="C7" i="3"/>
  <c r="C6" i="3"/>
  <c r="C5" i="3"/>
  <c r="C4" i="3"/>
  <c r="AG16" i="3"/>
  <c r="AI16" i="3"/>
  <c r="AK16" i="3"/>
  <c r="AB16" i="3" s="1"/>
  <c r="N6" i="3"/>
  <c r="AC16" i="3" l="1"/>
  <c r="AE15" i="3"/>
  <c r="AA17" i="3"/>
  <c r="AA20" i="4"/>
  <c r="AG17" i="3"/>
  <c r="AI17" i="3"/>
  <c r="AK17" i="3"/>
  <c r="AB17" i="3" s="1"/>
  <c r="AC17" i="3" l="1"/>
  <c r="AE16" i="3"/>
  <c r="AA18" i="3"/>
  <c r="AA21" i="4"/>
  <c r="AA22" i="4" s="1"/>
  <c r="AA23" i="4" s="1"/>
  <c r="AA24" i="4" s="1"/>
  <c r="AA25" i="4" s="1"/>
  <c r="AA26" i="4" s="1"/>
  <c r="AA27" i="4" s="1"/>
  <c r="AA28" i="4" s="1"/>
  <c r="AA29" i="4" s="1"/>
  <c r="AA30" i="4" s="1"/>
  <c r="AA31" i="4" s="1"/>
  <c r="AA32" i="4" s="1"/>
  <c r="AA33" i="4" s="1"/>
  <c r="AA34" i="4" s="1"/>
  <c r="AA35" i="4" s="1"/>
  <c r="AA36" i="4" s="1"/>
  <c r="B8" i="2"/>
  <c r="B7" i="2"/>
  <c r="B6" i="2"/>
  <c r="AG18" i="3"/>
  <c r="AK18" i="3"/>
  <c r="AI18" i="3"/>
  <c r="AB18" i="3" s="1"/>
  <c r="AC18" i="3" l="1"/>
  <c r="AA19" i="3"/>
  <c r="AE17" i="3"/>
  <c r="B2" i="2"/>
  <c r="B4" i="2"/>
  <c r="AG19" i="3"/>
  <c r="AK19" i="3"/>
  <c r="AI19" i="3"/>
  <c r="AB19" i="3" s="1"/>
  <c r="AC19" i="3" l="1"/>
  <c r="AE18" i="3"/>
  <c r="AA20" i="3"/>
  <c r="C6" i="1"/>
  <c r="AG20" i="3"/>
  <c r="AK20" i="3"/>
  <c r="AI20" i="3"/>
  <c r="AB20" i="3" s="1"/>
  <c r="O9" i="4"/>
  <c r="O7" i="4"/>
  <c r="O8" i="4"/>
  <c r="N7" i="4"/>
  <c r="N10" i="4"/>
  <c r="N8" i="4"/>
  <c r="O10" i="4"/>
  <c r="AC20" i="3" l="1"/>
  <c r="AE20" i="3" s="1"/>
  <c r="AA21" i="3"/>
  <c r="AE19" i="3"/>
  <c r="N5" i="4"/>
  <c r="AI21" i="3"/>
  <c r="AK21" i="3"/>
  <c r="AG21" i="3"/>
  <c r="N9" i="4"/>
  <c r="O6" i="4"/>
  <c r="AB21" i="3"/>
  <c r="AC21" i="3" l="1"/>
  <c r="AA22" i="3"/>
  <c r="O5" i="4"/>
  <c r="AI22" i="3"/>
  <c r="AK22" i="3"/>
  <c r="AG22" i="3"/>
  <c r="AB22" i="3"/>
  <c r="AC22" i="3" l="1"/>
  <c r="AE22" i="3" s="1"/>
  <c r="AA23" i="3"/>
  <c r="AE21" i="3"/>
  <c r="AK23" i="3"/>
  <c r="AG23" i="3"/>
  <c r="AI23" i="3"/>
  <c r="AB23" i="3" s="1"/>
  <c r="AC23" i="3" l="1"/>
  <c r="AA24" i="3"/>
  <c r="O10" i="3"/>
  <c r="AE4" i="3" s="1"/>
  <c r="O7" i="3"/>
  <c r="O9" i="3"/>
  <c r="O8" i="3"/>
  <c r="AG24" i="3"/>
  <c r="AK24" i="3"/>
  <c r="AB24" i="3" s="1"/>
  <c r="AE7" i="3" l="1"/>
  <c r="AC24" i="3"/>
  <c r="AE23" i="3"/>
  <c r="AA25" i="3"/>
  <c r="AE6" i="3"/>
  <c r="N8" i="3"/>
  <c r="N10" i="3"/>
  <c r="AI25" i="3"/>
  <c r="AG25" i="3"/>
  <c r="AK25" i="3"/>
  <c r="AB25" i="3" s="1"/>
  <c r="AC25" i="3" l="1"/>
  <c r="AA26" i="3"/>
  <c r="AE24" i="3"/>
  <c r="AI26" i="3"/>
  <c r="AG26" i="3"/>
  <c r="AK26" i="3"/>
  <c r="AB26" i="3" s="1"/>
  <c r="N7" i="3"/>
  <c r="N5" i="3" l="1"/>
  <c r="AC26" i="3"/>
  <c r="AA27" i="3"/>
  <c r="AE25" i="3"/>
  <c r="AI27" i="3"/>
  <c r="AK27" i="3"/>
  <c r="AG27" i="3"/>
  <c r="AB27" i="3"/>
  <c r="AC27" i="3" l="1"/>
  <c r="AA28" i="3"/>
  <c r="AE26" i="3"/>
  <c r="AI28" i="3"/>
  <c r="AK28" i="3"/>
  <c r="AG28" i="3"/>
  <c r="AB28" i="3"/>
  <c r="AC28" i="3" l="1"/>
  <c r="AA29" i="3"/>
  <c r="AE27" i="3"/>
  <c r="AK29" i="3"/>
  <c r="AI29" i="3"/>
  <c r="AG29" i="3"/>
  <c r="AB29" i="3"/>
  <c r="AC29" i="3" l="1"/>
  <c r="AA30" i="3"/>
  <c r="AE28" i="3"/>
  <c r="AG30" i="3"/>
  <c r="AK30" i="3"/>
  <c r="AI30" i="3"/>
  <c r="AB30" i="3" s="1"/>
  <c r="AC30" i="3" l="1"/>
  <c r="AA31" i="3"/>
  <c r="AE29" i="3"/>
  <c r="AG31" i="3"/>
  <c r="AK31" i="3"/>
  <c r="AI31" i="3"/>
  <c r="AB31" i="3" s="1"/>
  <c r="AC31" i="3" l="1"/>
  <c r="AA32" i="3"/>
  <c r="AE30" i="3"/>
  <c r="AG32" i="3"/>
  <c r="AK32" i="3"/>
  <c r="AI32" i="3"/>
  <c r="AB32" i="3" s="1"/>
  <c r="AC32" i="3" l="1"/>
  <c r="AA33" i="3"/>
  <c r="AE31" i="3"/>
  <c r="AG33" i="3"/>
  <c r="AK33" i="3"/>
  <c r="AI33" i="3"/>
  <c r="AB33" i="3" s="1"/>
  <c r="AC33" i="3" l="1"/>
  <c r="AA34" i="3"/>
  <c r="AE32" i="3"/>
  <c r="AK34" i="3"/>
  <c r="AG34" i="3"/>
  <c r="AI34" i="3"/>
  <c r="AB34" i="3" s="1"/>
  <c r="AC34" i="3" l="1"/>
  <c r="AA35" i="3"/>
  <c r="AE33" i="3"/>
  <c r="AI35" i="3"/>
  <c r="AG35" i="3"/>
  <c r="AK35" i="3"/>
  <c r="AB35" i="3" s="1"/>
  <c r="AC35" i="3" l="1"/>
  <c r="AA36" i="3"/>
  <c r="AE34" i="3"/>
  <c r="AI36" i="3"/>
  <c r="AG36" i="3"/>
  <c r="AK36" i="3"/>
  <c r="AB36" i="3" s="1"/>
  <c r="AC36" i="3" l="1"/>
  <c r="AA37" i="3"/>
  <c r="AE35" i="3"/>
  <c r="AI37" i="3"/>
  <c r="AG37" i="3"/>
  <c r="AK37" i="3"/>
  <c r="AB37" i="3" s="1"/>
  <c r="AC37" i="3" l="1"/>
  <c r="AA38" i="3"/>
  <c r="AE36" i="3"/>
  <c r="AI38" i="3"/>
  <c r="AG38" i="3"/>
  <c r="AK38" i="3"/>
  <c r="AB38" i="3" s="1"/>
  <c r="AC38" i="3" l="1"/>
  <c r="AA39" i="3"/>
  <c r="AE37" i="3"/>
  <c r="AI39" i="3"/>
  <c r="AG39" i="3"/>
  <c r="AK39" i="3"/>
  <c r="AB39" i="3" s="1"/>
  <c r="AC39" i="3" l="1"/>
  <c r="AA40" i="3"/>
  <c r="AE38" i="3"/>
  <c r="AK40" i="3"/>
  <c r="AI40" i="3"/>
  <c r="AG40" i="3"/>
  <c r="AB40" i="3"/>
  <c r="AC40" i="3" l="1"/>
  <c r="AA41" i="3"/>
  <c r="AE39" i="3"/>
  <c r="AG41" i="3"/>
  <c r="AK41" i="3"/>
  <c r="AI41" i="3"/>
  <c r="AB41" i="3" s="1"/>
  <c r="AC41" i="3" l="1"/>
  <c r="AA42" i="3"/>
  <c r="AE40" i="3"/>
  <c r="AK42" i="3"/>
  <c r="AI42" i="3"/>
  <c r="AG42" i="3"/>
  <c r="AB42" i="3"/>
  <c r="AC42" i="3" l="1"/>
  <c r="AA43" i="3"/>
  <c r="AE41" i="3"/>
  <c r="AG43" i="3"/>
  <c r="AK43" i="3"/>
  <c r="AI43" i="3"/>
  <c r="AB43" i="3" s="1"/>
  <c r="AC43" i="3" l="1"/>
  <c r="AE42" i="3"/>
  <c r="N11" i="3"/>
  <c r="N9" i="3"/>
  <c r="O6" i="3"/>
  <c r="O5" i="3" l="1"/>
  <c r="AE43" i="3"/>
  <c r="N13" i="3"/>
  <c r="AE3" i="3"/>
  <c r="O1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A0A320-EEC2-4AE4-9513-43B30576414C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1385948B-7CF2-420E-8A43-960A1F7D920F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W15" authorId="0" shapeId="0" xr:uid="{0D55D67B-51D8-41B9-BC82-36042BCA0C58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W16" authorId="0" shapeId="0" xr:uid="{EBD48E9E-CAA4-4603-9F9C-4E6094773924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W17" authorId="0" shapeId="0" xr:uid="{09324A20-4EC5-4089-89A6-D951C474A390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W18" authorId="0" shapeId="0" xr:uid="{62DB7059-0875-415A-9869-07F11554D0D9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W19" authorId="0" shapeId="0" xr:uid="{482721C0-BEAC-4433-A315-8AE72B0B294F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W20" authorId="0" shapeId="0" xr:uid="{C305C3BA-F7CF-4CAA-94A2-1A808562C58B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W21" authorId="0" shapeId="0" xr:uid="{639F24C8-8254-4F34-B0A7-261665FDBC31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</commentList>
</comments>
</file>

<file path=xl/sharedStrings.xml><?xml version="1.0" encoding="utf-8"?>
<sst xmlns="http://schemas.openxmlformats.org/spreadsheetml/2006/main" count="182" uniqueCount="138">
  <si>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</si>
  <si>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</si>
  <si>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</si>
  <si>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</si>
  <si>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</si>
  <si>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</si>
  <si>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</si>
  <si>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</si>
  <si>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</si>
  <si>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</si>
  <si>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</si>
  <si>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</si>
  <si>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</si>
  <si>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</si>
  <si>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</si>
  <si>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</si>
  <si>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</si>
  <si>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</si>
  <si>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</si>
  <si>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</si>
  <si>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</si>
  <si>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</si>
  <si>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</si>
  <si>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</si>
  <si>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</si>
  <si>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</si>
  <si>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</si>
  <si>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</si>
  <si>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</si>
  <si>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</si>
  <si>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</si>
  <si>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</si>
  <si>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</si>
  <si>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</si>
  <si>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</si>
  <si>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</si>
  <si>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</si>
  <si>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</si>
  <si>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</si>
  <si>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</si>
  <si>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</si>
  <si>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</si>
  <si>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</si>
  <si>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</si>
  <si>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</si>
  <si>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</si>
  <si>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</si>
  <si>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</si>
  <si>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</si>
  <si>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</si>
  <si>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</si>
  <si>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</si>
  <si>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</si>
  <si>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</si>
  <si>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</si>
  <si>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</si>
  <si>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</si>
  <si>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</si>
  <si>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</si>
  <si>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</si>
  <si>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</si>
  <si>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</si>
  <si>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</si>
  <si>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</si>
  <si>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</si>
  <si>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</si>
  <si>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</si>
  <si>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</si>
  <si>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</si>
  <si>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</si>
  <si>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</si>
  <si>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</si>
  <si>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</si>
  <si>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</si>
  <si>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</si>
  <si>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</si>
  <si>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</si>
  <si>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</si>
  <si>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</si>
  <si>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</si>
  <si>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</si>
  <si>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</si>
  <si>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</si>
  <si>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</si>
  <si>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</si>
  <si>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</si>
  <si>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</si>
  <si>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</si>
  <si>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</si>
  <si>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</si>
  <si>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</si>
  <si>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Tuesday</t>
  </si>
  <si>
    <t>Last Report Date:</t>
  </si>
  <si>
    <t>Manual</t>
  </si>
  <si>
    <t>DANGER ZONE</t>
  </si>
  <si>
    <t>WP_A1</t>
  </si>
  <si>
    <t>WP_A2</t>
  </si>
  <si>
    <t>WA_A1</t>
  </si>
  <si>
    <t>WA_A2</t>
  </si>
  <si>
    <t>WP_A3</t>
  </si>
  <si>
    <t>WA_A3</t>
  </si>
  <si>
    <t>Annex Basement/Columns</t>
  </si>
  <si>
    <t>Annex Clear Story</t>
  </si>
  <si>
    <t>Annex Level 1</t>
  </si>
  <si>
    <t>Level 0.5 Basement</t>
  </si>
  <si>
    <t>West Stair Tower</t>
  </si>
  <si>
    <t>Assemble Addin</t>
  </si>
  <si>
    <t>West Stair Roof</t>
  </si>
  <si>
    <t>Level 2 Ceiling</t>
  </si>
  <si>
    <t>Basement Ceiling Upgrade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</si>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</sst>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2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0" fillId="0" borderId="21" applyNumberFormat="0" applyFill="0" applyAlignment="0" applyProtection="0"/>
  </cellStyleXfs>
  <cellXfs count="98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1" fillId="0" borderId="0" xfId="3" applyFont="1" applyFill="1" applyBorder="1"/>
    <xf numFmtId="0" fontId="19" fillId="0" borderId="19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4" fillId="6" borderId="1" xfId="2" applyFont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</cellXfs>
  <cellStyles count="4">
    <cellStyle name="Calculation" xfId="2" builtinId="22"/>
    <cellStyle name="Input" xfId="1" builtinId="20"/>
    <cellStyle name="Linked Cell" xfId="3" builtinId="24"/>
    <cellStyle name="Normal" xfId="0" builtinId="0"/>
  </cellStyles>
  <dxfs count="70">
    <dxf>
      <numFmt numFmtId="1" formatCode="0"/>
    </dxf>
    <dxf>
      <numFmt numFmtId="1" formatCode="0"/>
    </dxf>
    <dxf>
      <numFmt numFmtId="1" formatCode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B2BD7D4-2F69-4354-9640-8F3503BF34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A63EF0-E24E-486F-9A48-F3C923F922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95EA00-A644-4DEA-887B-60DC97AB20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3EC1751-F46D-4A39-A42A-E2716B3F83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ACD9DB-8870-4A7C-8513-05999206C3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FCAAB27-B4AE-4897-B88C-B5C55409F9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8B5596D-4971-4753-8104-BDDAA07E69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22198B4-E521-4D49-8197-5B057DDEB0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3243ECE-8406-47DD-BAB5-4377BE0B1D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674E04C-E2DF-4845-9BF1-165A0DDA38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4538AD-D220-4763-9323-49E1730B71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6F109DC-D755-4B8F-A193-916AAE4135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2E7EBBD-6192-43E8-A09B-B5C9021CE8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3FFF974-AF40-49CE-A2C4-828A500120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98C52D-BED3-46AA-8B3F-5AEA2208C8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624C0A8-B354-4200-BAE9-A171D6457B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05F402E-51A1-4D44-B5A4-4BDC46DBB8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4750CD2-1CD0-47A8-A342-02C164DBF0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C00DC7D-3401-4869-85C8-25A735133B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25E2022-46BC-46E9-801D-5EAF6F8940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836922C-1927-4849-A01B-533C1DBB88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92CA56F-0770-4F43-8CBB-3E20904321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B14996E-D6CF-477A-B8ED-AB35A8F547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0C1D052-FB61-4049-8C45-E8853D32A7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C8B86F0-0A8F-49B1-AEF1-73947BE5F7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25D93F1-16B0-4854-934E-683F6B2542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3F770ED-65A3-4259-A3A5-57B02D124D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1B2AE7D-A213-4B8B-804D-92EF3F5828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E280E8C-D13E-4E10-9F15-A374B137C8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C3B1B27-41D6-4AE1-9224-06C7C20979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85.714285714285708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342.85714285714283</c:v>
                </c:pt>
                <c:pt idx="8">
                  <c:v>0</c:v>
                </c:pt>
                <c:pt idx="9">
                  <c:v>109.09090909090909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483.25358851674639</c:v>
                </c:pt>
                <c:pt idx="19">
                  <c:v>535.88516746411483</c:v>
                </c:pt>
                <c:pt idx="20">
                  <c:v>481.33971291866027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157.89473684210526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85.714285714285708</c:v>
                </c:pt>
                <c:pt idx="1">
                  <c:v>514.28571428571422</c:v>
                </c:pt>
                <c:pt idx="2">
                  <c:v>942.85714285714278</c:v>
                </c:pt>
                <c:pt idx="3">
                  <c:v>1371.4285714285713</c:v>
                </c:pt>
                <c:pt idx="4">
                  <c:v>1800</c:v>
                </c:pt>
                <c:pt idx="5">
                  <c:v>2228.5714285714284</c:v>
                </c:pt>
                <c:pt idx="6">
                  <c:v>2657.1428571428569</c:v>
                </c:pt>
                <c:pt idx="7">
                  <c:v>2999.9999999999995</c:v>
                </c:pt>
                <c:pt idx="8">
                  <c:v>2999.9999999999995</c:v>
                </c:pt>
                <c:pt idx="9">
                  <c:v>3109.0909090909086</c:v>
                </c:pt>
                <c:pt idx="10">
                  <c:v>3327.2727272727266</c:v>
                </c:pt>
                <c:pt idx="11">
                  <c:v>3599.9999999999991</c:v>
                </c:pt>
                <c:pt idx="12">
                  <c:v>3872.7272727272721</c:v>
                </c:pt>
                <c:pt idx="13">
                  <c:v>4145.454545454545</c:v>
                </c:pt>
                <c:pt idx="14">
                  <c:v>4418.181818181818</c:v>
                </c:pt>
                <c:pt idx="15">
                  <c:v>4690.909090909091</c:v>
                </c:pt>
                <c:pt idx="16">
                  <c:v>4963.636363636364</c:v>
                </c:pt>
                <c:pt idx="17">
                  <c:v>5236.3636363636369</c:v>
                </c:pt>
                <c:pt idx="18">
                  <c:v>5719.6172248803832</c:v>
                </c:pt>
                <c:pt idx="19">
                  <c:v>6255.5023923444978</c:v>
                </c:pt>
                <c:pt idx="20">
                  <c:v>6736.8421052631584</c:v>
                </c:pt>
                <c:pt idx="21">
                  <c:v>7000</c:v>
                </c:pt>
                <c:pt idx="22">
                  <c:v>7263.1578947368416</c:v>
                </c:pt>
                <c:pt idx="23">
                  <c:v>7526.3157894736833</c:v>
                </c:pt>
                <c:pt idx="24">
                  <c:v>7789.4736842105249</c:v>
                </c:pt>
                <c:pt idx="25">
                  <c:v>8052.6315789473665</c:v>
                </c:pt>
                <c:pt idx="26">
                  <c:v>8315.7894736842081</c:v>
                </c:pt>
                <c:pt idx="27">
                  <c:v>8578.9473684210498</c:v>
                </c:pt>
                <c:pt idx="28">
                  <c:v>8842.1052631578914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E2789CF-4860-4CE1-B821-789D5FD732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F4CDA3-D4C1-4F1E-AFE4-AB918098C5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927DFF-7213-46A5-8B9A-C873692EFE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90A404-82A7-4B30-B5C5-771483E05D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24EDB54-D96D-4950-B0D2-8EE71D8F1D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2503CFC-36AE-4E08-AA3F-CE008EA561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8B082F0-59B6-4F27-AF6D-BB1E3CE14E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1A79B1A-27A3-4255-85F2-7F62FBB276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628A3E-EEAD-4804-AE3E-374D1964E2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80C638F-2D4C-4C5F-8358-F3F0410F6F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4605DFC-6CBE-46C2-8DE8-7F9217A324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F802738-7721-4C27-9F7E-025E9ADF7E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27B68DA-E13E-4707-A4CE-55EFEA54A4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F67A6CF-00F8-4663-BFB1-634BE518C5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99A256F-7375-4F49-A41D-5027F16E28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653B765-AD15-496E-A24F-C72F3486B1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9738001-2471-4180-BC51-EE5526A723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FD545C1-8B98-4CB1-B2D3-967ABBDAFD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C7E9D9-1061-4990-9A73-0C783EE5EC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47B0D79-B58B-4186-946E-26E4C4D065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D50D698-D1AA-447F-BD9A-C307CD9DE0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7D485BB-671E-4716-B9C7-41F0EC67B4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995DCBF-B4CE-496C-BAA6-56C348313B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74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82.36666666666666</c:v>
                </c:pt>
                <c:pt idx="10">
                  <c:v>126.67074829931971</c:v>
                </c:pt>
                <c:pt idx="11">
                  <c:v>92.176870748299308</c:v>
                </c:pt>
                <c:pt idx="12">
                  <c:v>75.843537414965979</c:v>
                </c:pt>
                <c:pt idx="13">
                  <c:v>176.71020408163264</c:v>
                </c:pt>
                <c:pt idx="14">
                  <c:v>199.51020408163265</c:v>
                </c:pt>
                <c:pt idx="15">
                  <c:v>66.310204081632648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14.204081632653061</c:v>
                </c:pt>
                <c:pt idx="21">
                  <c:v>13.333333333333334</c:v>
                </c:pt>
                <c:pt idx="22">
                  <c:v>6.666666666666667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148</c:v>
                </c:pt>
                <c:pt idx="2">
                  <c:v>148</c:v>
                </c:pt>
                <c:pt idx="3">
                  <c:v>148</c:v>
                </c:pt>
                <c:pt idx="4">
                  <c:v>148</c:v>
                </c:pt>
                <c:pt idx="5">
                  <c:v>148</c:v>
                </c:pt>
                <c:pt idx="6">
                  <c:v>148</c:v>
                </c:pt>
                <c:pt idx="7">
                  <c:v>160.08333333333334</c:v>
                </c:pt>
                <c:pt idx="8">
                  <c:v>172.16666666666669</c:v>
                </c:pt>
                <c:pt idx="9">
                  <c:v>254.53333333333336</c:v>
                </c:pt>
                <c:pt idx="10">
                  <c:v>381.20408163265307</c:v>
                </c:pt>
                <c:pt idx="11">
                  <c:v>473.38095238095241</c:v>
                </c:pt>
                <c:pt idx="12">
                  <c:v>549.22448979591843</c:v>
                </c:pt>
                <c:pt idx="13">
                  <c:v>725.93469387755113</c:v>
                </c:pt>
                <c:pt idx="14">
                  <c:v>925.44489795918378</c:v>
                </c:pt>
                <c:pt idx="15">
                  <c:v>991.75510204081638</c:v>
                </c:pt>
                <c:pt idx="16">
                  <c:v>1002.265306122449</c:v>
                </c:pt>
                <c:pt idx="17">
                  <c:v>1012.7755102040817</c:v>
                </c:pt>
                <c:pt idx="18">
                  <c:v>1023.2857142857143</c:v>
                </c:pt>
                <c:pt idx="19">
                  <c:v>1033.795918367347</c:v>
                </c:pt>
                <c:pt idx="20">
                  <c:v>1048</c:v>
                </c:pt>
                <c:pt idx="21">
                  <c:v>1061.3333333333333</c:v>
                </c:pt>
                <c:pt idx="22">
                  <c:v>1068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50054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69" dataDxfId="68">
  <autoFilter ref="R13:X16" xr:uid="{FF2C9E8B-1A62-479C-AF68-79B236C0B7BB}"/>
  <tableColumns count="7">
    <tableColumn id="1" xr3:uid="{727C6146-39EA-4E15-8783-53CAA87FAF36}" name="Zone ID" dataDxfId="67"/>
    <tableColumn id="2" xr3:uid="{2CA65110-6DD7-46D8-BFC2-5EB0C0E57567}" name="Description" dataDxfId="66"/>
    <tableColumn id="3" xr3:uid="{12D64F80-6A69-494F-BF8F-E326D34A185A}" name="Short Description" dataDxfId="65"/>
    <tableColumn id="4" xr3:uid="{71F3F5B2-8F6B-4985-B1FC-5A9D60095474}" name="Start Date" dataDxfId="64"/>
    <tableColumn id="5" xr3:uid="{57258378-8FED-4727-89AC-D938CB414B7B}" name="Finish Date" dataDxfId="63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62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61">
      <calculatedColumnFormula>IF(AA13 = "Date", $S$4, AA13+7)</calculatedColumnFormula>
    </tableColumn>
    <tableColumn id="6" xr3:uid="{5740AC03-CF53-4345-8667-6AC0CA6843D0}" name="Primary Areas" dataDxfId="60">
      <calculatedColumnFormula>PrimaryAreas(3)</calculatedColumnFormula>
    </tableColumn>
    <tableColumn id="2" xr3:uid="{AF232D3D-EC3F-4232-BA5D-1427173C2D6A}" name="Weekly Plan" dataDxfId="59">
      <calculatedColumnFormula xml:space="preserve"> IF(#REF!="", 0,#REF!)+ IF(#REF!="", 0,#REF!)+ IF(#REF!="", 0,#REF!)</calculatedColumnFormula>
    </tableColumn>
    <tableColumn id="3" xr3:uid="{B28103F6-7596-4848-9F0D-3E4A9E5CBEFE}" name="Weekly Actual" dataDxfId="58">
      <calculatedColumnFormula>IF(AND(ISBLANK(#REF!),ISBLANK(#REF!),ISBLANK(#REF!)),"",#REF! +#REF!+#REF!)</calculatedColumnFormula>
    </tableColumn>
    <tableColumn id="4" xr3:uid="{EF1C6009-71E6-491B-B64F-04049D2D9103}" name="Accumulated Plan" dataDxfId="57">
      <calculatedColumnFormula>SUM($AC$14:AC14)</calculatedColumnFormula>
    </tableColumn>
    <tableColumn id="5" xr3:uid="{442DAB73-1233-4C61-8DE9-3B44CE2C5D69}" name="Accumulated Actual" dataDxfId="56">
      <calculatedColumnFormula>IF(AD14="",NA(),SUM($AD$14:AD14))</calculatedColumnFormula>
    </tableColumn>
    <tableColumn id="43" xr3:uid="{CE31DBAF-57B0-4D4D-852A-B07516A73A41}" name="WP_A1" dataDxfId="2">
      <calculatedColumnFormula>WeeklyPlanned(Output_Template[[#Headers],[WP_A1]], Output_Template[[#This Row],[Date]])</calculatedColumnFormula>
    </tableColumn>
    <tableColumn id="44" xr3:uid="{A0857F89-2BC6-42D6-B02F-90D9272451CA}" name="WA_A1" dataDxfId="21"/>
    <tableColumn id="45" xr3:uid="{2A74D439-B21B-40DD-BB55-7D2C2B18629E}" name="WP_A2" dataDxfId="1">
      <calculatedColumnFormula>WeeklyPlanned(Output_Template[[#Headers],[WP_A2]], Output_Template[[#This Row],[Date]])</calculatedColumnFormula>
    </tableColumn>
    <tableColumn id="46" xr3:uid="{670DB326-434A-466C-9E3C-6A8FE180F21F}" name="WA_A2" dataDxfId="20"/>
    <tableColumn id="47" xr3:uid="{B6798EC6-DE2D-49BB-961E-220FED1F6F10}" name="WP_A3" dataDxfId="0">
      <calculatedColumnFormula>WeeklyPlanned(Output_Template[[#Headers],[WP_A3]], Output_Template[[#This Row],[Date]])</calculatedColumnFormula>
    </tableColumn>
    <tableColumn id="48" xr3:uid="{B2CB6DA2-6E53-4BAC-881B-229E451DFCE0}" name="WA_A3" dataDxfId="19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55">
  <autoFilter ref="H2:H5" xr:uid="{1041DC80-58D6-4308-9DE1-A4EC8AAD3C20}"/>
  <tableColumns count="1">
    <tableColumn id="1" xr3:uid="{0E6D3E77-7CB7-40A1-BCA6-DDC8164AAEB9}" name="Holidays" dataDxfId="54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53" dataDxfId="52">
  <autoFilter ref="R13:X21" xr:uid="{FF2C9E8B-1A62-479C-AF68-79B236C0B7BB}"/>
  <tableColumns count="7">
    <tableColumn id="1" xr3:uid="{5AA37268-DD16-498C-9169-AE2EA9DA526A}" name="Zone ID" dataDxfId="51"/>
    <tableColumn id="2" xr3:uid="{0E3A0621-3CBD-40FC-B7C1-86ED2397BCEE}" name="Description" dataDxfId="50"/>
    <tableColumn id="3" xr3:uid="{5A73CD5C-5126-40F4-B5B3-C7A438ED4F4F}" name="Short Description" dataDxfId="49"/>
    <tableColumn id="4" xr3:uid="{CDB025F5-BA1E-4D3D-9F16-1E7E8B24997A}" name="Start Date" dataDxfId="48"/>
    <tableColumn id="5" xr3:uid="{A32C4534-D094-4392-BDFF-D9E6184B332E}" name="Finish Date" dataDxfId="47"/>
    <tableColumn id="6" xr3:uid="{4EBF5FA0-D78E-4850-9053-2FD3D4DF8DDF}" name="Total" dataDxfId="46" dataCellStyle="Linked Cell"/>
    <tableColumn id="7" xr3:uid="{2024E4D3-6ED3-428B-AA0E-731077A47B05}" name="Completed Total" dataDxfId="45" dataCellStyle="Linked Cell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44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43">
      <calculatedColumnFormula>IF(AA13 = "Date", $S$4, AA13+7)</calculatedColumnFormula>
    </tableColumn>
    <tableColumn id="6" xr3:uid="{001A0E6C-64CB-4894-8C22-5853E33F6BB2}" name="Primary Areas" dataDxfId="42">
      <calculatedColumnFormula>PrimaryAreas(8)</calculatedColumnFormula>
    </tableColumn>
    <tableColumn id="2" xr3:uid="{1360E334-97F5-432E-BB23-793619A14458}" name="Weekly Plan" dataDxfId="41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40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39">
      <calculatedColumnFormula>SUM($AC$14:AC14)</calculatedColumnFormula>
    </tableColumn>
    <tableColumn id="5" xr3:uid="{1924FD4A-42CB-49CF-B4A5-079079B5D0F3}" name="Accumulated Actual" dataDxfId="38">
      <calculatedColumnFormula>IF(AD14="",NA(),SUM($AD$14:AD14))</calculatedColumnFormula>
    </tableColumn>
    <tableColumn id="23" xr3:uid="{9D909FAC-40FF-4109-8EAE-74DFABFF8319}" name="WP_ABC" dataDxfId="29">
      <calculatedColumnFormula>WeeklyPlanned(Output_0000[[#Headers],[WP_ABC]], Output_0000[[#This Row],[Date]])</calculatedColumnFormula>
    </tableColumn>
    <tableColumn id="24" xr3:uid="{92ADE5B7-CAEC-41A0-B928-8F7F4344FE26}" name="WA_ABC" dataDxfId="37"/>
    <tableColumn id="25" xr3:uid="{F7FD9E19-6CFF-44A1-AF87-237747B65D1E}" name="WP_ACS" dataDxfId="28">
      <calculatedColumnFormula>WeeklyPlanned(Output_0000[[#Headers],[WP_ACS]], Output_0000[[#This Row],[Date]])</calculatedColumnFormula>
    </tableColumn>
    <tableColumn id="26" xr3:uid="{1FD6096E-155A-48FA-BF57-ABEB209A76A8}" name="WA_ACS" dataDxfId="36"/>
    <tableColumn id="27" xr3:uid="{C32CB5E4-987A-4E05-BFD2-AD1BA55323A7}" name="WP_AL1" dataDxfId="27">
      <calculatedColumnFormula>WeeklyPlanned(Output_0000[[#Headers],[WP_AL1]], Output_0000[[#This Row],[Date]])</calculatedColumnFormula>
    </tableColumn>
    <tableColumn id="28" xr3:uid="{741EC55D-ACF8-45FE-B760-246C2984AB76}" name="WA_AL1" dataDxfId="35"/>
    <tableColumn id="29" xr3:uid="{02D5C536-D7AB-4845-AF46-BA557A0711BE}" name="WP_HBase" dataDxfId="26">
      <calculatedColumnFormula>WeeklyPlanned(Output_0000[[#Headers],[WP_HBase]], Output_0000[[#This Row],[Date]])</calculatedColumnFormula>
    </tableColumn>
    <tableColumn id="30" xr3:uid="{6CFFBF9B-4C23-4C48-B9B4-2C3A9A72CE8C}" name="WA_HBase" dataDxfId="34"/>
    <tableColumn id="31" xr3:uid="{27A2EB7B-E3EA-47B1-A3F2-FFBF58F06F0D}" name="WP_HWST" dataDxfId="25">
      <calculatedColumnFormula>WeeklyPlanned(Output_0000[[#Headers],[WP_HWST]], Output_0000[[#This Row],[Date]])</calculatedColumnFormula>
    </tableColumn>
    <tableColumn id="32" xr3:uid="{1F1D10B3-084B-4075-8E04-CBCE81737E69}" name="WA_HWST" dataDxfId="33"/>
    <tableColumn id="33" xr3:uid="{127722D0-80A4-4F75-9175-6D2C54EBC191}" name="WP_HWSR" dataDxfId="24">
      <calculatedColumnFormula>WeeklyPlanned(Output_0000[[#Headers],[WP_HWSR]], Output_0000[[#This Row],[Date]])</calculatedColumnFormula>
    </tableColumn>
    <tableColumn id="34" xr3:uid="{ED1A96FC-35C0-4018-81E1-B3B51101AB44}" name="WA_HWSR" dataDxfId="32"/>
    <tableColumn id="35" xr3:uid="{584725E1-3456-4D62-8919-994293AB89D3}" name="WP_HL2" dataDxfId="23">
      <calculatedColumnFormula>WeeklyPlanned(Output_0000[[#Headers],[WP_HL2]], Output_0000[[#This Row],[Date]])</calculatedColumnFormula>
    </tableColumn>
    <tableColumn id="36" xr3:uid="{0D58AE03-CEC6-4352-9275-206C438024A6}" name="WA_HL2" dataDxfId="31"/>
    <tableColumn id="37" xr3:uid="{76718DA7-C2F0-424A-9855-A1F7A4401A40}" name="WP_HBCeil" dataDxfId="22">
      <calculatedColumnFormula>WeeklyPlanned(Output_0000[[#Headers],[WP_HBCeil]], Output_0000[[#This Row],[Date]])</calculatedColumnFormula>
    </tableColumn>
    <tableColumn id="38" xr3:uid="{DF9E8E0F-9F93-4E51-85D2-94DDAA517F51}" name="WA_HBCeil" dataDxfId="3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9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8.xml"/><Relationship Id="rId9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zoomScale="85" zoomScaleNormal="85" workbookViewId="0">
      <selection activeCell="S23" sqref="S23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69" t="s">
        <v>94</v>
      </c>
      <c r="AB1" s="70"/>
    </row>
    <row r="2" spans="2:39" x14ac:dyDescent="0.3">
      <c r="B2" s="80" t="str">
        <f>_xlfn.CONCAT("PROGRESS REPORT ", TEXT(S3,"mm/dd/yyyy"))</f>
        <v>PROGRESS REPORT 05/26/2020</v>
      </c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2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71</v>
      </c>
      <c r="U2" s="34" t="b">
        <v>1</v>
      </c>
      <c r="AA2" s="60"/>
      <c r="AB2" s="61"/>
    </row>
    <row r="3" spans="2:39" x14ac:dyDescent="0.3">
      <c r="B3" s="83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5"/>
      <c r="R3" s="24" t="s">
        <v>18</v>
      </c>
      <c r="S3" s="27">
        <f>Report_Date</f>
        <v>43977</v>
      </c>
      <c r="T3" s="24" t="s">
        <v>72</v>
      </c>
      <c r="U3" s="34" t="b">
        <v>1</v>
      </c>
      <c r="AA3" s="60"/>
      <c r="AB3" s="61"/>
      <c r="AC3" s="94">
        <v>43993.726458333331</v>
      </c>
      <c r="AE3" s="45">
        <f ca="1">IF($O$5&gt;0.999, "Completed", WORKDAY($S$3, ROUNDUP((SUM(Input_Template[Total])-(INDIRECT("AF"&amp;MATCH($S$3, Output_Template[Date],0)+13)))/($O$10/COUNTIF($U$2:$U$8, TRUE)),0), Holidays_Table[Holidays]))</f>
        <v>44111</v>
      </c>
      <c r="AF3" s="94"/>
    </row>
    <row r="4" spans="2:39" ht="15" x14ac:dyDescent="0.3">
      <c r="B4" s="28" t="s">
        <v>49</v>
      </c>
      <c r="C4" s="86" t="str">
        <f>Project_Name</f>
        <v>Westland Super Cool Project</v>
      </c>
      <c r="D4" s="86"/>
      <c r="E4" s="86"/>
      <c r="F4" s="86"/>
      <c r="G4" s="86"/>
      <c r="H4" s="86"/>
      <c r="I4" s="86"/>
      <c r="J4" s="87" t="s">
        <v>50</v>
      </c>
      <c r="K4" s="87"/>
      <c r="L4" s="87"/>
      <c r="M4" s="87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73</v>
      </c>
      <c r="U4" s="34" t="b">
        <v>1</v>
      </c>
      <c r="AA4" s="60"/>
      <c r="AB4" s="61"/>
      <c r="AC4" s="94">
        <v>43993.726909722223</v>
      </c>
      <c r="AE4" s="45">
        <f ca="1">WORKDAY($S$3, ROUNDUP((SUM(Input_Template[Total])-(INDIRECT("AF"&amp;MATCH($S$3, Output_Template[Date],0)+13)))/($O$10/COUNTIF($U$2:$U$8, TRUE)),0), Holidays_Table[Holidays])</f>
        <v>44111</v>
      </c>
      <c r="AF4" s="94"/>
    </row>
    <row r="5" spans="2:39" ht="15" x14ac:dyDescent="0.3">
      <c r="B5" s="28" t="s">
        <v>53</v>
      </c>
      <c r="C5" s="86" t="str">
        <f>Project_Number</f>
        <v>S000</v>
      </c>
      <c r="D5" s="86"/>
      <c r="E5" s="86"/>
      <c r="F5" s="86"/>
      <c r="G5" s="86"/>
      <c r="H5" s="86"/>
      <c r="I5" s="86"/>
      <c r="J5" s="79" t="s">
        <v>54</v>
      </c>
      <c r="K5" s="79"/>
      <c r="L5" s="79"/>
      <c r="M5" s="79"/>
      <c r="N5" s="32">
        <f ca="1">IF(ISERROR(N7/N6), 0, N7/N6)</f>
        <v>0.36969696969696964</v>
      </c>
      <c r="O5" s="33">
        <f ca="1">IF(ISERROR(O7/O6), 0, O7/O6)</f>
        <v>0.35000000000000014</v>
      </c>
      <c r="R5" s="24" t="s">
        <v>92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74</v>
      </c>
      <c r="U5" s="34" t="b">
        <v>1</v>
      </c>
      <c r="AA5" s="60"/>
      <c r="AB5" s="61"/>
    </row>
    <row r="6" spans="2:39" ht="15" x14ac:dyDescent="0.3">
      <c r="B6" s="28" t="s">
        <v>55</v>
      </c>
      <c r="C6" s="86" t="str">
        <f>Main!C12</f>
        <v>XYZ Corp</v>
      </c>
      <c r="D6" s="86"/>
      <c r="E6" s="86"/>
      <c r="F6" s="86"/>
      <c r="G6" s="86"/>
      <c r="H6" s="86"/>
      <c r="I6" s="86"/>
      <c r="J6" s="79" t="str">
        <f>_xlfn.CONCAT("Overall Totals (", IF(ISBLANK($S$6),"",$S$6), ")")</f>
        <v>Overall Totals (SF)</v>
      </c>
      <c r="K6" s="79"/>
      <c r="L6" s="79"/>
      <c r="M6" s="79"/>
      <c r="N6" s="35">
        <f ca="1">SUM(INDIRECT("Input_"&amp;$S$2&amp;"[Total]"))</f>
        <v>9000</v>
      </c>
      <c r="O6" s="36">
        <f ca="1">SUM(INDIRECT("Output_"&amp;$S$2&amp;"[Weekly Plan]"))</f>
        <v>8999.9999999999964</v>
      </c>
      <c r="R6" s="24" t="s">
        <v>63</v>
      </c>
      <c r="S6" s="26" t="s">
        <v>64</v>
      </c>
      <c r="T6" s="24" t="s">
        <v>75</v>
      </c>
      <c r="U6" s="34" t="b">
        <v>1</v>
      </c>
      <c r="AA6" s="60"/>
      <c r="AB6" s="61"/>
      <c r="AE6" s="8">
        <f ca="1">ROUNDUP((SUM(Input_Template[Total])-(INDIRECT("AF"&amp;MATCH($S$3, Output_Template[Date],0)+13)))/($O$10/COUNTIF($U$2:$U$8, TRUE)),0)</f>
        <v>96</v>
      </c>
    </row>
    <row r="7" spans="2:39" ht="15.5" thickBot="1" x14ac:dyDescent="0.35">
      <c r="B7" s="28" t="s">
        <v>56</v>
      </c>
      <c r="C7" s="86" t="str">
        <f>RIGHT(Main!B13, LEN(Main!B13) - 4)</f>
        <v>Foundation Walls</v>
      </c>
      <c r="D7" s="86"/>
      <c r="E7" s="86"/>
      <c r="F7" s="86"/>
      <c r="G7" s="86"/>
      <c r="H7" s="86"/>
      <c r="I7" s="86"/>
      <c r="J7" s="79" t="str">
        <f>_xlfn.CONCAT("Overall Completed Totals (", IF(ISBLANK($S$6),"",$S$6), ")")</f>
        <v>Overall Completed Totals (SF)</v>
      </c>
      <c r="K7" s="79"/>
      <c r="L7" s="79"/>
      <c r="M7" s="79"/>
      <c r="N7" s="35">
        <f ca="1">VLOOKUP($S$3, INDIRECT("Output_"&amp;$S$2), 5, FALSE)</f>
        <v>3327.2727272727266</v>
      </c>
      <c r="O7" s="36">
        <f ca="1">_xlfn.IFNA(VLOOKUP($S$3, INDIRECT("Output_"&amp;$S$2), 6, FALSE), 0)</f>
        <v>3150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  <c r="AA7" s="62"/>
      <c r="AB7" s="63"/>
      <c r="AC7" s="8" t="str">
        <f>TEXT(AC4-AC3, "hh:mm:ss")</f>
        <v>00:00:39</v>
      </c>
      <c r="AD7" s="8">
        <f>COUNTIF($U$2:$U$8, TRUE)</f>
        <v>5</v>
      </c>
      <c r="AE7" s="8">
        <f ca="1">$O$10/COUNTIF($U$2:$U$8, TRUE)</f>
        <v>61.25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79" t="str">
        <f>_xlfn.CONCAT("This Week's Production (", IF(ISBLANK($S$6),"",$S$6), ")")</f>
        <v>This Week's Production (SF)</v>
      </c>
      <c r="K8" s="79"/>
      <c r="L8" s="79"/>
      <c r="M8" s="79"/>
      <c r="N8" s="35">
        <f ca="1">VLOOKUP($S$3, INDIRECT("Output_"&amp;$S$2), 3, FALSE)</f>
        <v>218.18181818181819</v>
      </c>
      <c r="O8" s="36">
        <f ca="1">VLOOKUP($S$3, INDIRECT("Output_"&amp;$S$2), 4, FALSE)</f>
        <v>200</v>
      </c>
      <c r="R8" s="24" t="s">
        <v>62</v>
      </c>
      <c r="S8" s="26" t="s">
        <v>93</v>
      </c>
      <c r="T8" s="24" t="s">
        <v>77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79" t="str">
        <f>_xlfn.CONCAT("Weekly Average (", IF(ISBLANK($S$6),"",$S$6), ")")</f>
        <v>Weekly Average (SF)</v>
      </c>
      <c r="K9" s="79"/>
      <c r="L9" s="79"/>
      <c r="M9" s="79"/>
      <c r="N9" s="39">
        <f ca="1">AVERAGE(INDIRECT("Output_"&amp;$S$2&amp;"[Weekly Plan]"))</f>
        <v>299.99999999999989</v>
      </c>
      <c r="O9" s="40">
        <f ca="1">AVERAGE(INDIRECT("AD14:AD" &amp;MATCH($S$3,INDIRECT("Output_"&amp;$S$2&amp;"[Date]"),0)+14))</f>
        <v>286.36363636363637</v>
      </c>
      <c r="T9" s="24" t="s">
        <v>136</v>
      </c>
      <c r="U9" s="34"/>
      <c r="AB9" s="97">
        <f ca="1">(AC9-AD9)/(AD10-AC10)</f>
        <v>307.89473684210526</v>
      </c>
      <c r="AC9" s="8">
        <f>SUM(Input_Template[Total])</f>
        <v>9000</v>
      </c>
      <c r="AD9" s="8">
        <f ca="1">INDIRECT("AF"&amp;MATCH($S$3, Output_Template[Date],0)+13)</f>
        <v>3150</v>
      </c>
      <c r="AE9" s="8">
        <f ca="1">SUM(Input_Template[Total])-(INDIRECT("AF"&amp;MATCH($S$3, Output_Template[Date],0)+13))</f>
        <v>5850</v>
      </c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79" t="str">
        <f>_xlfn.CONCAT("Average Past 4 Weeks (", IF(ISBLANK($S$6),"",$S$6), ")")</f>
        <v>Average Past 4 Weeks (SF)</v>
      </c>
      <c r="K10" s="79"/>
      <c r="L10" s="79"/>
      <c r="M10" s="79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167.53246753246754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306.25</v>
      </c>
      <c r="T10" s="24" t="s">
        <v>137</v>
      </c>
      <c r="U10" s="92"/>
      <c r="AB10" s="96">
        <f>AD10-AC10</f>
        <v>19</v>
      </c>
      <c r="AC10" s="95">
        <f>MATCH($S$3, Output_Template[Date],0)+13</f>
        <v>24</v>
      </c>
      <c r="AD10" s="93">
        <f>ROW(Output_Template[Weekly Plan])-1+ROWS(Output_Template[Weekly Plan])</f>
        <v>43</v>
      </c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79" t="str">
        <f>_xlfn.CONCAT("On Schedule Average (", IF(ISBLANK($S$6),"",$S$6), ")")</f>
        <v>On Schedule Average (SF)</v>
      </c>
      <c r="K11" s="79"/>
      <c r="L11" s="79"/>
      <c r="M11" s="79"/>
      <c r="N11" s="39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294.54545454545439</v>
      </c>
      <c r="O11" s="40">
        <f ca="1">IF($O$5&gt;0.998, "-", (SUM(Input_Template[Total])-INDIRECT("AF"&amp;MATCH($S$3, Output_Template[Date],0)+13))/(ROW(Output_Template[Weekly Plan])-1+ROWS(Output_Template[Weekly Plan])-(MATCH($S$3, Output_Template[Date],0)+13)))</f>
        <v>307.89473684210526</v>
      </c>
      <c r="AC11" s="93"/>
      <c r="AD11" s="93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71" t="s">
        <v>57</v>
      </c>
      <c r="K12" s="71"/>
      <c r="L12" s="71"/>
      <c r="M12" s="71"/>
      <c r="N12" s="72">
        <f ca="1">MAX(INDIRECT("Input_"&amp;$S$2&amp;"[Finish Date]"))</f>
        <v>44105</v>
      </c>
      <c r="O12" s="73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71" t="s">
        <v>58</v>
      </c>
      <c r="K13" s="71"/>
      <c r="L13" s="71"/>
      <c r="M13" s="71"/>
      <c r="N13" s="72">
        <f ca="1">IF($O$5&gt;0.999, "Completed", WORKDAY($S$3, ROUNDUP((SUM(Input_Template[Total])-(INDIRECT("AF"&amp;MATCH($S$3, Output_Template[Date],0)+13)))/($O$10/COUNTIF($U$2:$U$8, TRUE)),0), Holidays_Table[Holidays]))</f>
        <v>44111</v>
      </c>
      <c r="O13" s="74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6" t="s">
        <v>84</v>
      </c>
      <c r="AC13" t="s">
        <v>80</v>
      </c>
      <c r="AD13" t="s">
        <v>81</v>
      </c>
      <c r="AE13" t="s">
        <v>82</v>
      </c>
      <c r="AF13" t="s">
        <v>83</v>
      </c>
      <c r="AG13" s="64" t="s">
        <v>95</v>
      </c>
      <c r="AH13" s="64" t="s">
        <v>97</v>
      </c>
      <c r="AI13" s="64" t="s">
        <v>96</v>
      </c>
      <c r="AJ13" s="64" t="s">
        <v>98</v>
      </c>
      <c r="AK13" s="64" t="s">
        <v>99</v>
      </c>
      <c r="AL13" s="64" t="s">
        <v>100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5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5"/>
      <c r="N14" s="75"/>
      <c r="O14" s="76"/>
      <c r="R14" s="43" t="s">
        <v>88</v>
      </c>
      <c r="S14" s="44"/>
      <c r="T14" s="44" t="s">
        <v>85</v>
      </c>
      <c r="U14" s="45">
        <v>43905</v>
      </c>
      <c r="V14" s="45">
        <v>43952</v>
      </c>
      <c r="W14" s="8">
        <v>3000</v>
      </c>
      <c r="X14" s="8">
        <v>2600</v>
      </c>
      <c r="AA14" s="54">
        <f t="shared" ref="AA14:AA15" si="0">IF(AA13 = "Date", $S$4, AA13+7)</f>
        <v>43907</v>
      </c>
      <c r="AB14" s="56" t="str">
        <f ca="1">PrimaryAreas(3)</f>
        <v>A1</v>
      </c>
      <c r="AC1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85.714285714285708</v>
      </c>
      <c r="AD1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8">
        <f ca="1">SUM($AC$14:AC14)</f>
        <v>85.714285714285708</v>
      </c>
      <c r="AF14" s="58">
        <f>IF(AD14="",NA(),SUM($AD$14:AD14))</f>
        <v>300</v>
      </c>
      <c r="AG14" s="58">
        <f ca="1">WeeklyPlanned(Output_Template[[#Headers],[WP_A1]], Output_Template[[#This Row],[Date]])</f>
        <v>85.714285714285708</v>
      </c>
      <c r="AH14" s="58">
        <v>300</v>
      </c>
      <c r="AI14" s="58" t="str">
        <f ca="1">WeeklyPlanned(Output_Template[[#Headers],[WP_A2]], Output_Template[[#This Row],[Date]])</f>
        <v/>
      </c>
      <c r="AJ14" s="58"/>
      <c r="AK14" s="58" t="str">
        <f ca="1">WeeklyPlanned(Output_Template[[#Headers],[WP_A3]], Output_Template[[#This Row],[Date]])</f>
        <v/>
      </c>
      <c r="AL14" s="58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77"/>
      <c r="M15" s="77"/>
      <c r="N15" s="77"/>
      <c r="O15" s="78"/>
      <c r="R15" s="43" t="s">
        <v>89</v>
      </c>
      <c r="S15" s="44"/>
      <c r="T15" s="44" t="s">
        <v>86</v>
      </c>
      <c r="U15" s="45">
        <v>43966</v>
      </c>
      <c r="V15" s="45">
        <v>44044</v>
      </c>
      <c r="W15" s="8">
        <v>3000</v>
      </c>
      <c r="X15" s="8">
        <v>550</v>
      </c>
      <c r="AA15" s="54">
        <f t="shared" si="0"/>
        <v>43914</v>
      </c>
      <c r="AB15" s="56" t="str">
        <f ca="1">PrimaryAreas(3)</f>
        <v>A1</v>
      </c>
      <c r="AC1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8">
        <f ca="1">SUM($AC$14:AC15)</f>
        <v>514.28571428571422</v>
      </c>
      <c r="AF15" s="58">
        <f>IF(AD15="",NA(),SUM($AD$14:AD15))</f>
        <v>550</v>
      </c>
      <c r="AG15" s="58">
        <f ca="1">WeeklyPlanned(Output_Template[[#Headers],[WP_A1]], Output_Template[[#This Row],[Date]])</f>
        <v>428.57142857142856</v>
      </c>
      <c r="AH15" s="58">
        <v>250</v>
      </c>
      <c r="AI15" s="58" t="str">
        <f ca="1">WeeklyPlanned(Output_Template[[#Headers],[WP_A2]], Output_Template[[#This Row],[Date]])</f>
        <v/>
      </c>
      <c r="AJ15" s="58"/>
      <c r="AK15" s="58" t="str">
        <f ca="1">WeeklyPlanned(Output_Template[[#Headers],[WP_A3]], Output_Template[[#This Row],[Date]])</f>
        <v/>
      </c>
      <c r="AL15" s="58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90</v>
      </c>
      <c r="S16" s="44"/>
      <c r="T16" s="44" t="s">
        <v>87</v>
      </c>
      <c r="U16" s="45">
        <v>44027</v>
      </c>
      <c r="V16" s="45">
        <v>44105</v>
      </c>
      <c r="W16" s="8">
        <v>3000</v>
      </c>
      <c r="AA16" s="54">
        <f>IF(AA15 = "Date", $S$4, AA15+7)</f>
        <v>43921</v>
      </c>
      <c r="AB16" s="56" t="str">
        <f ca="1">PrimaryAreas(3)</f>
        <v>A1</v>
      </c>
      <c r="AC1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8">
        <f ca="1">SUM($AC$14:AC16)</f>
        <v>942.85714285714278</v>
      </c>
      <c r="AF16" s="58">
        <f>IF(AD16="",NA(),SUM($AD$14:AD16))</f>
        <v>800</v>
      </c>
      <c r="AG16" s="58">
        <f ca="1">WeeklyPlanned(Output_Template[[#Headers],[WP_A1]], Output_Template[[#This Row],[Date]])</f>
        <v>428.57142857142856</v>
      </c>
      <c r="AH16" s="58">
        <v>250</v>
      </c>
      <c r="AI16" s="58" t="str">
        <f ca="1">WeeklyPlanned(Output_Template[[#Headers],[WP_A2]], Output_Template[[#This Row],[Date]])</f>
        <v/>
      </c>
      <c r="AJ16" s="58"/>
      <c r="AK16" s="58" t="str">
        <f ca="1">WeeklyPlanned(Output_Template[[#Headers],[WP_A3]], Output_Template[[#This Row],[Date]])</f>
        <v/>
      </c>
      <c r="AL16" s="58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>IF(AA16 = "Date", $S$4, AA16+7)</f>
        <v>43928</v>
      </c>
      <c r="AB17" s="56" t="str">
        <f ca="1">PrimaryAreas(3)</f>
        <v>A1</v>
      </c>
      <c r="AC1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8">
        <f ca="1">SUM($AC$14:AC17)</f>
        <v>1371.4285714285713</v>
      </c>
      <c r="AF17" s="58">
        <f>IF(AD17="",NA(),SUM($AD$14:AD17))</f>
        <v>1050</v>
      </c>
      <c r="AG17" s="58">
        <f ca="1">WeeklyPlanned(Output_Template[[#Headers],[WP_A1]], Output_Template[[#This Row],[Date]])</f>
        <v>428.57142857142856</v>
      </c>
      <c r="AH17" s="58">
        <v>250</v>
      </c>
      <c r="AI17" s="58" t="str">
        <f ca="1">WeeklyPlanned(Output_Template[[#Headers],[WP_A2]], Output_Template[[#This Row],[Date]])</f>
        <v/>
      </c>
      <c r="AJ17" s="58"/>
      <c r="AK17" s="58" t="str">
        <f ca="1">WeeklyPlanned(Output_Template[[#Headers],[WP_A3]], Output_Template[[#This Row],[Date]])</f>
        <v/>
      </c>
      <c r="AL17" s="58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>IF(AA17 = "Date", $S$4, AA17+7)</f>
        <v>43935</v>
      </c>
      <c r="AB18" s="56" t="str">
        <f ca="1">PrimaryAreas(3)</f>
        <v>A1</v>
      </c>
      <c r="AC1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8">
        <f ca="1">SUM($AC$14:AC18)</f>
        <v>1800</v>
      </c>
      <c r="AF18" s="58">
        <f>IF(AD18="",NA(),SUM($AD$14:AD18))</f>
        <v>1300</v>
      </c>
      <c r="AG18" s="58">
        <f ca="1">WeeklyPlanned(Output_Template[[#Headers],[WP_A1]], Output_Template[[#This Row],[Date]])</f>
        <v>428.57142857142856</v>
      </c>
      <c r="AH18" s="58">
        <v>250</v>
      </c>
      <c r="AI18" s="58" t="str">
        <f ca="1">WeeklyPlanned(Output_Template[[#Headers],[WP_A2]], Output_Template[[#This Row],[Date]])</f>
        <v/>
      </c>
      <c r="AJ18" s="58"/>
      <c r="AK18" s="58" t="str">
        <f ca="1">WeeklyPlanned(Output_Template[[#Headers],[WP_A3]], Output_Template[[#This Row],[Date]])</f>
        <v/>
      </c>
      <c r="AL18" s="58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>IF(AA18 = "Date", $S$4, AA18+7)</f>
        <v>43942</v>
      </c>
      <c r="AB19" s="56" t="str">
        <f ca="1">PrimaryAreas(3)</f>
        <v>A1</v>
      </c>
      <c r="AC1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8">
        <f ca="1">SUM($AC$14:AC19)</f>
        <v>2228.5714285714284</v>
      </c>
      <c r="AF19" s="58">
        <f>IF(AD19="",NA(),SUM($AD$14:AD19))</f>
        <v>1550</v>
      </c>
      <c r="AG19" s="58">
        <f ca="1">WeeklyPlanned(Output_Template[[#Headers],[WP_A1]], Output_Template[[#This Row],[Date]])</f>
        <v>428.57142857142856</v>
      </c>
      <c r="AH19" s="58">
        <v>250</v>
      </c>
      <c r="AI19" s="58" t="str">
        <f ca="1">WeeklyPlanned(Output_Template[[#Headers],[WP_A2]], Output_Template[[#This Row],[Date]])</f>
        <v/>
      </c>
      <c r="AJ19" s="58"/>
      <c r="AK19" s="58" t="str">
        <f ca="1">WeeklyPlanned(Output_Template[[#Headers],[WP_A3]], Output_Template[[#This Row],[Date]])</f>
        <v/>
      </c>
      <c r="AL19" s="58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>IF(AA19 = "Date", $S$4, AA19+7)</f>
        <v>43949</v>
      </c>
      <c r="AB20" s="56" t="str">
        <f ca="1">PrimaryAreas(3)</f>
        <v>A1</v>
      </c>
      <c r="AC2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8">
        <f ca="1">SUM($AC$14:AC20)</f>
        <v>2657.1428571428569</v>
      </c>
      <c r="AF20" s="58">
        <f>IF(AD20="",NA(),SUM($AD$14:AD20))</f>
        <v>1925</v>
      </c>
      <c r="AG20" s="58">
        <f ca="1">WeeklyPlanned(Output_Template[[#Headers],[WP_A1]], Output_Template[[#This Row],[Date]])</f>
        <v>428.57142857142856</v>
      </c>
      <c r="AH20" s="58">
        <v>250</v>
      </c>
      <c r="AI20" s="58" t="str">
        <f ca="1">WeeklyPlanned(Output_Template[[#Headers],[WP_A2]], Output_Template[[#This Row],[Date]])</f>
        <v/>
      </c>
      <c r="AJ20" s="58">
        <v>125</v>
      </c>
      <c r="AK20" s="58" t="str">
        <f ca="1">WeeklyPlanned(Output_Template[[#Headers],[WP_A3]], Output_Template[[#This Row],[Date]])</f>
        <v/>
      </c>
      <c r="AL20" s="58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>IF(AA20 = "Date", $S$4, AA20+7)</f>
        <v>43956</v>
      </c>
      <c r="AB21" s="56" t="str">
        <f ca="1">PrimaryAreas(3)</f>
        <v>A1</v>
      </c>
      <c r="AC2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342.85714285714283</v>
      </c>
      <c r="AD21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8">
        <f ca="1">SUM($AC$14:AC21)</f>
        <v>2999.9999999999995</v>
      </c>
      <c r="AF21" s="58">
        <f>IF(AD21="",NA(),SUM($AD$14:AD21))</f>
        <v>2300</v>
      </c>
      <c r="AG21" s="58">
        <f ca="1">WeeklyPlanned(Output_Template[[#Headers],[WP_A1]], Output_Template[[#This Row],[Date]])</f>
        <v>342.85714285714283</v>
      </c>
      <c r="AH21" s="58">
        <v>250</v>
      </c>
      <c r="AI21" s="58" t="str">
        <f ca="1">WeeklyPlanned(Output_Template[[#Headers],[WP_A2]], Output_Template[[#This Row],[Date]])</f>
        <v/>
      </c>
      <c r="AJ21" s="58">
        <v>125</v>
      </c>
      <c r="AK21" s="58" t="str">
        <f ca="1">WeeklyPlanned(Output_Template[[#Headers],[WP_A3]], Output_Template[[#This Row],[Date]])</f>
        <v/>
      </c>
      <c r="AL21" s="58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>IF(AA21 = "Date", $S$4, AA21+7)</f>
        <v>43963</v>
      </c>
      <c r="AB22" s="56">
        <f ca="1">PrimaryAreas(3)</f>
        <v>0</v>
      </c>
      <c r="AC2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8">
        <f ca="1">SUM($AC$14:AC22)</f>
        <v>2999.9999999999995</v>
      </c>
      <c r="AF22" s="58">
        <f>IF(AD22="",NA(),SUM($AD$14:AD22))</f>
        <v>2675</v>
      </c>
      <c r="AG22" s="58" t="str">
        <f ca="1">WeeklyPlanned(Output_Template[[#Headers],[WP_A1]], Output_Template[[#This Row],[Date]])</f>
        <v/>
      </c>
      <c r="AH22" s="58">
        <v>250</v>
      </c>
      <c r="AI22" s="58" t="str">
        <f ca="1">WeeklyPlanned(Output_Template[[#Headers],[WP_A2]], Output_Template[[#This Row],[Date]])</f>
        <v/>
      </c>
      <c r="AJ22" s="58">
        <v>125</v>
      </c>
      <c r="AK22" s="58" t="str">
        <f ca="1">WeeklyPlanned(Output_Template[[#Headers],[WP_A3]], Output_Template[[#This Row],[Date]])</f>
        <v/>
      </c>
      <c r="AL22" s="58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>IF(AA22 = "Date", $S$4, AA22+7)</f>
        <v>43970</v>
      </c>
      <c r="AB23" s="56" t="str">
        <f ca="1">PrimaryAreas(3)</f>
        <v>A2</v>
      </c>
      <c r="AC2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109.09090909090909</v>
      </c>
      <c r="AD23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8">
        <f ca="1">SUM($AC$14:AC23)</f>
        <v>3109.0909090909086</v>
      </c>
      <c r="AF23" s="58">
        <f>IF(AD23="",NA(),SUM($AD$14:AD23))</f>
        <v>2950</v>
      </c>
      <c r="AG23" s="58" t="str">
        <f ca="1">WeeklyPlanned(Output_Template[[#Headers],[WP_A1]], Output_Template[[#This Row],[Date]])</f>
        <v/>
      </c>
      <c r="AH23" s="58">
        <v>150</v>
      </c>
      <c r="AI23" s="58">
        <f ca="1">WeeklyPlanned(Output_Template[[#Headers],[WP_A2]], Output_Template[[#This Row],[Date]])</f>
        <v>109.09090909090909</v>
      </c>
      <c r="AJ23" s="58">
        <v>125</v>
      </c>
      <c r="AK23" s="58" t="str">
        <f ca="1">WeeklyPlanned(Output_Template[[#Headers],[WP_A3]], Output_Template[[#This Row],[Date]])</f>
        <v/>
      </c>
      <c r="AL23" s="58"/>
    </row>
    <row r="24" spans="2:38" ht="15.5" x14ac:dyDescent="0.3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>IF(AA23 = "Date", $S$4, AA23+7)</f>
        <v>43977</v>
      </c>
      <c r="AB24" s="56" t="str">
        <f ca="1">PrimaryAreas(3)</f>
        <v>A2</v>
      </c>
      <c r="AC2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8">
        <f ca="1">SUM($AC$14:AC24)</f>
        <v>3327.2727272727266</v>
      </c>
      <c r="AF24" s="58">
        <f>IF(AD24="",NA(),SUM($AD$14:AD24))</f>
        <v>3150</v>
      </c>
      <c r="AG24" s="58" t="str">
        <f ca="1">WeeklyPlanned(Output_Template[[#Headers],[WP_A1]], Output_Template[[#This Row],[Date]])</f>
        <v/>
      </c>
      <c r="AH24" s="58">
        <v>150</v>
      </c>
      <c r="AI24" s="58">
        <f ca="1">WeeklyPlanned(Output_Template[[#Headers],[WP_A2]], Output_Template[[#This Row],[Date]])</f>
        <v>218.18181818181819</v>
      </c>
      <c r="AJ24" s="58">
        <v>50</v>
      </c>
      <c r="AK24" s="58" t="str">
        <f ca="1">WeeklyPlanned(Output_Template[[#Headers],[WP_A3]], Output_Template[[#This Row],[Date]])</f>
        <v/>
      </c>
      <c r="AL24" s="58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>IF(AA24 = "Date", $S$4, AA24+7)</f>
        <v>43984</v>
      </c>
      <c r="AB25" s="56" t="str">
        <f ca="1">PrimaryAreas(3)</f>
        <v>A2</v>
      </c>
      <c r="AC2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5" s="58">
        <f ca="1">SUM($AC$14:AC25)</f>
        <v>3599.9999999999991</v>
      </c>
      <c r="AF25" s="58" t="e">
        <f>IF(AD25="",NA(),SUM($AD$14:AD25))</f>
        <v>#N/A</v>
      </c>
      <c r="AG25" s="58" t="str">
        <f ca="1">WeeklyPlanned(Output_Template[[#Headers],[WP_A1]], Output_Template[[#This Row],[Date]])</f>
        <v/>
      </c>
      <c r="AH25" s="58"/>
      <c r="AI25" s="58">
        <f ca="1">WeeklyPlanned(Output_Template[[#Headers],[WP_A2]], Output_Template[[#This Row],[Date]])</f>
        <v>272.72727272727275</v>
      </c>
      <c r="AJ25" s="58"/>
      <c r="AK25" s="58" t="str">
        <f ca="1">WeeklyPlanned(Output_Template[[#Headers],[WP_A3]], Output_Template[[#This Row],[Date]])</f>
        <v/>
      </c>
      <c r="AL25" s="58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>IF(AA25 = "Date", $S$4, AA25+7)</f>
        <v>43991</v>
      </c>
      <c r="AB26" s="56" t="str">
        <f ca="1">PrimaryAreas(3)</f>
        <v>A2</v>
      </c>
      <c r="AC2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6" s="58">
        <f ca="1">SUM($AC$14:AC26)</f>
        <v>3872.7272727272721</v>
      </c>
      <c r="AF26" s="58" t="e">
        <f>IF(AD26="",NA(),SUM($AD$14:AD26))</f>
        <v>#N/A</v>
      </c>
      <c r="AG26" s="58" t="str">
        <f ca="1">WeeklyPlanned(Output_Template[[#Headers],[WP_A1]], Output_Template[[#This Row],[Date]])</f>
        <v/>
      </c>
      <c r="AH26" s="58"/>
      <c r="AI26" s="58">
        <f ca="1">WeeklyPlanned(Output_Template[[#Headers],[WP_A2]], Output_Template[[#This Row],[Date]])</f>
        <v>272.72727272727275</v>
      </c>
      <c r="AJ26" s="58"/>
      <c r="AK26" s="58" t="str">
        <f ca="1">WeeklyPlanned(Output_Template[[#Headers],[WP_A3]], Output_Template[[#This Row],[Date]])</f>
        <v/>
      </c>
      <c r="AL26" s="58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>IF(AA26 = "Date", $S$4, AA26+7)</f>
        <v>43998</v>
      </c>
      <c r="AB27" s="56" t="str">
        <f ca="1">PrimaryAreas(3)</f>
        <v>A2</v>
      </c>
      <c r="AC2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7" s="58">
        <f ca="1">SUM($AC$14:AC27)</f>
        <v>4145.454545454545</v>
      </c>
      <c r="AF27" s="58" t="e">
        <f>IF(AD27="",NA(),SUM($AD$14:AD27))</f>
        <v>#N/A</v>
      </c>
      <c r="AG27" s="58" t="str">
        <f ca="1">WeeklyPlanned(Output_Template[[#Headers],[WP_A1]], Output_Template[[#This Row],[Date]])</f>
        <v/>
      </c>
      <c r="AH27" s="58"/>
      <c r="AI27" s="58">
        <f ca="1">WeeklyPlanned(Output_Template[[#Headers],[WP_A2]], Output_Template[[#This Row],[Date]])</f>
        <v>272.72727272727275</v>
      </c>
      <c r="AJ27" s="58"/>
      <c r="AK27" s="58" t="str">
        <f ca="1">WeeklyPlanned(Output_Template[[#Headers],[WP_A3]], Output_Template[[#This Row],[Date]])</f>
        <v/>
      </c>
      <c r="AL27" s="58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>IF(AA27 = "Date", $S$4, AA27+7)</f>
        <v>44005</v>
      </c>
      <c r="AB28" s="56" t="str">
        <f ca="1">PrimaryAreas(3)</f>
        <v>A2</v>
      </c>
      <c r="AC2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8" s="58">
        <f ca="1">SUM($AC$14:AC28)</f>
        <v>4418.181818181818</v>
      </c>
      <c r="AF28" s="58" t="e">
        <f>IF(AD28="",NA(),SUM($AD$14:AD28))</f>
        <v>#N/A</v>
      </c>
      <c r="AG28" s="58" t="str">
        <f ca="1">WeeklyPlanned(Output_Template[[#Headers],[WP_A1]], Output_Template[[#This Row],[Date]])</f>
        <v/>
      </c>
      <c r="AH28" s="58"/>
      <c r="AI28" s="58">
        <f ca="1">WeeklyPlanned(Output_Template[[#Headers],[WP_A2]], Output_Template[[#This Row],[Date]])</f>
        <v>272.72727272727275</v>
      </c>
      <c r="AJ28" s="58"/>
      <c r="AK28" s="58" t="str">
        <f ca="1">WeeklyPlanned(Output_Template[[#Headers],[WP_A3]], Output_Template[[#This Row],[Date]])</f>
        <v/>
      </c>
      <c r="AL28" s="58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>IF(AA28 = "Date", $S$4, AA28+7)</f>
        <v>44012</v>
      </c>
      <c r="AB29" s="56" t="str">
        <f ca="1">PrimaryAreas(3)</f>
        <v>A2</v>
      </c>
      <c r="AC2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9" s="58">
        <f ca="1">SUM($AC$14:AC29)</f>
        <v>4690.909090909091</v>
      </c>
      <c r="AF29" s="58" t="e">
        <f>IF(AD29="",NA(),SUM($AD$14:AD29))</f>
        <v>#N/A</v>
      </c>
      <c r="AG29" s="58" t="str">
        <f ca="1">WeeklyPlanned(Output_Template[[#Headers],[WP_A1]], Output_Template[[#This Row],[Date]])</f>
        <v/>
      </c>
      <c r="AH29" s="58"/>
      <c r="AI29" s="58">
        <f ca="1">WeeklyPlanned(Output_Template[[#Headers],[WP_A2]], Output_Template[[#This Row],[Date]])</f>
        <v>272.72727272727275</v>
      </c>
      <c r="AJ29" s="58"/>
      <c r="AK29" s="58" t="str">
        <f ca="1">WeeklyPlanned(Output_Template[[#Headers],[WP_A3]], Output_Template[[#This Row],[Date]])</f>
        <v/>
      </c>
      <c r="AL29" s="58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>IF(AA29 = "Date", $S$4, AA29+7)</f>
        <v>44019</v>
      </c>
      <c r="AB30" s="56" t="str">
        <f ca="1">PrimaryAreas(3)</f>
        <v>A2</v>
      </c>
      <c r="AC3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8">
        <f ca="1">SUM($AC$14:AC30)</f>
        <v>4963.636363636364</v>
      </c>
      <c r="AF30" s="58" t="e">
        <f>IF(AD30="",NA(),SUM($AD$14:AD30))</f>
        <v>#N/A</v>
      </c>
      <c r="AG30" s="58" t="str">
        <f ca="1">WeeklyPlanned(Output_Template[[#Headers],[WP_A1]], Output_Template[[#This Row],[Date]])</f>
        <v/>
      </c>
      <c r="AH30" s="58"/>
      <c r="AI30" s="58">
        <f ca="1">WeeklyPlanned(Output_Template[[#Headers],[WP_A2]], Output_Template[[#This Row],[Date]])</f>
        <v>272.72727272727275</v>
      </c>
      <c r="AJ30" s="58"/>
      <c r="AK30" s="58" t="str">
        <f ca="1">WeeklyPlanned(Output_Template[[#Headers],[WP_A3]], Output_Template[[#This Row],[Date]])</f>
        <v/>
      </c>
      <c r="AL30" s="58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>IF(AA30 = "Date", $S$4, AA30+7)</f>
        <v>44026</v>
      </c>
      <c r="AB31" s="56" t="str">
        <f ca="1">PrimaryAreas(3)</f>
        <v>A2</v>
      </c>
      <c r="AC3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8">
        <f ca="1">SUM($AC$14:AC31)</f>
        <v>5236.3636363636369</v>
      </c>
      <c r="AF31" s="58" t="e">
        <f>IF(AD31="",NA(),SUM($AD$14:AD31))</f>
        <v>#N/A</v>
      </c>
      <c r="AG31" s="58" t="str">
        <f ca="1">WeeklyPlanned(Output_Template[[#Headers],[WP_A1]], Output_Template[[#This Row],[Date]])</f>
        <v/>
      </c>
      <c r="AH31" s="58"/>
      <c r="AI31" s="58">
        <f ca="1">WeeklyPlanned(Output_Template[[#Headers],[WP_A2]], Output_Template[[#This Row],[Date]])</f>
        <v>272.72727272727275</v>
      </c>
      <c r="AJ31" s="58"/>
      <c r="AK31" s="58" t="str">
        <f ca="1">WeeklyPlanned(Output_Template[[#Headers],[WP_A3]], Output_Template[[#This Row],[Date]])</f>
        <v/>
      </c>
      <c r="AL31" s="58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>IF(AA31 = "Date", $S$4, AA31+7)</f>
        <v>44033</v>
      </c>
      <c r="AB32" s="56" t="str">
        <f ca="1">PrimaryAreas(3)</f>
        <v>A2, A3</v>
      </c>
      <c r="AC3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483.25358851674639</v>
      </c>
      <c r="AD3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8">
        <f ca="1">SUM($AC$14:AC32)</f>
        <v>5719.6172248803832</v>
      </c>
      <c r="AF32" s="58" t="e">
        <f>IF(AD32="",NA(),SUM($AD$14:AD32))</f>
        <v>#N/A</v>
      </c>
      <c r="AG32" s="58" t="str">
        <f ca="1">WeeklyPlanned(Output_Template[[#Headers],[WP_A1]], Output_Template[[#This Row],[Date]])</f>
        <v/>
      </c>
      <c r="AH32" s="58"/>
      <c r="AI32" s="58">
        <f ca="1">WeeklyPlanned(Output_Template[[#Headers],[WP_A2]], Output_Template[[#This Row],[Date]])</f>
        <v>272.72727272727275</v>
      </c>
      <c r="AJ32" s="58"/>
      <c r="AK32" s="58">
        <f ca="1">WeeklyPlanned(Output_Template[[#Headers],[WP_A3]], Output_Template[[#This Row],[Date]])</f>
        <v>210.52631578947367</v>
      </c>
      <c r="AL32" s="58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>IF(AA32 = "Date", $S$4, AA32+7)</f>
        <v>44040</v>
      </c>
      <c r="AB33" s="56" t="str">
        <f ca="1">PrimaryAreas(3)</f>
        <v>A2, A3</v>
      </c>
      <c r="AC3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8">
        <f ca="1">SUM($AC$14:AC33)</f>
        <v>6255.5023923444978</v>
      </c>
      <c r="AF33" s="58" t="e">
        <f>IF(AD33="",NA(),SUM($AD$14:AD33))</f>
        <v>#N/A</v>
      </c>
      <c r="AG33" s="58" t="str">
        <f ca="1">WeeklyPlanned(Output_Template[[#Headers],[WP_A1]], Output_Template[[#This Row],[Date]])</f>
        <v/>
      </c>
      <c r="AH33" s="58"/>
      <c r="AI33" s="58">
        <f ca="1">WeeklyPlanned(Output_Template[[#Headers],[WP_A2]], Output_Template[[#This Row],[Date]])</f>
        <v>272.72727272727275</v>
      </c>
      <c r="AJ33" s="58"/>
      <c r="AK33" s="58">
        <f ca="1">WeeklyPlanned(Output_Template[[#Headers],[WP_A3]], Output_Template[[#This Row],[Date]])</f>
        <v>263.15789473684208</v>
      </c>
      <c r="AL33" s="58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>IF(AA33 = "Date", $S$4, AA33+7)</f>
        <v>44047</v>
      </c>
      <c r="AB34" s="56" t="str">
        <f ca="1">PrimaryAreas(3)</f>
        <v>A2, A3</v>
      </c>
      <c r="AC3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481.33971291866027</v>
      </c>
      <c r="AD3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8">
        <f ca="1">SUM($AC$14:AC34)</f>
        <v>6736.8421052631584</v>
      </c>
      <c r="AF34" s="58" t="e">
        <f>IF(AD34="",NA(),SUM($AD$14:AD34))</f>
        <v>#N/A</v>
      </c>
      <c r="AG34" s="58" t="str">
        <f ca="1">WeeklyPlanned(Output_Template[[#Headers],[WP_A1]], Output_Template[[#This Row],[Date]])</f>
        <v/>
      </c>
      <c r="AH34" s="58"/>
      <c r="AI34" s="58">
        <f ca="1">WeeklyPlanned(Output_Template[[#Headers],[WP_A2]], Output_Template[[#This Row],[Date]])</f>
        <v>218.18181818181819</v>
      </c>
      <c r="AJ34" s="58"/>
      <c r="AK34" s="58">
        <f ca="1">WeeklyPlanned(Output_Template[[#Headers],[WP_A3]], Output_Template[[#This Row],[Date]])</f>
        <v>263.15789473684208</v>
      </c>
      <c r="AL34" s="58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>IF(AA34 = "Date", $S$4, AA34+7)</f>
        <v>44054</v>
      </c>
      <c r="AB35" s="56" t="str">
        <f ca="1">PrimaryAreas(3)</f>
        <v>A3</v>
      </c>
      <c r="AC3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8">
        <f ca="1">SUM($AC$14:AC35)</f>
        <v>7000</v>
      </c>
      <c r="AF35" s="58" t="e">
        <f>IF(AD35="",NA(),SUM($AD$14:AD35))</f>
        <v>#N/A</v>
      </c>
      <c r="AG35" s="58" t="str">
        <f ca="1">WeeklyPlanned(Output_Template[[#Headers],[WP_A1]], Output_Template[[#This Row],[Date]])</f>
        <v/>
      </c>
      <c r="AH35" s="58"/>
      <c r="AI35" s="58" t="str">
        <f ca="1">WeeklyPlanned(Output_Template[[#Headers],[WP_A2]], Output_Template[[#This Row],[Date]])</f>
        <v/>
      </c>
      <c r="AJ35" s="58"/>
      <c r="AK35" s="58">
        <f ca="1">WeeklyPlanned(Output_Template[[#Headers],[WP_A3]], Output_Template[[#This Row],[Date]])</f>
        <v>263.15789473684208</v>
      </c>
      <c r="AL35" s="58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>IF(AA35 = "Date", $S$4, AA35+7)</f>
        <v>44061</v>
      </c>
      <c r="AB36" s="56" t="str">
        <f ca="1">PrimaryAreas(3)</f>
        <v>A3</v>
      </c>
      <c r="AC3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8">
        <f ca="1">SUM($AC$14:AC36)</f>
        <v>7263.1578947368416</v>
      </c>
      <c r="AF36" s="58" t="e">
        <f>IF(AD36="",NA(),SUM($AD$14:AD36))</f>
        <v>#N/A</v>
      </c>
      <c r="AG36" s="58" t="str">
        <f ca="1">WeeklyPlanned(Output_Template[[#Headers],[WP_A1]], Output_Template[[#This Row],[Date]])</f>
        <v/>
      </c>
      <c r="AH36" s="58"/>
      <c r="AI36" s="58" t="str">
        <f ca="1">WeeklyPlanned(Output_Template[[#Headers],[WP_A2]], Output_Template[[#This Row],[Date]])</f>
        <v/>
      </c>
      <c r="AJ36" s="58"/>
      <c r="AK36" s="58">
        <f ca="1">WeeklyPlanned(Output_Template[[#Headers],[WP_A3]], Output_Template[[#This Row],[Date]])</f>
        <v>263.15789473684208</v>
      </c>
      <c r="AL36" s="58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>IF(AA36 = "Date", $S$4, AA36+7)</f>
        <v>44068</v>
      </c>
      <c r="AB37" s="56" t="str">
        <f ca="1">PrimaryAreas(3)</f>
        <v>A3</v>
      </c>
      <c r="AC3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8">
        <f ca="1">SUM($AC$14:AC37)</f>
        <v>7526.3157894736833</v>
      </c>
      <c r="AF37" s="58" t="e">
        <f>IF(AD37="",NA(),SUM($AD$14:AD37))</f>
        <v>#N/A</v>
      </c>
      <c r="AG37" s="58" t="str">
        <f ca="1">WeeklyPlanned(Output_Template[[#Headers],[WP_A1]], Output_Template[[#This Row],[Date]])</f>
        <v/>
      </c>
      <c r="AH37" s="58"/>
      <c r="AI37" s="58" t="str">
        <f ca="1">WeeklyPlanned(Output_Template[[#Headers],[WP_A2]], Output_Template[[#This Row],[Date]])</f>
        <v/>
      </c>
      <c r="AJ37" s="58"/>
      <c r="AK37" s="58">
        <f ca="1">WeeklyPlanned(Output_Template[[#Headers],[WP_A3]], Output_Template[[#This Row],[Date]])</f>
        <v>263.15789473684208</v>
      </c>
      <c r="AL37" s="58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>IF(AA37 = "Date", $S$4, AA37+7)</f>
        <v>44075</v>
      </c>
      <c r="AB38" s="56" t="str">
        <f ca="1">PrimaryAreas(3)</f>
        <v>A3</v>
      </c>
      <c r="AC3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8">
        <f ca="1">SUM($AC$14:AC38)</f>
        <v>7789.4736842105249</v>
      </c>
      <c r="AF38" s="58" t="e">
        <f>IF(AD38="",NA(),SUM($AD$14:AD38))</f>
        <v>#N/A</v>
      </c>
      <c r="AG38" s="58" t="str">
        <f ca="1">WeeklyPlanned(Output_Template[[#Headers],[WP_A1]], Output_Template[[#This Row],[Date]])</f>
        <v/>
      </c>
      <c r="AH38" s="58"/>
      <c r="AI38" s="58" t="str">
        <f ca="1">WeeklyPlanned(Output_Template[[#Headers],[WP_A2]], Output_Template[[#This Row],[Date]])</f>
        <v/>
      </c>
      <c r="AJ38" s="58"/>
      <c r="AK38" s="58">
        <f ca="1">WeeklyPlanned(Output_Template[[#Headers],[WP_A3]], Output_Template[[#This Row],[Date]])</f>
        <v>263.15789473684208</v>
      </c>
      <c r="AL38" s="58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>IF(AA38 = "Date", $S$4, AA38+7)</f>
        <v>44082</v>
      </c>
      <c r="AB39" s="56" t="str">
        <f ca="1">PrimaryAreas(3)</f>
        <v>A3</v>
      </c>
      <c r="AC3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8">
        <f ca="1">SUM($AC$14:AC39)</f>
        <v>8052.6315789473665</v>
      </c>
      <c r="AF39" s="58" t="e">
        <f>IF(AD39="",NA(),SUM($AD$14:AD39))</f>
        <v>#N/A</v>
      </c>
      <c r="AG39" s="58" t="str">
        <f ca="1">WeeklyPlanned(Output_Template[[#Headers],[WP_A1]], Output_Template[[#This Row],[Date]])</f>
        <v/>
      </c>
      <c r="AH39" s="58"/>
      <c r="AI39" s="58" t="str">
        <f ca="1">WeeklyPlanned(Output_Template[[#Headers],[WP_A2]], Output_Template[[#This Row],[Date]])</f>
        <v/>
      </c>
      <c r="AJ39" s="58"/>
      <c r="AK39" s="58">
        <f ca="1">WeeklyPlanned(Output_Template[[#Headers],[WP_A3]], Output_Template[[#This Row],[Date]])</f>
        <v>263.15789473684208</v>
      </c>
      <c r="AL39" s="58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>IF(AA39 = "Date", $S$4, AA39+7)</f>
        <v>44089</v>
      </c>
      <c r="AB40" s="56" t="str">
        <f ca="1">PrimaryAreas(3)</f>
        <v>A3</v>
      </c>
      <c r="AC4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8">
        <f ca="1">SUM($AC$14:AC40)</f>
        <v>8315.7894736842081</v>
      </c>
      <c r="AF40" s="58" t="e">
        <f>IF(AD40="",NA(),SUM($AD$14:AD40))</f>
        <v>#N/A</v>
      </c>
      <c r="AG40" s="58" t="str">
        <f ca="1">WeeklyPlanned(Output_Template[[#Headers],[WP_A1]], Output_Template[[#This Row],[Date]])</f>
        <v/>
      </c>
      <c r="AH40" s="58"/>
      <c r="AI40" s="58" t="str">
        <f ca="1">WeeklyPlanned(Output_Template[[#Headers],[WP_A2]], Output_Template[[#This Row],[Date]])</f>
        <v/>
      </c>
      <c r="AJ40" s="58"/>
      <c r="AK40" s="58">
        <f ca="1">WeeklyPlanned(Output_Template[[#Headers],[WP_A3]], Output_Template[[#This Row],[Date]])</f>
        <v>263.15789473684208</v>
      </c>
      <c r="AL40" s="58"/>
    </row>
    <row r="41" spans="2:38" ht="14.5" x14ac:dyDescent="0.35">
      <c r="AA41" s="54">
        <f>IF(AA40 = "Date", $S$4, AA40+7)</f>
        <v>44096</v>
      </c>
      <c r="AB41" s="56" t="str">
        <f ca="1">PrimaryAreas(3)</f>
        <v>A3</v>
      </c>
      <c r="AC4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8">
        <f ca="1">SUM($AC$14:AC41)</f>
        <v>8578.9473684210498</v>
      </c>
      <c r="AF41" s="58" t="e">
        <f>IF(AD41="",NA(),SUM($AD$14:AD41))</f>
        <v>#N/A</v>
      </c>
      <c r="AG41" s="58" t="str">
        <f ca="1">WeeklyPlanned(Output_Template[[#Headers],[WP_A1]], Output_Template[[#This Row],[Date]])</f>
        <v/>
      </c>
      <c r="AH41" s="58"/>
      <c r="AI41" s="58" t="str">
        <f ca="1">WeeklyPlanned(Output_Template[[#Headers],[WP_A2]], Output_Template[[#This Row],[Date]])</f>
        <v/>
      </c>
      <c r="AJ41" s="58"/>
      <c r="AK41" s="58">
        <f ca="1">WeeklyPlanned(Output_Template[[#Headers],[WP_A3]], Output_Template[[#This Row],[Date]])</f>
        <v>263.15789473684208</v>
      </c>
      <c r="AL41" s="58"/>
    </row>
    <row r="42" spans="2:38" ht="14.5" x14ac:dyDescent="0.35">
      <c r="AA42" s="54">
        <f>IF(AA41 = "Date", $S$4, AA41+7)</f>
        <v>44103</v>
      </c>
      <c r="AB42" s="56" t="str">
        <f ca="1">PrimaryAreas(3)</f>
        <v>A3</v>
      </c>
      <c r="AC4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8">
        <f ca="1">SUM($AC$14:AC42)</f>
        <v>8842.1052631578914</v>
      </c>
      <c r="AF42" s="58" t="e">
        <f>IF(AD42="",NA(),SUM($AD$14:AD42))</f>
        <v>#N/A</v>
      </c>
      <c r="AG42" s="58" t="str">
        <f ca="1">WeeklyPlanned(Output_Template[[#Headers],[WP_A1]], Output_Template[[#This Row],[Date]])</f>
        <v/>
      </c>
      <c r="AH42" s="58"/>
      <c r="AI42" s="58" t="str">
        <f ca="1">WeeklyPlanned(Output_Template[[#Headers],[WP_A2]], Output_Template[[#This Row],[Date]])</f>
        <v/>
      </c>
      <c r="AJ42" s="58"/>
      <c r="AK42" s="58">
        <f ca="1">WeeklyPlanned(Output_Template[[#Headers],[WP_A3]], Output_Template[[#This Row],[Date]])</f>
        <v>263.15789473684208</v>
      </c>
      <c r="AL42" s="58"/>
    </row>
    <row r="43" spans="2:38" ht="14.5" x14ac:dyDescent="0.35">
      <c r="AA43" s="54">
        <f>IF(AA42 = "Date", $S$4, AA42+7)</f>
        <v>44110</v>
      </c>
      <c r="AB43" s="56" t="str">
        <f ca="1">PrimaryAreas(3)</f>
        <v>A3</v>
      </c>
      <c r="AC4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157.89473684210526</v>
      </c>
      <c r="AD4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8">
        <f ca="1">SUM($AC$14:AC43)</f>
        <v>8999.9999999999964</v>
      </c>
      <c r="AF43" s="58" t="e">
        <f>IF(AD43="",NA(),SUM($AD$14:AD43))</f>
        <v>#N/A</v>
      </c>
      <c r="AG43" s="58" t="str">
        <f ca="1">WeeklyPlanned(Output_Template[[#Headers],[WP_A1]], Output_Template[[#This Row],[Date]])</f>
        <v/>
      </c>
      <c r="AH43" s="58"/>
      <c r="AI43" s="58" t="str">
        <f ca="1">WeeklyPlanned(Output_Template[[#Headers],[WP_A2]], Output_Template[[#This Row],[Date]])</f>
        <v/>
      </c>
      <c r="AJ43" s="58"/>
      <c r="AK43" s="58">
        <f ca="1">WeeklyPlanned(Output_Template[[#Headers],[WP_A3]], Output_Template[[#This Row],[Date]])</f>
        <v>157.89473684210526</v>
      </c>
      <c r="AL43" s="58"/>
    </row>
  </sheetData>
  <mergeCells count="19"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AA1:AB1"/>
    <mergeCell ref="J12:M12"/>
    <mergeCell ref="N12:O12"/>
    <mergeCell ref="J13:M13"/>
    <mergeCell ref="N13:O13"/>
  </mergeCells>
  <phoneticPr fontId="6" type="noConversion"/>
  <conditionalFormatting sqref="AF14:AL43">
    <cfRule type="containsErrors" dxfId="18" priority="10">
      <formula>ISERROR(AF14)</formula>
    </cfRule>
  </conditionalFormatting>
  <conditionalFormatting sqref="W13:X13">
    <cfRule type="expression" dxfId="17" priority="8">
      <formula>IF(OR($S$8 = "Assemble Addin", $S$8 = "Bluebeam QL"), TRUE, FALSE)</formula>
    </cfRule>
  </conditionalFormatting>
  <conditionalFormatting sqref="N6:O6">
    <cfRule type="expression" dxfId="16" priority="7">
      <formula>IF($N$6=$O$6, FALSE, TRUE)</formula>
    </cfRule>
  </conditionalFormatting>
  <conditionalFormatting sqref="W14:X16">
    <cfRule type="expression" dxfId="15" priority="5">
      <formula>IF(OR($S$8 = "Assemble Addin", $S$8 = "Bluebeam QL"), TRUE, FALSE)</formula>
    </cfRule>
    <cfRule type="expression" dxfId="14" priority="6">
      <formula>IF(OR($S$8 = "Assemble Addin", $S$8 = "Bluebeam QL"), MOD(ROW(), 2)=0, FALSE)</formula>
    </cfRule>
  </conditionalFormatting>
  <conditionalFormatting sqref="R13">
    <cfRule type="expression" dxfId="13" priority="2">
      <formula>IF($S$8 = "Assemble Addin", TRUE, FALSE)</formula>
    </cfRule>
  </conditionalFormatting>
  <conditionalFormatting sqref="R14:R16">
    <cfRule type="expression" dxfId="12" priority="1">
      <formula>IF($S$8 = "Assemble Addin", MOD(ROW(), 2)=0, FALSE)</formula>
    </cfRule>
  </conditionalFormatting>
  <dataValidations disablePrompts="1"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4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10" sqref="H10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10" width="2.54296875" customWidth="1"/>
    <col min="11" max="11" width="23.1796875" bestFit="1" customWidth="1"/>
    <col min="12" max="12" width="86.54296875" bestFit="1" customWidth="1"/>
  </cols>
  <sheetData>
    <row r="1" spans="2:12" ht="15.5" x14ac:dyDescent="0.35">
      <c r="E1" s="88" t="s">
        <v>5</v>
      </c>
      <c r="F1" s="88"/>
      <c r="H1" s="2" t="s">
        <v>9</v>
      </c>
      <c r="K1" s="5" t="s">
        <v>12</v>
      </c>
      <c r="L1" s="5" t="s">
        <v>17</v>
      </c>
    </row>
    <row r="2" spans="2:12" ht="15.5" x14ac:dyDescent="0.35">
      <c r="B2" s="89" t="s">
        <v>6</v>
      </c>
      <c r="C2" s="89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91</v>
      </c>
      <c r="H7" s="1"/>
    </row>
    <row r="8" spans="2:12" x14ac:dyDescent="0.35">
      <c r="B8" t="s">
        <v>21</v>
      </c>
      <c r="C8" s="4" t="s">
        <v>23</v>
      </c>
      <c r="H8" s="1"/>
    </row>
    <row r="9" spans="2:12" x14ac:dyDescent="0.35">
      <c r="B9" t="s">
        <v>22</v>
      </c>
      <c r="C9" s="4" t="s">
        <v>24</v>
      </c>
      <c r="H9" s="1"/>
    </row>
    <row r="10" spans="2:12" x14ac:dyDescent="0.35">
      <c r="B10" t="s">
        <v>26</v>
      </c>
      <c r="C10" s="4" t="s">
        <v>25</v>
      </c>
      <c r="H10" s="1"/>
    </row>
    <row r="11" spans="2:12" x14ac:dyDescent="0.35">
      <c r="B11" t="s">
        <v>106</v>
      </c>
      <c r="C11" s="4" t="s">
        <v>111</v>
      </c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H7" sqref="H7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91" t="str">
        <f>"PROGRESS REPORT "&amp; TEXT(Report_Date, "mm/dd/yyy")</f>
        <v>PROGRESS REPORT 05/26/2020</v>
      </c>
      <c r="C2" s="91"/>
      <c r="D2" s="91"/>
      <c r="E2" s="91"/>
    </row>
    <row r="3" spans="2:11" ht="8.25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43977</v>
      </c>
    </row>
    <row r="7" spans="2:11" x14ac:dyDescent="0.35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35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35"/>
    <row r="10" spans="2:11" ht="16.5" x14ac:dyDescent="0.3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5" x14ac:dyDescent="0.35">
      <c r="B11" s="90" t="s">
        <v>31</v>
      </c>
      <c r="C11" s="90"/>
      <c r="D11" s="90"/>
      <c r="E11" s="90"/>
      <c r="F11" s="23"/>
      <c r="G11" s="23"/>
      <c r="H11" s="23"/>
      <c r="I11" s="23"/>
      <c r="J11" s="23"/>
      <c r="K11" t="s">
        <v>48</v>
      </c>
    </row>
    <row r="12" spans="2:11" x14ac:dyDescent="0.35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35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35">
      <c r="B14" s="13"/>
      <c r="G14" s="1"/>
      <c r="H14" s="17"/>
    </row>
    <row r="15" spans="2:11" ht="15" x14ac:dyDescent="0.35">
      <c r="B15" s="90" t="s">
        <v>32</v>
      </c>
      <c r="C15" s="90"/>
      <c r="D15" s="90"/>
      <c r="E15" s="90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90" t="s">
        <v>33</v>
      </c>
      <c r="C18" s="90"/>
      <c r="D18" s="90"/>
      <c r="E18" s="90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90" t="s">
        <v>34</v>
      </c>
      <c r="C21" s="90"/>
      <c r="D21" s="90"/>
      <c r="E21" s="90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90" t="s">
        <v>35</v>
      </c>
      <c r="C24" s="90"/>
      <c r="D24" s="90"/>
      <c r="E24" s="90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11" priority="1">
      <formula>IF(ISBLANK($D12), FALSE, IF(RedGreen_Formatting = "Enabled", $D12 &lt;= $E12 + Percent_Error, FALSE))</formula>
    </cfRule>
    <cfRule type="expression" dxfId="10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ignoredErrors>
    <ignoredError sqref="H1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zoomScale="85" zoomScaleNormal="85" workbookViewId="0">
      <selection activeCell="N11" sqref="N11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69" t="s">
        <v>94</v>
      </c>
      <c r="AB1" s="70"/>
    </row>
    <row r="2" spans="2:49" x14ac:dyDescent="0.3">
      <c r="B2" s="80" t="str">
        <f>_xlfn.CONCAT("PROGRESS REPORT ", TEXT(S3,"mm/dd/yyyy"))</f>
        <v>PROGRESS REPORT 05/26/2020</v>
      </c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2"/>
      <c r="R2" s="24" t="s">
        <v>60</v>
      </c>
      <c r="S2" s="25" t="str">
        <f ca="1">MID(CELL("filename",B1),FIND("]",CELL("filename",B1))+1,LEN(CELL("filename",B1))-FIND("]",CELL("filename",B1)))</f>
        <v>0000</v>
      </c>
      <c r="T2" s="24" t="s">
        <v>71</v>
      </c>
      <c r="U2" s="34" t="b">
        <v>1</v>
      </c>
      <c r="AA2" s="60"/>
      <c r="AB2" s="61"/>
    </row>
    <row r="3" spans="2:49" x14ac:dyDescent="0.3">
      <c r="B3" s="83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5"/>
      <c r="R3" s="24" t="s">
        <v>18</v>
      </c>
      <c r="S3" s="27">
        <f>Report_Date</f>
        <v>43977</v>
      </c>
      <c r="T3" s="24" t="s">
        <v>72</v>
      </c>
      <c r="U3" s="34" t="b">
        <v>1</v>
      </c>
      <c r="AA3" s="60"/>
      <c r="AB3" s="61"/>
    </row>
    <row r="4" spans="2:49" ht="15" x14ac:dyDescent="0.3">
      <c r="B4" s="28" t="s">
        <v>49</v>
      </c>
      <c r="C4" s="86" t="str">
        <f>Project_Name</f>
        <v>Westland Super Cool Project</v>
      </c>
      <c r="D4" s="86"/>
      <c r="E4" s="86"/>
      <c r="F4" s="86"/>
      <c r="G4" s="86"/>
      <c r="H4" s="86"/>
      <c r="I4" s="86"/>
      <c r="J4" s="87" t="s">
        <v>50</v>
      </c>
      <c r="K4" s="87"/>
      <c r="L4" s="87"/>
      <c r="M4" s="87"/>
      <c r="N4" s="29" t="s">
        <v>51</v>
      </c>
      <c r="O4" s="30" t="s">
        <v>52</v>
      </c>
      <c r="R4" s="24" t="s">
        <v>61</v>
      </c>
      <c r="S4" s="27">
        <f>MIN(Input_0000[Start Date])+(7-WEEKDAY(MIN(Input_0000[Start Date]),2)+_xlfn.SWITCH(Reporting_Day, "Sunday", 7, "Monday", 1, "Tuesday", 2, "Wednesday", 3, "Thursday", 4, "Friday", 5, "Saturday", 6))</f>
        <v>44047</v>
      </c>
      <c r="T4" s="24" t="s">
        <v>73</v>
      </c>
      <c r="U4" s="34" t="b">
        <v>1</v>
      </c>
      <c r="AA4" s="60"/>
      <c r="AB4" s="61"/>
    </row>
    <row r="5" spans="2:49" ht="15" x14ac:dyDescent="0.3">
      <c r="B5" s="28" t="s">
        <v>53</v>
      </c>
      <c r="C5" s="86" t="str">
        <f>Project_Number</f>
        <v>S000</v>
      </c>
      <c r="D5" s="86"/>
      <c r="E5" s="86"/>
      <c r="F5" s="86"/>
      <c r="G5" s="86"/>
      <c r="H5" s="86"/>
      <c r="I5" s="86"/>
      <c r="J5" s="79" t="s">
        <v>54</v>
      </c>
      <c r="K5" s="79"/>
      <c r="L5" s="79"/>
      <c r="M5" s="79"/>
      <c r="N5" s="32">
        <f ca="1">IF(ISERROR(N7/N6), 0, N7/N6)</f>
        <v>0</v>
      </c>
      <c r="O5" s="33">
        <f ca="1">IF(ISERROR(O7/O6), 0, O7/O6)</f>
        <v>0</v>
      </c>
      <c r="R5" s="24" t="s">
        <v>92</v>
      </c>
      <c r="S5" s="31">
        <f>MAX(Input_0000[Finish Date])+(7-WEEKDAY(MAX(Input_0000[Finish Date]),2)+_xlfn.SWITCH(Reporting_Day, "Sunday", 7, "Monday", 1, "Tuesday", 2, "Wednesday", 3, "Thursday", 4, "Friday", 5, "Saturday", 6))</f>
        <v>44201</v>
      </c>
      <c r="T5" s="24" t="s">
        <v>74</v>
      </c>
      <c r="U5" s="34" t="b">
        <v>1</v>
      </c>
      <c r="AA5" s="60"/>
      <c r="AB5" s="61"/>
    </row>
    <row r="6" spans="2:49" ht="15" x14ac:dyDescent="0.3">
      <c r="B6" s="28" t="s">
        <v>55</v>
      </c>
      <c r="C6" s="86" t="str">
        <f>Main!C12</f>
        <v>XYZ Corp</v>
      </c>
      <c r="D6" s="86"/>
      <c r="E6" s="86"/>
      <c r="F6" s="86"/>
      <c r="G6" s="86"/>
      <c r="H6" s="86"/>
      <c r="I6" s="86"/>
      <c r="J6" s="79" t="str">
        <f>_xlfn.CONCAT("Overall Totals (", IF(ISBLANK($S$6),"",$S$6), ")")</f>
        <v>Overall Totals (Count)</v>
      </c>
      <c r="K6" s="79"/>
      <c r="L6" s="79"/>
      <c r="M6" s="79"/>
      <c r="N6" s="35">
        <f ca="1">SUM(INDIRECT("Input_"&amp;$S$2&amp;"[Total]"))</f>
        <v>1068</v>
      </c>
      <c r="O6" s="36">
        <f ca="1">SUM(INDIRECT("Output_"&amp;$S$2&amp;"[Weekly Plan]"))</f>
        <v>1068</v>
      </c>
      <c r="R6" s="24" t="s">
        <v>63</v>
      </c>
      <c r="S6" s="26" t="s">
        <v>110</v>
      </c>
      <c r="T6" s="24" t="s">
        <v>75</v>
      </c>
      <c r="U6" s="34" t="b">
        <v>1</v>
      </c>
      <c r="AA6" s="60"/>
      <c r="AB6" s="61"/>
      <c r="AD6" s="45"/>
    </row>
    <row r="7" spans="2:49" ht="15.5" thickBot="1" x14ac:dyDescent="0.35">
      <c r="B7" s="28" t="s">
        <v>56</v>
      </c>
      <c r="C7" s="86" t="str">
        <f>RIGHT(Main!B13, LEN(Main!B13) - 4)</f>
        <v>Foundation Walls</v>
      </c>
      <c r="D7" s="86"/>
      <c r="E7" s="86"/>
      <c r="F7" s="86"/>
      <c r="G7" s="86"/>
      <c r="H7" s="86"/>
      <c r="I7" s="86"/>
      <c r="J7" s="79" t="str">
        <f>_xlfn.CONCAT("Overall Completed Totals (", IF(ISBLANK($S$6),"",$S$6), ")")</f>
        <v>Overall Completed Totals (Count)</v>
      </c>
      <c r="K7" s="79"/>
      <c r="L7" s="79"/>
      <c r="M7" s="79"/>
      <c r="N7" s="35" t="e">
        <f ca="1">VLOOKUP($S$3, INDIRECT("Output_"&amp;$S$2), 5, FALSE)</f>
        <v>#N/A</v>
      </c>
      <c r="O7" s="36">
        <f ca="1">_xlfn.IFNA(VLOOKUP($S$3, INDIRECT("Output_"&amp;$S$2), 6, FALSE), 0)</f>
        <v>0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  <c r="AA7" s="62"/>
      <c r="AB7" s="63"/>
    </row>
    <row r="8" spans="2:49" ht="15" x14ac:dyDescent="0.3">
      <c r="B8" s="37"/>
      <c r="C8" s="59"/>
      <c r="D8" s="59"/>
      <c r="E8" s="59"/>
      <c r="F8" s="59"/>
      <c r="G8" s="59"/>
      <c r="H8" s="59"/>
      <c r="I8" s="59"/>
      <c r="J8" s="79" t="str">
        <f>_xlfn.CONCAT("This Week's Production (", IF(ISBLANK($S$6),"",$S$6), ")")</f>
        <v>This Week's Production (Count)</v>
      </c>
      <c r="K8" s="79"/>
      <c r="L8" s="79"/>
      <c r="M8" s="79"/>
      <c r="N8" s="35" t="e">
        <f ca="1">VLOOKUP($S$3, INDIRECT("Output_"&amp;$S$2), 3, FALSE)</f>
        <v>#N/A</v>
      </c>
      <c r="O8" s="36" t="e">
        <f ca="1">VLOOKUP($S$3, INDIRECT("Output_"&amp;$S$2), 4, FALSE)</f>
        <v>#N/A</v>
      </c>
      <c r="R8" s="24" t="s">
        <v>62</v>
      </c>
      <c r="S8" s="26" t="s">
        <v>106</v>
      </c>
      <c r="T8" s="24" t="s">
        <v>77</v>
      </c>
      <c r="U8" s="34" t="b">
        <v>0</v>
      </c>
    </row>
    <row r="9" spans="2:49" ht="15" x14ac:dyDescent="0.3">
      <c r="B9" s="37"/>
      <c r="C9" s="59"/>
      <c r="D9" s="59"/>
      <c r="E9" s="59"/>
      <c r="F9" s="59"/>
      <c r="G9" s="59"/>
      <c r="H9" s="59"/>
      <c r="I9" s="59"/>
      <c r="J9" s="79" t="str">
        <f>_xlfn.CONCAT("Weekly Average (", IF(ISBLANK($S$6),"",$S$6), ")")</f>
        <v>Weekly Average (Count)</v>
      </c>
      <c r="K9" s="79"/>
      <c r="L9" s="79"/>
      <c r="M9" s="79"/>
      <c r="N9" s="39">
        <f ca="1">AVERAGE(INDIRECT("Output_"&amp;$S$2&amp;"[Weekly Plan]"))</f>
        <v>46.434782608695649</v>
      </c>
      <c r="O9" s="40" t="e">
        <f ca="1">AVERAGE(INDIRECT("AD14:AD" &amp;MATCH($S$3,INDIRECT("Output_"&amp;$S$2&amp;"[Date]"),0)+13))</f>
        <v>#N/A</v>
      </c>
      <c r="T9" s="24" t="s">
        <v>136</v>
      </c>
      <c r="U9" s="34"/>
    </row>
    <row r="10" spans="2:49" ht="15" x14ac:dyDescent="0.3">
      <c r="B10" s="37"/>
      <c r="C10" s="59"/>
      <c r="D10" s="59"/>
      <c r="E10" s="59"/>
      <c r="F10" s="59"/>
      <c r="G10" s="59"/>
      <c r="H10" s="59"/>
      <c r="I10" s="59"/>
      <c r="J10" s="79" t="str">
        <f>_xlfn.CONCAT("Average Past 4 Weeks (", IF(ISBLANK($S$6),"",$S$6), ")")</f>
        <v>Average Past 4 Weeks (Count)</v>
      </c>
      <c r="K10" s="79"/>
      <c r="L10" s="79"/>
      <c r="M10" s="79"/>
      <c r="N10" s="39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137</v>
      </c>
      <c r="U10" s="92"/>
    </row>
    <row r="11" spans="2:49" ht="15" x14ac:dyDescent="0.3">
      <c r="B11" s="37"/>
      <c r="C11" s="59"/>
      <c r="D11" s="59"/>
      <c r="E11" s="59"/>
      <c r="F11" s="59"/>
      <c r="G11" s="59"/>
      <c r="H11" s="59"/>
      <c r="I11" s="59"/>
      <c r="J11" s="79" t="str">
        <f>_xlfn.CONCAT("On Schedule Average (", IF(ISBLANK($S$6),"",$S$6), ")")</f>
        <v>On Schedule Average (Count)</v>
      </c>
      <c r="K11" s="79"/>
      <c r="L11" s="79"/>
      <c r="M11" s="79"/>
      <c r="N11" s="39"/>
      <c r="O11" s="40"/>
    </row>
    <row r="12" spans="2:49" ht="15" x14ac:dyDescent="0.3">
      <c r="B12" s="37"/>
      <c r="C12" s="59"/>
      <c r="D12" s="59"/>
      <c r="E12" s="59"/>
      <c r="F12" s="59"/>
      <c r="G12" s="59"/>
      <c r="H12" s="59"/>
      <c r="I12" s="59"/>
      <c r="J12" s="71" t="s">
        <v>57</v>
      </c>
      <c r="K12" s="71"/>
      <c r="L12" s="71"/>
      <c r="M12" s="71"/>
      <c r="N12" s="72">
        <f ca="1">MAX(INDIRECT("Input_"&amp;$S$2&amp;"[Finish Date]"))</f>
        <v>44195</v>
      </c>
      <c r="O12" s="73"/>
    </row>
    <row r="13" spans="2:49" ht="15.5" x14ac:dyDescent="0.35">
      <c r="B13" s="37"/>
      <c r="C13" s="59"/>
      <c r="D13" s="59"/>
      <c r="E13" s="59"/>
      <c r="F13" s="59"/>
      <c r="G13" s="59"/>
      <c r="H13" s="59"/>
      <c r="I13" s="59"/>
      <c r="J13" s="71" t="s">
        <v>58</v>
      </c>
      <c r="K13" s="71"/>
      <c r="L13" s="71"/>
      <c r="M13" s="71"/>
      <c r="N13" s="72"/>
      <c r="O13" s="74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6" t="s">
        <v>84</v>
      </c>
      <c r="AC13" t="s">
        <v>80</v>
      </c>
      <c r="AD13" t="s">
        <v>81</v>
      </c>
      <c r="AE13" t="s">
        <v>82</v>
      </c>
      <c r="AF13" t="s">
        <v>83</v>
      </c>
      <c r="AG13" s="64" t="s">
        <v>113</v>
      </c>
      <c r="AH13" s="64" t="s">
        <v>114</v>
      </c>
      <c r="AI13" s="64" t="s">
        <v>122</v>
      </c>
      <c r="AJ13" s="64" t="s">
        <v>123</v>
      </c>
      <c r="AK13" s="64" t="s">
        <v>124</v>
      </c>
      <c r="AL13" s="64" t="s">
        <v>125</v>
      </c>
      <c r="AM13" s="64" t="s">
        <v>126</v>
      </c>
      <c r="AN13" s="64" t="s">
        <v>127</v>
      </c>
      <c r="AO13" s="64" t="s">
        <v>128</v>
      </c>
      <c r="AP13" s="64" t="s">
        <v>129</v>
      </c>
      <c r="AQ13" s="64" t="s">
        <v>130</v>
      </c>
      <c r="AR13" s="64" t="s">
        <v>131</v>
      </c>
      <c r="AS13" s="64" t="s">
        <v>132</v>
      </c>
      <c r="AT13" s="64" t="s">
        <v>133</v>
      </c>
      <c r="AU13" s="64" t="s">
        <v>134</v>
      </c>
      <c r="AV13" s="64" t="s">
        <v>135</v>
      </c>
      <c r="AW13" s="55"/>
    </row>
    <row r="14" spans="2:49" ht="15.5" x14ac:dyDescent="0.35">
      <c r="B14" s="37"/>
      <c r="C14" s="59"/>
      <c r="D14" s="59"/>
      <c r="E14" s="59"/>
      <c r="F14" s="59"/>
      <c r="G14" s="59"/>
      <c r="H14" s="59"/>
      <c r="I14" s="59"/>
      <c r="J14" s="42"/>
      <c r="K14" s="42"/>
      <c r="L14" s="75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5"/>
      <c r="N14" s="75"/>
      <c r="O14" s="76"/>
      <c r="R14" s="43"/>
      <c r="S14" s="44" t="s">
        <v>101</v>
      </c>
      <c r="T14" s="44" t="s">
        <v>112</v>
      </c>
      <c r="U14" s="45">
        <v>44040</v>
      </c>
      <c r="V14" s="45">
        <v>44053</v>
      </c>
      <c r="W14" s="8">
        <v>148</v>
      </c>
      <c r="AA14" s="54">
        <f t="shared" ref="AA14" si="0">IF(AA13 = "Date", $S$4, AA13+7)</f>
        <v>44047</v>
      </c>
      <c r="AB14" s="56" t="str">
        <f ca="1">PrimaryAreas(8)</f>
        <v>ABC</v>
      </c>
      <c r="AC1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8">
        <f ca="1">SUM($AC$14:AC14)</f>
        <v>74</v>
      </c>
      <c r="AF14" s="58" t="e">
        <f>IF(AD14="",NA(),SUM($AD$14:AD14))</f>
        <v>#N/A</v>
      </c>
      <c r="AG14" s="58">
        <f ca="1">WeeklyPlanned(Output_0000[[#Headers],[WP_ABC]], Output_0000[[#This Row],[Date]])</f>
        <v>74</v>
      </c>
      <c r="AH14" s="58"/>
      <c r="AI14" s="58" t="str">
        <f ca="1">WeeklyPlanned(Output_0000[[#Headers],[WP_ACS]], Output_0000[[#This Row],[Date]])</f>
        <v/>
      </c>
      <c r="AJ14" s="58"/>
      <c r="AK14" s="58" t="str">
        <f ca="1">WeeklyPlanned(Output_0000[[#Headers],[WP_AL1]], Output_0000[[#This Row],[Date]])</f>
        <v/>
      </c>
      <c r="AL14" s="58"/>
      <c r="AM14" s="58" t="str">
        <f ca="1">WeeklyPlanned(Output_0000[[#Headers],[WP_HBase]], Output_0000[[#This Row],[Date]])</f>
        <v/>
      </c>
      <c r="AN14" s="58"/>
      <c r="AO14" s="58" t="str">
        <f ca="1">WeeklyPlanned(Output_0000[[#Headers],[WP_HWST]], Output_0000[[#This Row],[Date]])</f>
        <v/>
      </c>
      <c r="AP14" s="58"/>
      <c r="AQ14" s="58" t="str">
        <f ca="1">WeeklyPlanned(Output_0000[[#Headers],[WP_HWSR]], Output_0000[[#This Row],[Date]])</f>
        <v/>
      </c>
      <c r="AR14" s="58"/>
      <c r="AS14" s="58" t="str">
        <f ca="1">WeeklyPlanned(Output_0000[[#Headers],[WP_HL2]], Output_0000[[#This Row],[Date]])</f>
        <v/>
      </c>
      <c r="AT14" s="58"/>
      <c r="AU14" s="58" t="str">
        <f ca="1">WeeklyPlanned(Output_0000[[#Headers],[WP_HBCeil]], Output_0000[[#This Row],[Date]])</f>
        <v/>
      </c>
      <c r="AV14" s="58"/>
    </row>
    <row r="15" spans="2:49" ht="16" thickBot="1" x14ac:dyDescent="0.4">
      <c r="B15" s="37"/>
      <c r="C15" s="59"/>
      <c r="D15" s="59"/>
      <c r="E15" s="59"/>
      <c r="F15" s="59"/>
      <c r="G15" s="59"/>
      <c r="H15" s="59"/>
      <c r="I15" s="59"/>
      <c r="J15" s="46"/>
      <c r="K15" s="46"/>
      <c r="L15" s="77"/>
      <c r="M15" s="77"/>
      <c r="N15" s="77"/>
      <c r="O15" s="78"/>
      <c r="R15" s="43"/>
      <c r="S15" s="44" t="s">
        <v>102</v>
      </c>
      <c r="T15" s="44" t="s">
        <v>115</v>
      </c>
      <c r="U15" s="45">
        <v>44105</v>
      </c>
      <c r="V15" s="45">
        <v>44111</v>
      </c>
      <c r="W15" s="8">
        <v>102</v>
      </c>
      <c r="AA15" s="54">
        <f t="shared" ref="AA15:AA20" si="1">IF(AA14 = "Date", $S$4, AA14+7)</f>
        <v>44054</v>
      </c>
      <c r="AB15" s="56" t="str">
        <f ca="1">PrimaryAreas(8)</f>
        <v>ABC</v>
      </c>
      <c r="AC1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8">
        <f ca="1">SUM($AC$14:AC15)</f>
        <v>148</v>
      </c>
      <c r="AF15" s="58" t="e">
        <f>IF(AD15="",NA(),SUM($AD$14:AD15))</f>
        <v>#N/A</v>
      </c>
      <c r="AG15" s="58">
        <f ca="1">WeeklyPlanned(Output_0000[[#Headers],[WP_ABC]], Output_0000[[#This Row],[Date]])</f>
        <v>74</v>
      </c>
      <c r="AH15" s="58"/>
      <c r="AI15" s="58" t="str">
        <f ca="1">WeeklyPlanned(Output_0000[[#Headers],[WP_ACS]], Output_0000[[#This Row],[Date]])</f>
        <v/>
      </c>
      <c r="AJ15" s="58"/>
      <c r="AK15" s="58" t="str">
        <f ca="1">WeeklyPlanned(Output_0000[[#Headers],[WP_AL1]], Output_0000[[#This Row],[Date]])</f>
        <v/>
      </c>
      <c r="AL15" s="58"/>
      <c r="AM15" s="58" t="str">
        <f ca="1">WeeklyPlanned(Output_0000[[#Headers],[WP_HBase]], Output_0000[[#This Row],[Date]])</f>
        <v/>
      </c>
      <c r="AN15" s="58"/>
      <c r="AO15" s="58" t="str">
        <f ca="1">WeeklyPlanned(Output_0000[[#Headers],[WP_HWST]], Output_0000[[#This Row],[Date]])</f>
        <v/>
      </c>
      <c r="AP15" s="58"/>
      <c r="AQ15" s="58" t="str">
        <f ca="1">WeeklyPlanned(Output_0000[[#Headers],[WP_HWSR]], Output_0000[[#This Row],[Date]])</f>
        <v/>
      </c>
      <c r="AR15" s="58"/>
      <c r="AS15" s="58" t="str">
        <f ca="1">WeeklyPlanned(Output_0000[[#Headers],[WP_HL2]], Output_0000[[#This Row],[Date]])</f>
        <v/>
      </c>
      <c r="AT15" s="58"/>
      <c r="AU15" s="58" t="str">
        <f ca="1">WeeklyPlanned(Output_0000[[#Headers],[WP_HBCeil]], Output_0000[[#This Row],[Date]])</f>
        <v/>
      </c>
      <c r="AV15" s="58"/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103</v>
      </c>
      <c r="T16" s="44" t="s">
        <v>116</v>
      </c>
      <c r="U16" s="45">
        <v>44133</v>
      </c>
      <c r="V16" s="45">
        <v>44146</v>
      </c>
      <c r="W16" s="8">
        <v>279</v>
      </c>
      <c r="AA16" s="54">
        <f t="shared" si="1"/>
        <v>44061</v>
      </c>
      <c r="AB16" s="56">
        <f ca="1">PrimaryAreas(8)</f>
        <v>0</v>
      </c>
      <c r="AC1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8">
        <f ca="1">SUM($AC$14:AC16)</f>
        <v>148</v>
      </c>
      <c r="AF16" s="58" t="e">
        <f>IF(AD16="",NA(),SUM($AD$14:AD16))</f>
        <v>#N/A</v>
      </c>
      <c r="AG16" s="58" t="str">
        <f ca="1">WeeklyPlanned(Output_0000[[#Headers],[WP_ABC]], Output_0000[[#This Row],[Date]])</f>
        <v/>
      </c>
      <c r="AH16" s="58"/>
      <c r="AI16" s="58" t="str">
        <f ca="1">WeeklyPlanned(Output_0000[[#Headers],[WP_ACS]], Output_0000[[#This Row],[Date]])</f>
        <v/>
      </c>
      <c r="AJ16" s="58"/>
      <c r="AK16" s="58" t="str">
        <f ca="1">WeeklyPlanned(Output_0000[[#Headers],[WP_AL1]], Output_0000[[#This Row],[Date]])</f>
        <v/>
      </c>
      <c r="AL16" s="58"/>
      <c r="AM16" s="58" t="str">
        <f ca="1">WeeklyPlanned(Output_0000[[#Headers],[WP_HBase]], Output_0000[[#This Row],[Date]])</f>
        <v/>
      </c>
      <c r="AN16" s="58"/>
      <c r="AO16" s="58" t="str">
        <f ca="1">WeeklyPlanned(Output_0000[[#Headers],[WP_HWST]], Output_0000[[#This Row],[Date]])</f>
        <v/>
      </c>
      <c r="AP16" s="58"/>
      <c r="AQ16" s="58" t="str">
        <f ca="1">WeeklyPlanned(Output_0000[[#Headers],[WP_HWSR]], Output_0000[[#This Row],[Date]])</f>
        <v/>
      </c>
      <c r="AR16" s="58"/>
      <c r="AS16" s="58" t="str">
        <f ca="1">WeeklyPlanned(Output_0000[[#Headers],[WP_HL2]], Output_0000[[#This Row],[Date]])</f>
        <v/>
      </c>
      <c r="AT16" s="58"/>
      <c r="AU16" s="58" t="str">
        <f ca="1">WeeklyPlanned(Output_0000[[#Headers],[WP_HBCeil]], Output_0000[[#This Row],[Date]])</f>
        <v/>
      </c>
      <c r="AV16" s="58"/>
    </row>
    <row r="17" spans="2:48" ht="15.5" x14ac:dyDescent="0.35">
      <c r="B17" s="37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0"/>
      <c r="R17" s="65"/>
      <c r="S17" s="66" t="s">
        <v>104</v>
      </c>
      <c r="T17" s="66" t="s">
        <v>117</v>
      </c>
      <c r="U17" s="67">
        <v>44131</v>
      </c>
      <c r="V17" s="67">
        <v>44140</v>
      </c>
      <c r="W17" s="68">
        <v>132</v>
      </c>
      <c r="X17" s="68"/>
      <c r="AA17" s="54">
        <f t="shared" si="1"/>
        <v>44068</v>
      </c>
      <c r="AB17" s="56">
        <f ca="1">PrimaryAreas(8)</f>
        <v>0</v>
      </c>
      <c r="AC1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8">
        <f ca="1">SUM($AC$14:AC17)</f>
        <v>148</v>
      </c>
      <c r="AF17" s="58" t="e">
        <f>IF(AD17="",NA(),SUM($AD$14:AD17))</f>
        <v>#N/A</v>
      </c>
      <c r="AG17" s="58" t="str">
        <f ca="1">WeeklyPlanned(Output_0000[[#Headers],[WP_ABC]], Output_0000[[#This Row],[Date]])</f>
        <v/>
      </c>
      <c r="AH17" s="58"/>
      <c r="AI17" s="58" t="str">
        <f ca="1">WeeklyPlanned(Output_0000[[#Headers],[WP_ACS]], Output_0000[[#This Row],[Date]])</f>
        <v/>
      </c>
      <c r="AJ17" s="58"/>
      <c r="AK17" s="58" t="str">
        <f ca="1">WeeklyPlanned(Output_0000[[#Headers],[WP_AL1]], Output_0000[[#This Row],[Date]])</f>
        <v/>
      </c>
      <c r="AL17" s="58"/>
      <c r="AM17" s="58" t="str">
        <f ca="1">WeeklyPlanned(Output_0000[[#Headers],[WP_HBase]], Output_0000[[#This Row],[Date]])</f>
        <v/>
      </c>
      <c r="AN17" s="58"/>
      <c r="AO17" s="58" t="str">
        <f ca="1">WeeklyPlanned(Output_0000[[#Headers],[WP_HWST]], Output_0000[[#This Row],[Date]])</f>
        <v/>
      </c>
      <c r="AP17" s="58"/>
      <c r="AQ17" s="58" t="str">
        <f ca="1">WeeklyPlanned(Output_0000[[#Headers],[WP_HWSR]], Output_0000[[#This Row],[Date]])</f>
        <v/>
      </c>
      <c r="AR17" s="58"/>
      <c r="AS17" s="58" t="str">
        <f ca="1">WeeklyPlanned(Output_0000[[#Headers],[WP_HL2]], Output_0000[[#This Row],[Date]])</f>
        <v/>
      </c>
      <c r="AT17" s="58"/>
      <c r="AU17" s="58" t="str">
        <f ca="1">WeeklyPlanned(Output_0000[[#Headers],[WP_HBCeil]], Output_0000[[#This Row],[Date]])</f>
        <v/>
      </c>
      <c r="AV17" s="58"/>
    </row>
    <row r="18" spans="2:48" ht="15.5" x14ac:dyDescent="0.35">
      <c r="B18" s="37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0"/>
      <c r="R18" s="65"/>
      <c r="S18" s="66" t="s">
        <v>105</v>
      </c>
      <c r="T18" s="66" t="s">
        <v>118</v>
      </c>
      <c r="U18" s="67">
        <v>44113</v>
      </c>
      <c r="V18" s="67">
        <v>44181</v>
      </c>
      <c r="W18" s="68">
        <v>103</v>
      </c>
      <c r="X18" s="68"/>
      <c r="AA18" s="54">
        <f t="shared" si="1"/>
        <v>44075</v>
      </c>
      <c r="AB18" s="56">
        <f ca="1">PrimaryAreas(8)</f>
        <v>0</v>
      </c>
      <c r="AC1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8">
        <f ca="1">SUM($AC$14:AC18)</f>
        <v>148</v>
      </c>
      <c r="AF18" s="58" t="e">
        <f>IF(AD18="",NA(),SUM($AD$14:AD18))</f>
        <v>#N/A</v>
      </c>
      <c r="AG18" s="58" t="str">
        <f ca="1">WeeklyPlanned(Output_0000[[#Headers],[WP_ABC]], Output_0000[[#This Row],[Date]])</f>
        <v/>
      </c>
      <c r="AH18" s="58"/>
      <c r="AI18" s="58" t="str">
        <f ca="1">WeeklyPlanned(Output_0000[[#Headers],[WP_ACS]], Output_0000[[#This Row],[Date]])</f>
        <v/>
      </c>
      <c r="AJ18" s="58"/>
      <c r="AK18" s="58" t="str">
        <f ca="1">WeeklyPlanned(Output_0000[[#Headers],[WP_AL1]], Output_0000[[#This Row],[Date]])</f>
        <v/>
      </c>
      <c r="AL18" s="58"/>
      <c r="AM18" s="58" t="str">
        <f ca="1">WeeklyPlanned(Output_0000[[#Headers],[WP_HBase]], Output_0000[[#This Row],[Date]])</f>
        <v/>
      </c>
      <c r="AN18" s="58"/>
      <c r="AO18" s="58" t="str">
        <f ca="1">WeeklyPlanned(Output_0000[[#Headers],[WP_HWST]], Output_0000[[#This Row],[Date]])</f>
        <v/>
      </c>
      <c r="AP18" s="58"/>
      <c r="AQ18" s="58" t="str">
        <f ca="1">WeeklyPlanned(Output_0000[[#Headers],[WP_HWSR]], Output_0000[[#This Row],[Date]])</f>
        <v/>
      </c>
      <c r="AR18" s="58"/>
      <c r="AS18" s="58" t="str">
        <f ca="1">WeeklyPlanned(Output_0000[[#Headers],[WP_HL2]], Output_0000[[#This Row],[Date]])</f>
        <v/>
      </c>
      <c r="AT18" s="58"/>
      <c r="AU18" s="58" t="str">
        <f ca="1">WeeklyPlanned(Output_0000[[#Headers],[WP_HBCeil]], Output_0000[[#This Row],[Date]])</f>
        <v/>
      </c>
      <c r="AV18" s="58"/>
    </row>
    <row r="19" spans="2:48" ht="15.5" x14ac:dyDescent="0.35">
      <c r="B19" s="37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0"/>
      <c r="R19" s="65"/>
      <c r="S19" s="66" t="s">
        <v>107</v>
      </c>
      <c r="T19" s="66" t="s">
        <v>119</v>
      </c>
      <c r="U19" s="67">
        <v>44182</v>
      </c>
      <c r="V19" s="67">
        <v>44195</v>
      </c>
      <c r="W19" s="68">
        <v>30</v>
      </c>
      <c r="X19" s="68"/>
      <c r="AA19" s="54">
        <f t="shared" si="1"/>
        <v>44082</v>
      </c>
      <c r="AB19" s="56">
        <f ca="1">PrimaryAreas(8)</f>
        <v>0</v>
      </c>
      <c r="AC1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8">
        <f ca="1">SUM($AC$14:AC19)</f>
        <v>148</v>
      </c>
      <c r="AF19" s="58" t="e">
        <f>IF(AD19="",NA(),SUM($AD$14:AD19))</f>
        <v>#N/A</v>
      </c>
      <c r="AG19" s="58" t="str">
        <f ca="1">WeeklyPlanned(Output_0000[[#Headers],[WP_ABC]], Output_0000[[#This Row],[Date]])</f>
        <v/>
      </c>
      <c r="AH19" s="58"/>
      <c r="AI19" s="58" t="str">
        <f ca="1">WeeklyPlanned(Output_0000[[#Headers],[WP_ACS]], Output_0000[[#This Row],[Date]])</f>
        <v/>
      </c>
      <c r="AJ19" s="58"/>
      <c r="AK19" s="58" t="str">
        <f ca="1">WeeklyPlanned(Output_0000[[#Headers],[WP_AL1]], Output_0000[[#This Row],[Date]])</f>
        <v/>
      </c>
      <c r="AL19" s="58"/>
      <c r="AM19" s="58" t="str">
        <f ca="1">WeeklyPlanned(Output_0000[[#Headers],[WP_HBase]], Output_0000[[#This Row],[Date]])</f>
        <v/>
      </c>
      <c r="AN19" s="58"/>
      <c r="AO19" s="58" t="str">
        <f ca="1">WeeklyPlanned(Output_0000[[#Headers],[WP_HWST]], Output_0000[[#This Row],[Date]])</f>
        <v/>
      </c>
      <c r="AP19" s="58"/>
      <c r="AQ19" s="58" t="str">
        <f ca="1">WeeklyPlanned(Output_0000[[#Headers],[WP_HWSR]], Output_0000[[#This Row],[Date]])</f>
        <v/>
      </c>
      <c r="AR19" s="58"/>
      <c r="AS19" s="58" t="str">
        <f ca="1">WeeklyPlanned(Output_0000[[#Headers],[WP_HL2]], Output_0000[[#This Row],[Date]])</f>
        <v/>
      </c>
      <c r="AT19" s="58"/>
      <c r="AU19" s="58" t="str">
        <f ca="1">WeeklyPlanned(Output_0000[[#Headers],[WP_HBCeil]], Output_0000[[#This Row],[Date]])</f>
        <v/>
      </c>
      <c r="AV19" s="58"/>
    </row>
    <row r="20" spans="2:48" ht="15.5" x14ac:dyDescent="0.35">
      <c r="B20" s="37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0"/>
      <c r="R20" s="65"/>
      <c r="S20" s="66" t="s">
        <v>108</v>
      </c>
      <c r="T20" s="66" t="s">
        <v>120</v>
      </c>
      <c r="U20" s="67">
        <v>44109</v>
      </c>
      <c r="V20" s="67">
        <v>44127</v>
      </c>
      <c r="W20" s="68">
        <v>245</v>
      </c>
      <c r="X20" s="68"/>
      <c r="AA20" s="54">
        <f t="shared" si="1"/>
        <v>44089</v>
      </c>
      <c r="AB20" s="56">
        <f ca="1">PrimaryAreas(8)</f>
        <v>0</v>
      </c>
      <c r="AC2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2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8">
        <f ca="1">SUM($AC$14:AC20)</f>
        <v>148</v>
      </c>
      <c r="AF20" s="58" t="e">
        <f>IF(AD20="",NA(),SUM($AD$14:AD20))</f>
        <v>#N/A</v>
      </c>
      <c r="AG20" s="58" t="str">
        <f ca="1">WeeklyPlanned(Output_0000[[#Headers],[WP_ABC]], Output_0000[[#This Row],[Date]])</f>
        <v/>
      </c>
      <c r="AH20" s="58"/>
      <c r="AI20" s="58" t="str">
        <f ca="1">WeeklyPlanned(Output_0000[[#Headers],[WP_ACS]], Output_0000[[#This Row],[Date]])</f>
        <v/>
      </c>
      <c r="AJ20" s="58"/>
      <c r="AK20" s="58" t="str">
        <f ca="1">WeeklyPlanned(Output_0000[[#Headers],[WP_AL1]], Output_0000[[#This Row],[Date]])</f>
        <v/>
      </c>
      <c r="AL20" s="58"/>
      <c r="AM20" s="58" t="str">
        <f ca="1">WeeklyPlanned(Output_0000[[#Headers],[WP_HBase]], Output_0000[[#This Row],[Date]])</f>
        <v/>
      </c>
      <c r="AN20" s="58"/>
      <c r="AO20" s="58" t="str">
        <f ca="1">WeeklyPlanned(Output_0000[[#Headers],[WP_HWST]], Output_0000[[#This Row],[Date]])</f>
        <v/>
      </c>
      <c r="AP20" s="58"/>
      <c r="AQ20" s="58" t="str">
        <f ca="1">WeeklyPlanned(Output_0000[[#Headers],[WP_HWSR]], Output_0000[[#This Row],[Date]])</f>
        <v/>
      </c>
      <c r="AR20" s="58"/>
      <c r="AS20" s="58" t="str">
        <f ca="1">WeeklyPlanned(Output_0000[[#Headers],[WP_HL2]], Output_0000[[#This Row],[Date]])</f>
        <v/>
      </c>
      <c r="AT20" s="58"/>
      <c r="AU20" s="58" t="str">
        <f ca="1">WeeklyPlanned(Output_0000[[#Headers],[WP_HBCeil]], Output_0000[[#This Row],[Date]])</f>
        <v/>
      </c>
      <c r="AV20" s="58"/>
    </row>
    <row r="21" spans="2:48" ht="15.5" x14ac:dyDescent="0.35">
      <c r="B21" s="37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0"/>
      <c r="R21" s="65"/>
      <c r="S21" s="66" t="s">
        <v>109</v>
      </c>
      <c r="T21" s="66" t="s">
        <v>121</v>
      </c>
      <c r="U21" s="67">
        <v>44089</v>
      </c>
      <c r="V21" s="67">
        <v>44104</v>
      </c>
      <c r="W21" s="68">
        <v>29</v>
      </c>
      <c r="X21" s="68"/>
      <c r="AA21" s="54">
        <f>IF(AA20 = "Date", $S$4, AA20+7)</f>
        <v>44096</v>
      </c>
      <c r="AB21" s="56" t="str">
        <f ca="1">PrimaryAreas(8)</f>
        <v>HBCeil</v>
      </c>
      <c r="AC2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8">
        <f ca="1">SUM($AC$14:AC21)</f>
        <v>160.08333333333334</v>
      </c>
      <c r="AF21" s="58" t="e">
        <f>IF(AD21="",NA(),SUM($AD$14:AD21))</f>
        <v>#N/A</v>
      </c>
      <c r="AG21" s="58" t="str">
        <f ca="1">WeeklyPlanned(Output_0000[[#Headers],[WP_ABC]], Output_0000[[#This Row],[Date]])</f>
        <v/>
      </c>
      <c r="AH21" s="58"/>
      <c r="AI21" s="58" t="str">
        <f ca="1">WeeklyPlanned(Output_0000[[#Headers],[WP_ACS]], Output_0000[[#This Row],[Date]])</f>
        <v/>
      </c>
      <c r="AJ21" s="58"/>
      <c r="AK21" s="58" t="str">
        <f ca="1">WeeklyPlanned(Output_0000[[#Headers],[WP_AL1]], Output_0000[[#This Row],[Date]])</f>
        <v/>
      </c>
      <c r="AL21" s="58"/>
      <c r="AM21" s="58" t="str">
        <f ca="1">WeeklyPlanned(Output_0000[[#Headers],[WP_HBase]], Output_0000[[#This Row],[Date]])</f>
        <v/>
      </c>
      <c r="AN21" s="58"/>
      <c r="AO21" s="58" t="str">
        <f ca="1">WeeklyPlanned(Output_0000[[#Headers],[WP_HWST]], Output_0000[[#This Row],[Date]])</f>
        <v/>
      </c>
      <c r="AP21" s="58"/>
      <c r="AQ21" s="58" t="str">
        <f ca="1">WeeklyPlanned(Output_0000[[#Headers],[WP_HWSR]], Output_0000[[#This Row],[Date]])</f>
        <v/>
      </c>
      <c r="AR21" s="58"/>
      <c r="AS21" s="58" t="str">
        <f ca="1">WeeklyPlanned(Output_0000[[#Headers],[WP_HL2]], Output_0000[[#This Row],[Date]])</f>
        <v/>
      </c>
      <c r="AT21" s="58"/>
      <c r="AU21" s="58">
        <f ca="1">WeeklyPlanned(Output_0000[[#Headers],[WP_HBCeil]], Output_0000[[#This Row],[Date]])</f>
        <v>12.083333333333332</v>
      </c>
      <c r="AV21" s="58"/>
    </row>
    <row r="22" spans="2:48" ht="15.5" x14ac:dyDescent="0.35">
      <c r="B22" s="37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0"/>
      <c r="AA22" s="54">
        <f>IF(AA21 = "Date", $S$4, AA21+7)</f>
        <v>44103</v>
      </c>
      <c r="AB22" s="56" t="str">
        <f ca="1">PrimaryAreas(8)</f>
        <v>HBCeil</v>
      </c>
      <c r="AC2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8">
        <f ca="1">SUM($AC$14:AC22)</f>
        <v>172.16666666666669</v>
      </c>
      <c r="AF22" s="58" t="e">
        <f>IF(AD22="",NA(),SUM($AD$14:AD22))</f>
        <v>#N/A</v>
      </c>
      <c r="AG22" s="58" t="str">
        <f ca="1">WeeklyPlanned(Output_0000[[#Headers],[WP_ABC]], Output_0000[[#This Row],[Date]])</f>
        <v/>
      </c>
      <c r="AH22" s="58"/>
      <c r="AI22" s="58" t="str">
        <f ca="1">WeeklyPlanned(Output_0000[[#Headers],[WP_ACS]], Output_0000[[#This Row],[Date]])</f>
        <v/>
      </c>
      <c r="AJ22" s="58"/>
      <c r="AK22" s="58" t="str">
        <f ca="1">WeeklyPlanned(Output_0000[[#Headers],[WP_AL1]], Output_0000[[#This Row],[Date]])</f>
        <v/>
      </c>
      <c r="AL22" s="58"/>
      <c r="AM22" s="58" t="str">
        <f ca="1">WeeklyPlanned(Output_0000[[#Headers],[WP_HBase]], Output_0000[[#This Row],[Date]])</f>
        <v/>
      </c>
      <c r="AN22" s="58"/>
      <c r="AO22" s="58" t="str">
        <f ca="1">WeeklyPlanned(Output_0000[[#Headers],[WP_HWST]], Output_0000[[#This Row],[Date]])</f>
        <v/>
      </c>
      <c r="AP22" s="58"/>
      <c r="AQ22" s="58" t="str">
        <f ca="1">WeeklyPlanned(Output_0000[[#Headers],[WP_HWSR]], Output_0000[[#This Row],[Date]])</f>
        <v/>
      </c>
      <c r="AR22" s="58"/>
      <c r="AS22" s="58" t="str">
        <f ca="1">WeeklyPlanned(Output_0000[[#Headers],[WP_HL2]], Output_0000[[#This Row],[Date]])</f>
        <v/>
      </c>
      <c r="AT22" s="58"/>
      <c r="AU22" s="58">
        <f ca="1">WeeklyPlanned(Output_0000[[#Headers],[WP_HBCeil]], Output_0000[[#This Row],[Date]])</f>
        <v>12.083333333333332</v>
      </c>
      <c r="AV22" s="58"/>
    </row>
    <row r="23" spans="2:48" ht="15.5" x14ac:dyDescent="0.35">
      <c r="B23" s="37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0"/>
      <c r="AA23" s="54">
        <f>IF(AA22 = "Date", $S$4, AA22+7)</f>
        <v>44110</v>
      </c>
      <c r="AB23" s="56" t="str">
        <f ca="1">PrimaryAreas(8)</f>
        <v>ACS, HL2, HBCeil</v>
      </c>
      <c r="AC2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82.36666666666666</v>
      </c>
      <c r="AD2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8">
        <f ca="1">SUM($AC$14:AC23)</f>
        <v>254.53333333333336</v>
      </c>
      <c r="AF23" s="58" t="e">
        <f>IF(AD23="",NA(),SUM($AD$14:AD23))</f>
        <v>#N/A</v>
      </c>
      <c r="AG23" s="58" t="str">
        <f ca="1">WeeklyPlanned(Output_0000[[#Headers],[WP_ABC]], Output_0000[[#This Row],[Date]])</f>
        <v/>
      </c>
      <c r="AH23" s="58"/>
      <c r="AI23" s="58">
        <f ca="1">WeeklyPlanned(Output_0000[[#Headers],[WP_ACS]], Output_0000[[#This Row],[Date]])</f>
        <v>61.199999999999996</v>
      </c>
      <c r="AJ23" s="58"/>
      <c r="AK23" s="58" t="str">
        <f ca="1">WeeklyPlanned(Output_0000[[#Headers],[WP_AL1]], Output_0000[[#This Row],[Date]])</f>
        <v/>
      </c>
      <c r="AL23" s="58"/>
      <c r="AM23" s="58" t="str">
        <f ca="1">WeeklyPlanned(Output_0000[[#Headers],[WP_HBase]], Output_0000[[#This Row],[Date]])</f>
        <v/>
      </c>
      <c r="AN23" s="58"/>
      <c r="AO23" s="58" t="str">
        <f ca="1">WeeklyPlanned(Output_0000[[#Headers],[WP_HWST]], Output_0000[[#This Row],[Date]])</f>
        <v/>
      </c>
      <c r="AP23" s="58"/>
      <c r="AQ23" s="58" t="str">
        <f ca="1">WeeklyPlanned(Output_0000[[#Headers],[WP_HWSR]], Output_0000[[#This Row],[Date]])</f>
        <v/>
      </c>
      <c r="AR23" s="58"/>
      <c r="AS23" s="58">
        <f ca="1">WeeklyPlanned(Output_0000[[#Headers],[WP_HL2]], Output_0000[[#This Row],[Date]])</f>
        <v>16.333333333333332</v>
      </c>
      <c r="AT23" s="58"/>
      <c r="AU23" s="58">
        <f ca="1">WeeklyPlanned(Output_0000[[#Headers],[WP_HBCeil]], Output_0000[[#This Row],[Date]])</f>
        <v>4.833333333333333</v>
      </c>
      <c r="AV23" s="58"/>
    </row>
    <row r="24" spans="2:48" ht="15.5" x14ac:dyDescent="0.35">
      <c r="B24" s="37"/>
      <c r="C24" s="59" t="s">
        <v>59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0"/>
      <c r="AA24" s="54">
        <f>IF(AA23 = "Date", $S$4, AA23+7)</f>
        <v>44117</v>
      </c>
      <c r="AB24" s="56" t="str">
        <f ca="1">PrimaryAreas(8)</f>
        <v>ACS, HWST, HL2</v>
      </c>
      <c r="AC2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126.67074829931971</v>
      </c>
      <c r="AD2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8">
        <f ca="1">SUM($AC$14:AC24)</f>
        <v>381.20408163265307</v>
      </c>
      <c r="AF24" s="58" t="e">
        <f>IF(AD24="",NA(),SUM($AD$14:AD24))</f>
        <v>#N/A</v>
      </c>
      <c r="AG24" s="58" t="str">
        <f ca="1">WeeklyPlanned(Output_0000[[#Headers],[WP_ABC]], Output_0000[[#This Row],[Date]])</f>
        <v/>
      </c>
      <c r="AH24" s="58"/>
      <c r="AI24" s="58">
        <f ca="1">WeeklyPlanned(Output_0000[[#Headers],[WP_ACS]], Output_0000[[#This Row],[Date]])</f>
        <v>40.799999999999997</v>
      </c>
      <c r="AJ24" s="58"/>
      <c r="AK24" s="58" t="str">
        <f ca="1">WeeklyPlanned(Output_0000[[#Headers],[WP_AL1]], Output_0000[[#This Row],[Date]])</f>
        <v/>
      </c>
      <c r="AL24" s="58"/>
      <c r="AM24" s="58" t="str">
        <f ca="1">WeeklyPlanned(Output_0000[[#Headers],[WP_HBase]], Output_0000[[#This Row],[Date]])</f>
        <v/>
      </c>
      <c r="AN24" s="58"/>
      <c r="AO24" s="58">
        <f ca="1">WeeklyPlanned(Output_0000[[#Headers],[WP_HWST]], Output_0000[[#This Row],[Date]])</f>
        <v>4.204081632653061</v>
      </c>
      <c r="AP24" s="58"/>
      <c r="AQ24" s="58" t="str">
        <f ca="1">WeeklyPlanned(Output_0000[[#Headers],[WP_HWSR]], Output_0000[[#This Row],[Date]])</f>
        <v/>
      </c>
      <c r="AR24" s="58"/>
      <c r="AS24" s="58">
        <f ca="1">WeeklyPlanned(Output_0000[[#Headers],[WP_HL2]], Output_0000[[#This Row],[Date]])</f>
        <v>81.666666666666657</v>
      </c>
      <c r="AT24" s="58"/>
      <c r="AU24" s="58" t="str">
        <f ca="1">WeeklyPlanned(Output_0000[[#Headers],[WP_HBCeil]], Output_0000[[#This Row],[Date]])</f>
        <v/>
      </c>
      <c r="AV24" s="58"/>
    </row>
    <row r="25" spans="2:48" ht="15.5" x14ac:dyDescent="0.35">
      <c r="B25" s="37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0"/>
      <c r="AA25" s="54">
        <f>IF(AA24 = "Date", $S$4, AA24+7)</f>
        <v>44124</v>
      </c>
      <c r="AB25" s="56" t="str">
        <f ca="1">PrimaryAreas(8)</f>
        <v>HWST, HL2</v>
      </c>
      <c r="AC2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8">
        <f ca="1">SUM($AC$14:AC25)</f>
        <v>473.38095238095241</v>
      </c>
      <c r="AF25" s="58" t="e">
        <f>IF(AD25="",NA(),SUM($AD$14:AD25))</f>
        <v>#N/A</v>
      </c>
      <c r="AG25" s="58" t="str">
        <f ca="1">WeeklyPlanned(Output_0000[[#Headers],[WP_ABC]], Output_0000[[#This Row],[Date]])</f>
        <v/>
      </c>
      <c r="AH25" s="58"/>
      <c r="AI25" s="58" t="str">
        <f ca="1">WeeklyPlanned(Output_0000[[#Headers],[WP_ACS]], Output_0000[[#This Row],[Date]])</f>
        <v/>
      </c>
      <c r="AJ25" s="58"/>
      <c r="AK25" s="58" t="str">
        <f ca="1">WeeklyPlanned(Output_0000[[#Headers],[WP_AL1]], Output_0000[[#This Row],[Date]])</f>
        <v/>
      </c>
      <c r="AL25" s="58"/>
      <c r="AM25" s="58" t="str">
        <f ca="1">WeeklyPlanned(Output_0000[[#Headers],[WP_HBase]], Output_0000[[#This Row],[Date]])</f>
        <v/>
      </c>
      <c r="AN25" s="58"/>
      <c r="AO25" s="58">
        <f ca="1">WeeklyPlanned(Output_0000[[#Headers],[WP_HWST]], Output_0000[[#This Row],[Date]])</f>
        <v>10.510204081632653</v>
      </c>
      <c r="AP25" s="58"/>
      <c r="AQ25" s="58" t="str">
        <f ca="1">WeeklyPlanned(Output_0000[[#Headers],[WP_HWSR]], Output_0000[[#This Row],[Date]])</f>
        <v/>
      </c>
      <c r="AR25" s="58"/>
      <c r="AS25" s="58">
        <f ca="1">WeeklyPlanned(Output_0000[[#Headers],[WP_HL2]], Output_0000[[#This Row],[Date]])</f>
        <v>81.666666666666657</v>
      </c>
      <c r="AT25" s="58"/>
      <c r="AU25" s="58" t="str">
        <f ca="1">WeeklyPlanned(Output_0000[[#Headers],[WP_HBCeil]], Output_0000[[#This Row],[Date]])</f>
        <v/>
      </c>
      <c r="AV25" s="58"/>
    </row>
    <row r="26" spans="2:48" ht="15.5" x14ac:dyDescent="0.35">
      <c r="B26" s="37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0"/>
      <c r="S26" s="44"/>
      <c r="AA26" s="54">
        <f>IF(AA25 = "Date", $S$4, AA25+7)</f>
        <v>44131</v>
      </c>
      <c r="AB26" s="56" t="str">
        <f ca="1">PrimaryAreas(8)</f>
        <v>HWST, HL2</v>
      </c>
      <c r="AC2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75.843537414965979</v>
      </c>
      <c r="AD2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8">
        <f ca="1">SUM($AC$14:AC26)</f>
        <v>549.22448979591843</v>
      </c>
      <c r="AF26" s="58" t="e">
        <f>IF(AD26="",NA(),SUM($AD$14:AD26))</f>
        <v>#N/A</v>
      </c>
      <c r="AG26" s="58" t="str">
        <f ca="1">WeeklyPlanned(Output_0000[[#Headers],[WP_ABC]], Output_0000[[#This Row],[Date]])</f>
        <v/>
      </c>
      <c r="AH26" s="58"/>
      <c r="AI26" s="58" t="str">
        <f ca="1">WeeklyPlanned(Output_0000[[#Headers],[WP_ACS]], Output_0000[[#This Row],[Date]])</f>
        <v/>
      </c>
      <c r="AJ26" s="58"/>
      <c r="AK26" s="58" t="str">
        <f ca="1">WeeklyPlanned(Output_0000[[#Headers],[WP_AL1]], Output_0000[[#This Row],[Date]])</f>
        <v/>
      </c>
      <c r="AL26" s="58"/>
      <c r="AM26" s="58" t="str">
        <f ca="1">WeeklyPlanned(Output_0000[[#Headers],[WP_HBase]], Output_0000[[#This Row],[Date]])</f>
        <v/>
      </c>
      <c r="AN26" s="58"/>
      <c r="AO26" s="58">
        <f ca="1">WeeklyPlanned(Output_0000[[#Headers],[WP_HWST]], Output_0000[[#This Row],[Date]])</f>
        <v>10.510204081632653</v>
      </c>
      <c r="AP26" s="58"/>
      <c r="AQ26" s="58" t="str">
        <f ca="1">WeeklyPlanned(Output_0000[[#Headers],[WP_HWSR]], Output_0000[[#This Row],[Date]])</f>
        <v/>
      </c>
      <c r="AR26" s="58"/>
      <c r="AS26" s="58">
        <f ca="1">WeeklyPlanned(Output_0000[[#Headers],[WP_HL2]], Output_0000[[#This Row],[Date]])</f>
        <v>65.333333333333329</v>
      </c>
      <c r="AT26" s="58"/>
      <c r="AU26" s="58" t="str">
        <f ca="1">WeeklyPlanned(Output_0000[[#Headers],[WP_HBCeil]], Output_0000[[#This Row],[Date]])</f>
        <v/>
      </c>
      <c r="AV26" s="58"/>
    </row>
    <row r="27" spans="2:48" ht="15.5" x14ac:dyDescent="0.35">
      <c r="B27" s="37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0"/>
      <c r="AA27" s="54">
        <f>IF(AA26 = "Date", $S$4, AA26+7)</f>
        <v>44138</v>
      </c>
      <c r="AB27" s="56" t="str">
        <f ca="1">PrimaryAreas(8)</f>
        <v>AL1, HBase, HWST</v>
      </c>
      <c r="AC2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176.71020408163264</v>
      </c>
      <c r="AD2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8">
        <f ca="1">SUM($AC$14:AC27)</f>
        <v>725.93469387755113</v>
      </c>
      <c r="AF27" s="58" t="e">
        <f>IF(AD27="",NA(),SUM($AD$14:AD27))</f>
        <v>#N/A</v>
      </c>
      <c r="AG27" s="58" t="str">
        <f ca="1">WeeklyPlanned(Output_0000[[#Headers],[WP_ABC]], Output_0000[[#This Row],[Date]])</f>
        <v/>
      </c>
      <c r="AH27" s="58"/>
      <c r="AI27" s="58" t="str">
        <f ca="1">WeeklyPlanned(Output_0000[[#Headers],[WP_ACS]], Output_0000[[#This Row],[Date]])</f>
        <v/>
      </c>
      <c r="AJ27" s="58"/>
      <c r="AK27" s="58">
        <f ca="1">WeeklyPlanned(Output_0000[[#Headers],[WP_AL1]], Output_0000[[#This Row],[Date]])</f>
        <v>83.699999999999989</v>
      </c>
      <c r="AL27" s="58"/>
      <c r="AM27" s="58">
        <f ca="1">WeeklyPlanned(Output_0000[[#Headers],[WP_HBase]], Output_0000[[#This Row],[Date]])</f>
        <v>82.5</v>
      </c>
      <c r="AN27" s="58"/>
      <c r="AO27" s="58">
        <f ca="1">WeeklyPlanned(Output_0000[[#Headers],[WP_HWST]], Output_0000[[#This Row],[Date]])</f>
        <v>10.510204081632653</v>
      </c>
      <c r="AP27" s="58"/>
      <c r="AQ27" s="58" t="str">
        <f ca="1">WeeklyPlanned(Output_0000[[#Headers],[WP_HWSR]], Output_0000[[#This Row],[Date]])</f>
        <v/>
      </c>
      <c r="AR27" s="58"/>
      <c r="AS27" s="58" t="str">
        <f ca="1">WeeklyPlanned(Output_0000[[#Headers],[WP_HL2]], Output_0000[[#This Row],[Date]])</f>
        <v/>
      </c>
      <c r="AT27" s="58"/>
      <c r="AU27" s="58" t="str">
        <f ca="1">WeeklyPlanned(Output_0000[[#Headers],[WP_HBCeil]], Output_0000[[#This Row],[Date]])</f>
        <v/>
      </c>
      <c r="AV27" s="58"/>
    </row>
    <row r="28" spans="2:48" ht="15.5" x14ac:dyDescent="0.35">
      <c r="B28" s="37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0"/>
      <c r="AA28" s="54">
        <f>IF(AA27 = "Date", $S$4, AA27+7)</f>
        <v>44145</v>
      </c>
      <c r="AB28" s="56" t="str">
        <f ca="1">PrimaryAreas(8)</f>
        <v>AL1, HBase, HWST</v>
      </c>
      <c r="AC2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199.51020408163265</v>
      </c>
      <c r="AD2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8">
        <f ca="1">SUM($AC$14:AC28)</f>
        <v>925.44489795918378</v>
      </c>
      <c r="AF28" s="58" t="e">
        <f>IF(AD28="",NA(),SUM($AD$14:AD28))</f>
        <v>#N/A</v>
      </c>
      <c r="AG28" s="58" t="str">
        <f ca="1">WeeklyPlanned(Output_0000[[#Headers],[WP_ABC]], Output_0000[[#This Row],[Date]])</f>
        <v/>
      </c>
      <c r="AH28" s="58"/>
      <c r="AI28" s="58" t="str">
        <f ca="1">WeeklyPlanned(Output_0000[[#Headers],[WP_ACS]], Output_0000[[#This Row],[Date]])</f>
        <v/>
      </c>
      <c r="AJ28" s="58"/>
      <c r="AK28" s="58">
        <f ca="1">WeeklyPlanned(Output_0000[[#Headers],[WP_AL1]], Output_0000[[#This Row],[Date]])</f>
        <v>139.5</v>
      </c>
      <c r="AL28" s="58"/>
      <c r="AM28" s="58">
        <f ca="1">WeeklyPlanned(Output_0000[[#Headers],[WP_HBase]], Output_0000[[#This Row],[Date]])</f>
        <v>49.5</v>
      </c>
      <c r="AN28" s="58"/>
      <c r="AO28" s="58">
        <f ca="1">WeeklyPlanned(Output_0000[[#Headers],[WP_HWST]], Output_0000[[#This Row],[Date]])</f>
        <v>10.510204081632653</v>
      </c>
      <c r="AP28" s="58"/>
      <c r="AQ28" s="58" t="str">
        <f ca="1">WeeklyPlanned(Output_0000[[#Headers],[WP_HWSR]], Output_0000[[#This Row],[Date]])</f>
        <v/>
      </c>
      <c r="AR28" s="58"/>
      <c r="AS28" s="58" t="str">
        <f ca="1">WeeklyPlanned(Output_0000[[#Headers],[WP_HL2]], Output_0000[[#This Row],[Date]])</f>
        <v/>
      </c>
      <c r="AT28" s="58"/>
      <c r="AU28" s="58" t="str">
        <f ca="1">WeeklyPlanned(Output_0000[[#Headers],[WP_HBCeil]], Output_0000[[#This Row],[Date]])</f>
        <v/>
      </c>
      <c r="AV28" s="58"/>
    </row>
    <row r="29" spans="2:48" ht="15.5" x14ac:dyDescent="0.35">
      <c r="B29" s="37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0"/>
      <c r="AA29" s="54">
        <f>IF(AA28 = "Date", $S$4, AA28+7)</f>
        <v>44152</v>
      </c>
      <c r="AB29" s="56" t="str">
        <f ca="1">PrimaryAreas(8)</f>
        <v>AL1, HWST</v>
      </c>
      <c r="AC2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66.310204081632648</v>
      </c>
      <c r="AD2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8">
        <f ca="1">SUM($AC$14:AC29)</f>
        <v>991.75510204081638</v>
      </c>
      <c r="AF29" s="58" t="e">
        <f>IF(AD29="",NA(),SUM($AD$14:AD29))</f>
        <v>#N/A</v>
      </c>
      <c r="AG29" s="58" t="str">
        <f ca="1">WeeklyPlanned(Output_0000[[#Headers],[WP_ABC]], Output_0000[[#This Row],[Date]])</f>
        <v/>
      </c>
      <c r="AH29" s="58"/>
      <c r="AI29" s="58" t="str">
        <f ca="1">WeeklyPlanned(Output_0000[[#Headers],[WP_ACS]], Output_0000[[#This Row],[Date]])</f>
        <v/>
      </c>
      <c r="AJ29" s="58"/>
      <c r="AK29" s="58">
        <f ca="1">WeeklyPlanned(Output_0000[[#Headers],[WP_AL1]], Output_0000[[#This Row],[Date]])</f>
        <v>55.8</v>
      </c>
      <c r="AL29" s="58"/>
      <c r="AM29" s="58" t="str">
        <f ca="1">WeeklyPlanned(Output_0000[[#Headers],[WP_HBase]], Output_0000[[#This Row],[Date]])</f>
        <v/>
      </c>
      <c r="AN29" s="58"/>
      <c r="AO29" s="58">
        <f ca="1">WeeklyPlanned(Output_0000[[#Headers],[WP_HWST]], Output_0000[[#This Row],[Date]])</f>
        <v>10.510204081632653</v>
      </c>
      <c r="AP29" s="58"/>
      <c r="AQ29" s="58" t="str">
        <f ca="1">WeeklyPlanned(Output_0000[[#Headers],[WP_HWSR]], Output_0000[[#This Row],[Date]])</f>
        <v/>
      </c>
      <c r="AR29" s="58"/>
      <c r="AS29" s="58" t="str">
        <f ca="1">WeeklyPlanned(Output_0000[[#Headers],[WP_HL2]], Output_0000[[#This Row],[Date]])</f>
        <v/>
      </c>
      <c r="AT29" s="58"/>
      <c r="AU29" s="58" t="str">
        <f ca="1">WeeklyPlanned(Output_0000[[#Headers],[WP_HBCeil]], Output_0000[[#This Row],[Date]])</f>
        <v/>
      </c>
      <c r="AV29" s="58"/>
    </row>
    <row r="30" spans="2:48" ht="15.5" x14ac:dyDescent="0.35">
      <c r="B30" s="37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0"/>
      <c r="AA30" s="54">
        <f>IF(AA29 = "Date", $S$4, AA29+7)</f>
        <v>44159</v>
      </c>
      <c r="AB30" s="56" t="str">
        <f ca="1">PrimaryAreas(8)</f>
        <v>HWST</v>
      </c>
      <c r="AC3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8">
        <f ca="1">SUM($AC$14:AC30)</f>
        <v>1002.265306122449</v>
      </c>
      <c r="AF30" s="58" t="e">
        <f>IF(AD30="",NA(),SUM($AD$14:AD30))</f>
        <v>#N/A</v>
      </c>
      <c r="AG30" s="58" t="str">
        <f ca="1">WeeklyPlanned(Output_0000[[#Headers],[WP_ABC]], Output_0000[[#This Row],[Date]])</f>
        <v/>
      </c>
      <c r="AH30" s="58"/>
      <c r="AI30" s="58" t="str">
        <f ca="1">WeeklyPlanned(Output_0000[[#Headers],[WP_ACS]], Output_0000[[#This Row],[Date]])</f>
        <v/>
      </c>
      <c r="AJ30" s="58"/>
      <c r="AK30" s="58" t="str">
        <f ca="1">WeeklyPlanned(Output_0000[[#Headers],[WP_AL1]], Output_0000[[#This Row],[Date]])</f>
        <v/>
      </c>
      <c r="AL30" s="58"/>
      <c r="AM30" s="58" t="str">
        <f ca="1">WeeklyPlanned(Output_0000[[#Headers],[WP_HBase]], Output_0000[[#This Row],[Date]])</f>
        <v/>
      </c>
      <c r="AN30" s="58"/>
      <c r="AO30" s="58">
        <f ca="1">WeeklyPlanned(Output_0000[[#Headers],[WP_HWST]], Output_0000[[#This Row],[Date]])</f>
        <v>10.510204081632653</v>
      </c>
      <c r="AP30" s="58"/>
      <c r="AQ30" s="58" t="str">
        <f ca="1">WeeklyPlanned(Output_0000[[#Headers],[WP_HWSR]], Output_0000[[#This Row],[Date]])</f>
        <v/>
      </c>
      <c r="AR30" s="58"/>
      <c r="AS30" s="58" t="str">
        <f ca="1">WeeklyPlanned(Output_0000[[#Headers],[WP_HL2]], Output_0000[[#This Row],[Date]])</f>
        <v/>
      </c>
      <c r="AT30" s="58"/>
      <c r="AU30" s="58" t="str">
        <f ca="1">WeeklyPlanned(Output_0000[[#Headers],[WP_HBCeil]], Output_0000[[#This Row],[Date]])</f>
        <v/>
      </c>
      <c r="AV30" s="58"/>
    </row>
    <row r="31" spans="2:48" ht="15.5" x14ac:dyDescent="0.35">
      <c r="B31" s="37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0"/>
      <c r="AA31" s="54">
        <f>IF(AA30 = "Date", $S$4, AA30+7)</f>
        <v>44166</v>
      </c>
      <c r="AB31" s="56" t="str">
        <f ca="1">PrimaryAreas(8)</f>
        <v>HWST</v>
      </c>
      <c r="AC3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8">
        <f ca="1">SUM($AC$14:AC31)</f>
        <v>1012.7755102040817</v>
      </c>
      <c r="AF31" s="58" t="e">
        <f>IF(AD31="",NA(),SUM($AD$14:AD31))</f>
        <v>#N/A</v>
      </c>
      <c r="AG31" s="58" t="str">
        <f ca="1">WeeklyPlanned(Output_0000[[#Headers],[WP_ABC]], Output_0000[[#This Row],[Date]])</f>
        <v/>
      </c>
      <c r="AH31" s="58"/>
      <c r="AI31" s="58" t="str">
        <f ca="1">WeeklyPlanned(Output_0000[[#Headers],[WP_ACS]], Output_0000[[#This Row],[Date]])</f>
        <v/>
      </c>
      <c r="AJ31" s="58"/>
      <c r="AK31" s="58" t="str">
        <f ca="1">WeeklyPlanned(Output_0000[[#Headers],[WP_AL1]], Output_0000[[#This Row],[Date]])</f>
        <v/>
      </c>
      <c r="AL31" s="58"/>
      <c r="AM31" s="58" t="str">
        <f ca="1">WeeklyPlanned(Output_0000[[#Headers],[WP_HBase]], Output_0000[[#This Row],[Date]])</f>
        <v/>
      </c>
      <c r="AN31" s="58"/>
      <c r="AO31" s="58">
        <f ca="1">WeeklyPlanned(Output_0000[[#Headers],[WP_HWST]], Output_0000[[#This Row],[Date]])</f>
        <v>10.510204081632653</v>
      </c>
      <c r="AP31" s="58"/>
      <c r="AQ31" s="58" t="str">
        <f ca="1">WeeklyPlanned(Output_0000[[#Headers],[WP_HWSR]], Output_0000[[#This Row],[Date]])</f>
        <v/>
      </c>
      <c r="AR31" s="58"/>
      <c r="AS31" s="58" t="str">
        <f ca="1">WeeklyPlanned(Output_0000[[#Headers],[WP_HL2]], Output_0000[[#This Row],[Date]])</f>
        <v/>
      </c>
      <c r="AT31" s="58"/>
      <c r="AU31" s="58" t="str">
        <f ca="1">WeeklyPlanned(Output_0000[[#Headers],[WP_HBCeil]], Output_0000[[#This Row],[Date]])</f>
        <v/>
      </c>
      <c r="AV31" s="58"/>
    </row>
    <row r="32" spans="2:48" ht="15.5" x14ac:dyDescent="0.35">
      <c r="B32" s="37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0"/>
      <c r="AA32" s="54">
        <f>IF(AA31 = "Date", $S$4, AA31+7)</f>
        <v>44173</v>
      </c>
      <c r="AB32" s="56" t="str">
        <f ca="1">PrimaryAreas(8)</f>
        <v>HWST</v>
      </c>
      <c r="AC3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8">
        <f ca="1">SUM($AC$14:AC32)</f>
        <v>1023.2857142857143</v>
      </c>
      <c r="AF32" s="58" t="e">
        <f>IF(AD32="",NA(),SUM($AD$14:AD32))</f>
        <v>#N/A</v>
      </c>
      <c r="AG32" s="58" t="str">
        <f ca="1">WeeklyPlanned(Output_0000[[#Headers],[WP_ABC]], Output_0000[[#This Row],[Date]])</f>
        <v/>
      </c>
      <c r="AH32" s="58"/>
      <c r="AI32" s="58" t="str">
        <f ca="1">WeeklyPlanned(Output_0000[[#Headers],[WP_ACS]], Output_0000[[#This Row],[Date]])</f>
        <v/>
      </c>
      <c r="AJ32" s="58"/>
      <c r="AK32" s="58" t="str">
        <f ca="1">WeeklyPlanned(Output_0000[[#Headers],[WP_AL1]], Output_0000[[#This Row],[Date]])</f>
        <v/>
      </c>
      <c r="AL32" s="58"/>
      <c r="AM32" s="58" t="str">
        <f ca="1">WeeklyPlanned(Output_0000[[#Headers],[WP_HBase]], Output_0000[[#This Row],[Date]])</f>
        <v/>
      </c>
      <c r="AN32" s="58"/>
      <c r="AO32" s="58">
        <f ca="1">WeeklyPlanned(Output_0000[[#Headers],[WP_HWST]], Output_0000[[#This Row],[Date]])</f>
        <v>10.510204081632653</v>
      </c>
      <c r="AP32" s="58"/>
      <c r="AQ32" s="58" t="str">
        <f ca="1">WeeklyPlanned(Output_0000[[#Headers],[WP_HWSR]], Output_0000[[#This Row],[Date]])</f>
        <v/>
      </c>
      <c r="AR32" s="58"/>
      <c r="AS32" s="58" t="str">
        <f ca="1">WeeklyPlanned(Output_0000[[#Headers],[WP_HL2]], Output_0000[[#This Row],[Date]])</f>
        <v/>
      </c>
      <c r="AT32" s="58"/>
      <c r="AU32" s="58" t="str">
        <f ca="1">WeeklyPlanned(Output_0000[[#Headers],[WP_HBCeil]], Output_0000[[#This Row],[Date]])</f>
        <v/>
      </c>
      <c r="AV32" s="58"/>
    </row>
    <row r="33" spans="2:48" ht="15.5" x14ac:dyDescent="0.35">
      <c r="B33" s="37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0"/>
      <c r="AA33" s="54">
        <f>IF(AA32 = "Date", $S$4, AA32+7)</f>
        <v>44180</v>
      </c>
      <c r="AB33" s="56" t="str">
        <f ca="1">PrimaryAreas(8)</f>
        <v>HWST</v>
      </c>
      <c r="AC3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8">
        <f ca="1">SUM($AC$14:AC33)</f>
        <v>1033.795918367347</v>
      </c>
      <c r="AF33" s="58" t="e">
        <f>IF(AD33="",NA(),SUM($AD$14:AD33))</f>
        <v>#N/A</v>
      </c>
      <c r="AG33" s="58" t="str">
        <f ca="1">WeeklyPlanned(Output_0000[[#Headers],[WP_ABC]], Output_0000[[#This Row],[Date]])</f>
        <v/>
      </c>
      <c r="AH33" s="58"/>
      <c r="AI33" s="58" t="str">
        <f ca="1">WeeklyPlanned(Output_0000[[#Headers],[WP_ACS]], Output_0000[[#This Row],[Date]])</f>
        <v/>
      </c>
      <c r="AJ33" s="58"/>
      <c r="AK33" s="58" t="str">
        <f ca="1">WeeklyPlanned(Output_0000[[#Headers],[WP_AL1]], Output_0000[[#This Row],[Date]])</f>
        <v/>
      </c>
      <c r="AL33" s="58"/>
      <c r="AM33" s="58" t="str">
        <f ca="1">WeeklyPlanned(Output_0000[[#Headers],[WP_HBase]], Output_0000[[#This Row],[Date]])</f>
        <v/>
      </c>
      <c r="AN33" s="58"/>
      <c r="AO33" s="58">
        <f ca="1">WeeklyPlanned(Output_0000[[#Headers],[WP_HWST]], Output_0000[[#This Row],[Date]])</f>
        <v>10.510204081632653</v>
      </c>
      <c r="AP33" s="58"/>
      <c r="AQ33" s="58" t="str">
        <f ca="1">WeeklyPlanned(Output_0000[[#Headers],[WP_HWSR]], Output_0000[[#This Row],[Date]])</f>
        <v/>
      </c>
      <c r="AR33" s="58"/>
      <c r="AS33" s="58" t="str">
        <f ca="1">WeeklyPlanned(Output_0000[[#Headers],[WP_HL2]], Output_0000[[#This Row],[Date]])</f>
        <v/>
      </c>
      <c r="AT33" s="58"/>
      <c r="AU33" s="58" t="str">
        <f ca="1">WeeklyPlanned(Output_0000[[#Headers],[WP_HBCeil]], Output_0000[[#This Row],[Date]])</f>
        <v/>
      </c>
      <c r="AV33" s="58"/>
    </row>
    <row r="34" spans="2:48" ht="15.5" x14ac:dyDescent="0.35">
      <c r="B34" s="37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0"/>
      <c r="AA34" s="54">
        <f>IF(AA33 = "Date", $S$4, AA33+7)</f>
        <v>44187</v>
      </c>
      <c r="AB34" s="56" t="str">
        <f ca="1">PrimaryAreas(8)</f>
        <v>HWST, HWSR</v>
      </c>
      <c r="AC3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14.204081632653061</v>
      </c>
      <c r="AD3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8">
        <f ca="1">SUM($AC$14:AC34)</f>
        <v>1048</v>
      </c>
      <c r="AF34" s="58" t="e">
        <f>IF(AD34="",NA(),SUM($AD$14:AD34))</f>
        <v>#N/A</v>
      </c>
      <c r="AG34" s="58" t="str">
        <f ca="1">WeeklyPlanned(Output_0000[[#Headers],[WP_ABC]], Output_0000[[#This Row],[Date]])</f>
        <v/>
      </c>
      <c r="AH34" s="58"/>
      <c r="AI34" s="58" t="str">
        <f ca="1">WeeklyPlanned(Output_0000[[#Headers],[WP_ACS]], Output_0000[[#This Row],[Date]])</f>
        <v/>
      </c>
      <c r="AJ34" s="58"/>
      <c r="AK34" s="58" t="str">
        <f ca="1">WeeklyPlanned(Output_0000[[#Headers],[WP_AL1]], Output_0000[[#This Row],[Date]])</f>
        <v/>
      </c>
      <c r="AL34" s="58"/>
      <c r="AM34" s="58" t="str">
        <f ca="1">WeeklyPlanned(Output_0000[[#Headers],[WP_HBase]], Output_0000[[#This Row],[Date]])</f>
        <v/>
      </c>
      <c r="AN34" s="58"/>
      <c r="AO34" s="58">
        <f ca="1">WeeklyPlanned(Output_0000[[#Headers],[WP_HWST]], Output_0000[[#This Row],[Date]])</f>
        <v>4.204081632653061</v>
      </c>
      <c r="AP34" s="58"/>
      <c r="AQ34" s="58">
        <f ca="1">WeeklyPlanned(Output_0000[[#Headers],[WP_HWSR]], Output_0000[[#This Row],[Date]])</f>
        <v>10</v>
      </c>
      <c r="AR34" s="58"/>
      <c r="AS34" s="58" t="str">
        <f ca="1">WeeklyPlanned(Output_0000[[#Headers],[WP_HL2]], Output_0000[[#This Row],[Date]])</f>
        <v/>
      </c>
      <c r="AT34" s="58"/>
      <c r="AU34" s="58" t="str">
        <f ca="1">WeeklyPlanned(Output_0000[[#Headers],[WP_HBCeil]], Output_0000[[#This Row],[Date]])</f>
        <v/>
      </c>
      <c r="AV34" s="58"/>
    </row>
    <row r="35" spans="2:48" ht="15.5" x14ac:dyDescent="0.35">
      <c r="B35" s="37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0"/>
      <c r="AA35" s="54">
        <f>IF(AA34 = "Date", $S$4, AA34+7)</f>
        <v>44194</v>
      </c>
      <c r="AB35" s="56" t="str">
        <f ca="1">PrimaryAreas(8)</f>
        <v>HWSR</v>
      </c>
      <c r="AC3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8">
        <f ca="1">SUM($AC$14:AC35)</f>
        <v>1061.3333333333333</v>
      </c>
      <c r="AF35" s="58" t="e">
        <f>IF(AD35="",NA(),SUM($AD$14:AD35))</f>
        <v>#N/A</v>
      </c>
      <c r="AG35" s="58" t="str">
        <f ca="1">WeeklyPlanned(Output_0000[[#Headers],[WP_ABC]], Output_0000[[#This Row],[Date]])</f>
        <v/>
      </c>
      <c r="AH35" s="58"/>
      <c r="AI35" s="58" t="str">
        <f ca="1">WeeklyPlanned(Output_0000[[#Headers],[WP_ACS]], Output_0000[[#This Row],[Date]])</f>
        <v/>
      </c>
      <c r="AJ35" s="58"/>
      <c r="AK35" s="58" t="str">
        <f ca="1">WeeklyPlanned(Output_0000[[#Headers],[WP_AL1]], Output_0000[[#This Row],[Date]])</f>
        <v/>
      </c>
      <c r="AL35" s="58"/>
      <c r="AM35" s="58" t="str">
        <f ca="1">WeeklyPlanned(Output_0000[[#Headers],[WP_HBase]], Output_0000[[#This Row],[Date]])</f>
        <v/>
      </c>
      <c r="AN35" s="58"/>
      <c r="AO35" s="58" t="str">
        <f ca="1">WeeklyPlanned(Output_0000[[#Headers],[WP_HWST]], Output_0000[[#This Row],[Date]])</f>
        <v/>
      </c>
      <c r="AP35" s="58"/>
      <c r="AQ35" s="58">
        <f ca="1">WeeklyPlanned(Output_0000[[#Headers],[WP_HWSR]], Output_0000[[#This Row],[Date]])</f>
        <v>13.333333333333334</v>
      </c>
      <c r="AR35" s="58"/>
      <c r="AS35" s="58" t="str">
        <f ca="1">WeeklyPlanned(Output_0000[[#Headers],[WP_HL2]], Output_0000[[#This Row],[Date]])</f>
        <v/>
      </c>
      <c r="AT35" s="58"/>
      <c r="AU35" s="58" t="str">
        <f ca="1">WeeklyPlanned(Output_0000[[#Headers],[WP_HBCeil]], Output_0000[[#This Row],[Date]])</f>
        <v/>
      </c>
      <c r="AV35" s="58"/>
    </row>
    <row r="36" spans="2:48" ht="15.5" x14ac:dyDescent="0.35">
      <c r="B36" s="37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0"/>
      <c r="AA36" s="54">
        <f>IF(AA35 = "Date", $S$4, AA35+7)</f>
        <v>44201</v>
      </c>
      <c r="AB36" s="56" t="str">
        <f ca="1">PrimaryAreas(8)</f>
        <v>HWSR</v>
      </c>
      <c r="AC3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6.666666666666667</v>
      </c>
      <c r="AD3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8">
        <f ca="1">SUM($AC$14:AC36)</f>
        <v>1068</v>
      </c>
      <c r="AF36" s="58" t="e">
        <f>IF(AD36="",NA(),SUM($AD$14:AD36))</f>
        <v>#N/A</v>
      </c>
      <c r="AG36" s="58" t="str">
        <f ca="1">WeeklyPlanned(Output_0000[[#Headers],[WP_ABC]], Output_0000[[#This Row],[Date]])</f>
        <v/>
      </c>
      <c r="AH36" s="58"/>
      <c r="AI36" s="58" t="str">
        <f ca="1">WeeklyPlanned(Output_0000[[#Headers],[WP_ACS]], Output_0000[[#This Row],[Date]])</f>
        <v/>
      </c>
      <c r="AJ36" s="58"/>
      <c r="AK36" s="58" t="str">
        <f ca="1">WeeklyPlanned(Output_0000[[#Headers],[WP_AL1]], Output_0000[[#This Row],[Date]])</f>
        <v/>
      </c>
      <c r="AL36" s="58"/>
      <c r="AM36" s="58" t="str">
        <f ca="1">WeeklyPlanned(Output_0000[[#Headers],[WP_HBase]], Output_0000[[#This Row],[Date]])</f>
        <v/>
      </c>
      <c r="AN36" s="58"/>
      <c r="AO36" s="58" t="str">
        <f ca="1">WeeklyPlanned(Output_0000[[#Headers],[WP_HWST]], Output_0000[[#This Row],[Date]])</f>
        <v/>
      </c>
      <c r="AP36" s="58"/>
      <c r="AQ36" s="58">
        <f ca="1">WeeklyPlanned(Output_0000[[#Headers],[WP_HWSR]], Output_0000[[#This Row],[Date]])</f>
        <v>6.666666666666667</v>
      </c>
      <c r="AR36" s="58"/>
      <c r="AS36" s="58" t="str">
        <f ca="1">WeeklyPlanned(Output_0000[[#Headers],[WP_HL2]], Output_0000[[#This Row],[Date]])</f>
        <v/>
      </c>
      <c r="AT36" s="58"/>
      <c r="AU36" s="58" t="str">
        <f ca="1">WeeklyPlanned(Output_0000[[#Headers],[WP_HBCeil]], Output_0000[[#This Row],[Date]])</f>
        <v/>
      </c>
      <c r="AV36" s="58"/>
    </row>
    <row r="37" spans="2:48" ht="15" x14ac:dyDescent="0.3">
      <c r="B37" s="37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0"/>
    </row>
    <row r="38" spans="2:48" ht="15" x14ac:dyDescent="0.3">
      <c r="B38" s="37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0"/>
    </row>
    <row r="39" spans="2:48" ht="15" x14ac:dyDescent="0.3">
      <c r="B39" s="37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0"/>
    </row>
    <row r="40" spans="2:48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9">
    <mergeCell ref="L14:O15"/>
    <mergeCell ref="J10:M10"/>
    <mergeCell ref="J11:M11"/>
    <mergeCell ref="J12:M12"/>
    <mergeCell ref="N12:O12"/>
    <mergeCell ref="J13:M13"/>
    <mergeCell ref="N13:O13"/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</mergeCells>
  <phoneticPr fontId="6" type="noConversion"/>
  <conditionalFormatting sqref="AF14:AV36">
    <cfRule type="containsErrors" dxfId="9" priority="7">
      <formula>ISERROR(AF14)</formula>
    </cfRule>
  </conditionalFormatting>
  <conditionalFormatting sqref="W13:X13">
    <cfRule type="expression" dxfId="8" priority="6">
      <formula>IF(OR($S$8 = "Assemble Addin", $S$8 = "Bluebeam QL"), TRUE, FALSE)</formula>
    </cfRule>
  </conditionalFormatting>
  <conditionalFormatting sqref="N6:O6">
    <cfRule type="expression" dxfId="7" priority="5">
      <formula>IF($N$6=$O$6, FALSE, TRUE)</formula>
    </cfRule>
  </conditionalFormatting>
  <conditionalFormatting sqref="W14:X21">
    <cfRule type="expression" dxfId="6" priority="3">
      <formula>IF(OR($S$8 = "Assemble Addin", $S$8 = "Bluebeam QL"), TRUE, FALSE)</formula>
    </cfRule>
    <cfRule type="expression" dxfId="5" priority="4">
      <formula>IF(OR($S$8 = "Assemble Addin", $S$8 = "Bluebeam QL"), MOD(ROW(), 2)=0, FALSE)</formula>
    </cfRule>
  </conditionalFormatting>
  <conditionalFormatting sqref="R13">
    <cfRule type="expression" dxfId="4" priority="2">
      <formula>IF($S$8 = "Assemble Addin", TRUE, FALSE)</formula>
    </cfRule>
  </conditionalFormatting>
  <conditionalFormatting sqref="R14:R21">
    <cfRule type="expression" dxfId="3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Template</vt:lpstr>
      <vt:lpstr>Settings</vt:lpstr>
      <vt:lpstr>Main</vt:lpstr>
      <vt:lpstr>0000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2020-06-11T20:46:31Z</cp:lastPrinted>
  <dcterms:created xsi:type="dcterms:W3CDTF">2019-04-09T17:53:55Z</dcterms:created>
  <dcterms:modified xsi:type="dcterms:W3CDTF">2020-06-12T00:41:07Z</dcterms:modified>
</cp:coreProperties>
</file>