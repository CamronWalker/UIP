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EB632880-C2BA-406C-B32E-684E1A1510B0}" xr6:coauthVersionLast="44" xr6:coauthVersionMax="44" xr10:uidLastSave="{00000000-0000-0000-0000-000000000000}"/>
  <bookViews>
    <workbookView xWindow="-110" yWindow="-110" windowWidth="38620" windowHeight="21220" activeTab="3" xr2:uid="{791B15CC-68B2-4D54-B53E-4FED7E26F6F4}"/>
  </bookViews>
  <sheets>
    <sheet name="Template" sheetId="3" r:id="rId1"/>
    <sheet name="Settings" sheetId="1" r:id="rId2"/>
    <sheet name="Main" sheetId="2" r:id="rId3"/>
    <sheet name="0000" sheetId="4" r:id="rId4"/>
  </sheets>
  <functionGroups builtInGroupCount="19"/>
  <definedNames>
    <definedName name="AssembleConnection">Settings!$C$11</definedName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3">'0000'!$B$2:$O$40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36" i="4" l="1"/>
  <c r="AF36" i="4" s="1"/>
  <c r="AD35" i="4"/>
  <c r="AF35" i="4" s="1"/>
  <c r="AD34" i="4"/>
  <c r="AF34" i="4" s="1"/>
  <c r="AD33" i="4"/>
  <c r="AF33" i="4" s="1"/>
  <c r="AD32" i="4"/>
  <c r="AF32" i="4" s="1"/>
  <c r="AD31" i="4"/>
  <c r="AF31" i="4" s="1"/>
  <c r="AD30" i="4"/>
  <c r="AF30" i="4" s="1"/>
  <c r="AD29" i="4"/>
  <c r="AF29" i="4" s="1"/>
  <c r="AD28" i="4"/>
  <c r="AF28" i="4" s="1"/>
  <c r="AD27" i="4"/>
  <c r="AF27" i="4" s="1"/>
  <c r="AD26" i="4"/>
  <c r="AF26" i="4" s="1"/>
  <c r="AD25" i="4"/>
  <c r="AF25" i="4" s="1"/>
  <c r="AD24" i="4"/>
  <c r="AF24" i="4" s="1"/>
  <c r="AD23" i="4"/>
  <c r="AF23" i="4" s="1"/>
  <c r="AD22" i="4"/>
  <c r="AF22" i="4" s="1"/>
  <c r="AD21" i="4"/>
  <c r="AF21" i="4" s="1"/>
  <c r="AD20" i="4"/>
  <c r="AF20" i="4" s="1"/>
  <c r="AD19" i="4"/>
  <c r="AF19" i="4" s="1"/>
  <c r="AD18" i="4"/>
  <c r="AF18" i="4" s="1"/>
  <c r="AD17" i="4"/>
  <c r="AF17" i="4" s="1"/>
  <c r="AD16" i="4"/>
  <c r="AF16" i="4" s="1"/>
  <c r="AD15" i="4"/>
  <c r="AF15" i="4" s="1"/>
  <c r="AD14" i="4"/>
  <c r="AF14" i="4" s="1"/>
  <c r="J11" i="4" l="1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D14" i="3"/>
  <c r="AF14" i="3" s="1"/>
  <c r="AG14" i="4"/>
  <c r="AI14" i="4"/>
  <c r="AK14" i="4"/>
  <c r="AM14" i="4"/>
  <c r="AO14" i="4"/>
  <c r="AQ14" i="4"/>
  <c r="AS14" i="4"/>
  <c r="AU14" i="4"/>
  <c r="AB14" i="4"/>
  <c r="AC14" i="4" l="1"/>
  <c r="AA15" i="4"/>
  <c r="AF24" i="3"/>
  <c r="AF23" i="3"/>
  <c r="AF15" i="3"/>
  <c r="S4" i="3"/>
  <c r="AG15" i="4"/>
  <c r="AI15" i="4"/>
  <c r="AK15" i="4"/>
  <c r="AM15" i="4"/>
  <c r="AO15" i="4"/>
  <c r="AQ15" i="4"/>
  <c r="AS15" i="4"/>
  <c r="AU15" i="4"/>
  <c r="AB15" i="4" s="1"/>
  <c r="N6" i="4"/>
  <c r="N12" i="4"/>
  <c r="AE14" i="4" l="1"/>
  <c r="AC15" i="4"/>
  <c r="AA16" i="4"/>
  <c r="S5" i="3"/>
  <c r="AG16" i="4"/>
  <c r="AI16" i="4"/>
  <c r="AK16" i="4"/>
  <c r="AM16" i="4"/>
  <c r="AO16" i="4"/>
  <c r="AQ16" i="4"/>
  <c r="AS16" i="4"/>
  <c r="AU16" i="4"/>
  <c r="AB16" i="4" s="1"/>
  <c r="AE15" i="4" l="1"/>
  <c r="AC16" i="4"/>
  <c r="AA17" i="4"/>
  <c r="AA14" i="3"/>
  <c r="J11" i="3"/>
  <c r="J10" i="3"/>
  <c r="J9" i="3"/>
  <c r="J8" i="3"/>
  <c r="J7" i="3"/>
  <c r="J6" i="3"/>
  <c r="AG17" i="4"/>
  <c r="AI17" i="4"/>
  <c r="AK17" i="4"/>
  <c r="AM17" i="4"/>
  <c r="AO17" i="4"/>
  <c r="AQ17" i="4"/>
  <c r="AS17" i="4"/>
  <c r="AU17" i="4"/>
  <c r="AB17" i="4" s="1"/>
  <c r="AK14" i="3"/>
  <c r="AI14" i="3"/>
  <c r="AG14" i="3"/>
  <c r="AE16" i="4" l="1"/>
  <c r="AC17" i="4"/>
  <c r="AA18" i="4"/>
  <c r="AC14" i="3"/>
  <c r="AA15" i="3"/>
  <c r="S7" i="3"/>
  <c r="L14" i="3" s="1"/>
  <c r="S3" i="3"/>
  <c r="S2" i="3"/>
  <c r="AG18" i="4"/>
  <c r="AI18" i="4"/>
  <c r="AK18" i="4"/>
  <c r="AM18" i="4"/>
  <c r="AO18" i="4"/>
  <c r="AQ18" i="4"/>
  <c r="AS18" i="4"/>
  <c r="AU18" i="4"/>
  <c r="AB18" i="4" s="1"/>
  <c r="AK15" i="3"/>
  <c r="AB14" i="3"/>
  <c r="AI15" i="3"/>
  <c r="AG15" i="3"/>
  <c r="AB15" i="3" s="1"/>
  <c r="N12" i="3"/>
  <c r="AE17" i="4" l="1"/>
  <c r="AC18" i="4"/>
  <c r="AA19" i="4"/>
  <c r="AC15" i="3"/>
  <c r="AE15" i="3" s="1"/>
  <c r="AE14" i="3"/>
  <c r="AA16" i="3"/>
  <c r="B2" i="3"/>
  <c r="C7" i="3"/>
  <c r="C6" i="3"/>
  <c r="C5" i="3"/>
  <c r="C4" i="3"/>
  <c r="AG19" i="4"/>
  <c r="AI19" i="4"/>
  <c r="AK19" i="4"/>
  <c r="AM19" i="4"/>
  <c r="AO19" i="4"/>
  <c r="AQ19" i="4"/>
  <c r="AS19" i="4"/>
  <c r="AU19" i="4"/>
  <c r="AB19" i="4" s="1"/>
  <c r="AI16" i="3"/>
  <c r="AK16" i="3"/>
  <c r="AG16" i="3"/>
  <c r="N6" i="3"/>
  <c r="AE18" i="4" l="1"/>
  <c r="AC19" i="4"/>
  <c r="AA20" i="4"/>
  <c r="AC16" i="3"/>
  <c r="AA17" i="3"/>
  <c r="AG20" i="4"/>
  <c r="AI20" i="4"/>
  <c r="AK20" i="4"/>
  <c r="AM20" i="4"/>
  <c r="AO20" i="4"/>
  <c r="AQ20" i="4"/>
  <c r="AS20" i="4"/>
  <c r="AU20" i="4"/>
  <c r="AB20" i="4" s="1"/>
  <c r="AB16" i="3"/>
  <c r="AK17" i="3"/>
  <c r="AI17" i="3"/>
  <c r="AG17" i="3"/>
  <c r="AE19" i="4" l="1"/>
  <c r="AC20" i="4"/>
  <c r="AA21" i="4"/>
  <c r="AC17" i="3"/>
  <c r="AE16" i="3"/>
  <c r="AA18" i="3"/>
  <c r="B8" i="2"/>
  <c r="B7" i="2"/>
  <c r="B6" i="2"/>
  <c r="AG21" i="4"/>
  <c r="AI21" i="4"/>
  <c r="AK21" i="4"/>
  <c r="AM21" i="4"/>
  <c r="AO21" i="4"/>
  <c r="AQ21" i="4"/>
  <c r="AS21" i="4"/>
  <c r="AU21" i="4"/>
  <c r="AB21" i="4" s="1"/>
  <c r="AI18" i="3"/>
  <c r="AK18" i="3"/>
  <c r="AG18" i="3"/>
  <c r="AB17" i="3"/>
  <c r="AE20" i="4" l="1"/>
  <c r="AC21" i="4"/>
  <c r="AA22" i="4"/>
  <c r="AC18" i="3"/>
  <c r="AE17" i="3"/>
  <c r="AA19" i="3"/>
  <c r="B2" i="2"/>
  <c r="B4" i="2"/>
  <c r="AG22" i="4"/>
  <c r="AI22" i="4"/>
  <c r="AK22" i="4"/>
  <c r="AM22" i="4"/>
  <c r="AO22" i="4"/>
  <c r="AQ22" i="4"/>
  <c r="AS22" i="4"/>
  <c r="AU22" i="4"/>
  <c r="AB22" i="4" s="1"/>
  <c r="AG19" i="3"/>
  <c r="AI19" i="3"/>
  <c r="AK19" i="3"/>
  <c r="AB18" i="3"/>
  <c r="AE21" i="4" l="1"/>
  <c r="AC22" i="4"/>
  <c r="AA23" i="4"/>
  <c r="AC19" i="3"/>
  <c r="AE18" i="3"/>
  <c r="AA20" i="3"/>
  <c r="C6" i="1"/>
  <c r="AG23" i="4"/>
  <c r="AI23" i="4"/>
  <c r="AK23" i="4"/>
  <c r="AM23" i="4"/>
  <c r="AO23" i="4"/>
  <c r="AQ23" i="4"/>
  <c r="AS23" i="4"/>
  <c r="AU23" i="4"/>
  <c r="AB23" i="4" s="1"/>
  <c r="AG20" i="3"/>
  <c r="AI20" i="3"/>
  <c r="AK20" i="3"/>
  <c r="AB19" i="3"/>
  <c r="AE22" i="4" l="1"/>
  <c r="AC23" i="4"/>
  <c r="AA24" i="4"/>
  <c r="AC20" i="3"/>
  <c r="AE20" i="3" s="1"/>
  <c r="AE19" i="3"/>
  <c r="AA21" i="3"/>
  <c r="AG24" i="4"/>
  <c r="AI24" i="4"/>
  <c r="AK24" i="4"/>
  <c r="AM24" i="4"/>
  <c r="AO24" i="4"/>
  <c r="AQ24" i="4"/>
  <c r="AS24" i="4"/>
  <c r="AU24" i="4"/>
  <c r="AB24" i="4" s="1"/>
  <c r="AG21" i="3"/>
  <c r="AI21" i="3"/>
  <c r="AK21" i="3"/>
  <c r="AB20" i="3"/>
  <c r="AE23" i="4" l="1"/>
  <c r="AC24" i="4"/>
  <c r="AA25" i="4"/>
  <c r="AC21" i="3"/>
  <c r="AE21" i="3" s="1"/>
  <c r="AA22" i="3"/>
  <c r="AG25" i="4"/>
  <c r="AI25" i="4"/>
  <c r="AK25" i="4"/>
  <c r="AM25" i="4"/>
  <c r="AO25" i="4"/>
  <c r="AQ25" i="4"/>
  <c r="AS25" i="4"/>
  <c r="AU25" i="4"/>
  <c r="AB25" i="4" s="1"/>
  <c r="AB21" i="3"/>
  <c r="AG22" i="3"/>
  <c r="AK22" i="3"/>
  <c r="AI22" i="3"/>
  <c r="AE24" i="4" l="1"/>
  <c r="AC25" i="4"/>
  <c r="AA26" i="4"/>
  <c r="AC22" i="3"/>
  <c r="AE22" i="3" s="1"/>
  <c r="AA23" i="3"/>
  <c r="AG26" i="4"/>
  <c r="AI26" i="4"/>
  <c r="AK26" i="4"/>
  <c r="AM26" i="4"/>
  <c r="AO26" i="4"/>
  <c r="AQ26" i="4"/>
  <c r="AS26" i="4"/>
  <c r="AU26" i="4"/>
  <c r="AB26" i="4" s="1"/>
  <c r="AB22" i="3"/>
  <c r="AG23" i="3"/>
  <c r="AI23" i="3"/>
  <c r="AK23" i="3"/>
  <c r="AE25" i="4" l="1"/>
  <c r="AC26" i="4"/>
  <c r="AA27" i="4"/>
  <c r="AC23" i="3"/>
  <c r="AE23" i="3" s="1"/>
  <c r="AA24" i="3"/>
  <c r="AG27" i="4"/>
  <c r="AI27" i="4"/>
  <c r="AK27" i="4"/>
  <c r="AM27" i="4"/>
  <c r="AO27" i="4"/>
  <c r="AQ27" i="4"/>
  <c r="AS27" i="4"/>
  <c r="AU27" i="4"/>
  <c r="AB27" i="4" s="1"/>
  <c r="AB23" i="3"/>
  <c r="AI24" i="3"/>
  <c r="O9" i="3"/>
  <c r="AG24" i="3"/>
  <c r="AK24" i="3"/>
  <c r="O7" i="3"/>
  <c r="AE26" i="4" l="1"/>
  <c r="AC27" i="4"/>
  <c r="AA28" i="4"/>
  <c r="AC24" i="3"/>
  <c r="AE24" i="3" s="1"/>
  <c r="AA25" i="3"/>
  <c r="AG28" i="4"/>
  <c r="AI28" i="4"/>
  <c r="AK28" i="4"/>
  <c r="AM28" i="4"/>
  <c r="AO28" i="4"/>
  <c r="AQ28" i="4"/>
  <c r="AS28" i="4"/>
  <c r="AU28" i="4"/>
  <c r="AB28" i="4" s="1"/>
  <c r="AB24" i="3"/>
  <c r="AG25" i="3"/>
  <c r="AK25" i="3"/>
  <c r="AI25" i="3"/>
  <c r="O8" i="3"/>
  <c r="N8" i="3"/>
  <c r="N7" i="3"/>
  <c r="AE27" i="4" l="1"/>
  <c r="AC28" i="4"/>
  <c r="AA29" i="4"/>
  <c r="AC25" i="3"/>
  <c r="AE25" i="3" s="1"/>
  <c r="AA26" i="3"/>
  <c r="N5" i="3"/>
  <c r="AG29" i="4"/>
  <c r="AI29" i="4"/>
  <c r="AK29" i="4"/>
  <c r="AM29" i="4"/>
  <c r="AO29" i="4"/>
  <c r="AQ29" i="4"/>
  <c r="AS29" i="4"/>
  <c r="AU29" i="4"/>
  <c r="AB29" i="4" s="1"/>
  <c r="AK26" i="3"/>
  <c r="AB25" i="3"/>
  <c r="AG26" i="3"/>
  <c r="AI26" i="3"/>
  <c r="AE28" i="4" l="1"/>
  <c r="AC29" i="4"/>
  <c r="AA30" i="4"/>
  <c r="AC26" i="3"/>
  <c r="AA27" i="3"/>
  <c r="AG30" i="4"/>
  <c r="AI30" i="4"/>
  <c r="AK30" i="4"/>
  <c r="AM30" i="4"/>
  <c r="AO30" i="4"/>
  <c r="AQ30" i="4"/>
  <c r="AS30" i="4"/>
  <c r="AU30" i="4"/>
  <c r="AB30" i="4" s="1"/>
  <c r="AB26" i="3"/>
  <c r="AK27" i="3"/>
  <c r="AG27" i="3"/>
  <c r="AI27" i="3"/>
  <c r="AE29" i="4" l="1"/>
  <c r="AC30" i="4"/>
  <c r="AA31" i="4"/>
  <c r="AC27" i="3"/>
  <c r="AA28" i="3"/>
  <c r="AE26" i="3"/>
  <c r="AG31" i="4"/>
  <c r="AI31" i="4"/>
  <c r="AK31" i="4"/>
  <c r="AM31" i="4"/>
  <c r="AO31" i="4"/>
  <c r="AQ31" i="4"/>
  <c r="AS31" i="4"/>
  <c r="AU31" i="4"/>
  <c r="AB31" i="4" s="1"/>
  <c r="AK28" i="3"/>
  <c r="AB27" i="3"/>
  <c r="AI28" i="3"/>
  <c r="AG28" i="3"/>
  <c r="AE30" i="4" l="1"/>
  <c r="AC31" i="4"/>
  <c r="AA32" i="4"/>
  <c r="AC28" i="3"/>
  <c r="AA29" i="3"/>
  <c r="AE27" i="3"/>
  <c r="AG32" i="4"/>
  <c r="AI32" i="4"/>
  <c r="AK32" i="4"/>
  <c r="AM32" i="4"/>
  <c r="AO32" i="4"/>
  <c r="AQ32" i="4"/>
  <c r="AS32" i="4"/>
  <c r="AU32" i="4"/>
  <c r="AB32" i="4" s="1"/>
  <c r="AK29" i="3"/>
  <c r="AB28" i="3"/>
  <c r="AG29" i="3"/>
  <c r="AI29" i="3"/>
  <c r="AE31" i="4" l="1"/>
  <c r="AC32" i="4"/>
  <c r="AA33" i="4"/>
  <c r="AC29" i="3"/>
  <c r="AA30" i="3"/>
  <c r="AE28" i="3"/>
  <c r="AG33" i="4"/>
  <c r="AI33" i="4"/>
  <c r="AK33" i="4"/>
  <c r="AM33" i="4"/>
  <c r="AO33" i="4"/>
  <c r="AQ33" i="4"/>
  <c r="AS33" i="4"/>
  <c r="AU33" i="4"/>
  <c r="AB33" i="4" s="1"/>
  <c r="AI30" i="3"/>
  <c r="AK30" i="3"/>
  <c r="AB29" i="3"/>
  <c r="AG30" i="3"/>
  <c r="AE32" i="4" l="1"/>
  <c r="AC33" i="4"/>
  <c r="AA34" i="4"/>
  <c r="AC30" i="3"/>
  <c r="AA31" i="3"/>
  <c r="AE29" i="3"/>
  <c r="AG34" i="4"/>
  <c r="AI34" i="4"/>
  <c r="AK34" i="4"/>
  <c r="AM34" i="4"/>
  <c r="AO34" i="4"/>
  <c r="AQ34" i="4"/>
  <c r="AS34" i="4"/>
  <c r="AU34" i="4"/>
  <c r="AB34" i="4" s="1"/>
  <c r="AK31" i="3"/>
  <c r="AB30" i="3"/>
  <c r="AG31" i="3"/>
  <c r="AI31" i="3"/>
  <c r="AE33" i="4" l="1"/>
  <c r="AC34" i="4"/>
  <c r="AA35" i="4"/>
  <c r="AC31" i="3"/>
  <c r="AA32" i="3"/>
  <c r="AE30" i="3"/>
  <c r="AG35" i="4"/>
  <c r="AI35" i="4"/>
  <c r="AK35" i="4"/>
  <c r="AM35" i="4"/>
  <c r="AO35" i="4"/>
  <c r="AQ35" i="4"/>
  <c r="AS35" i="4"/>
  <c r="AU35" i="4"/>
  <c r="AB35" i="4" s="1"/>
  <c r="AI32" i="3"/>
  <c r="AB31" i="3"/>
  <c r="AK32" i="3"/>
  <c r="AG32" i="3"/>
  <c r="AE34" i="4" l="1"/>
  <c r="AC35" i="4"/>
  <c r="AA36" i="4"/>
  <c r="AC32" i="3"/>
  <c r="AA33" i="3"/>
  <c r="AE31" i="3"/>
  <c r="N8" i="4"/>
  <c r="O7" i="4"/>
  <c r="N10" i="4"/>
  <c r="O10" i="4"/>
  <c r="O8" i="4"/>
  <c r="O9" i="4"/>
  <c r="N7" i="4"/>
  <c r="AG36" i="4"/>
  <c r="AI36" i="4"/>
  <c r="AK36" i="4"/>
  <c r="AM36" i="4"/>
  <c r="AO36" i="4"/>
  <c r="AQ36" i="4"/>
  <c r="AS36" i="4"/>
  <c r="AU36" i="4"/>
  <c r="AB36" i="4" s="1"/>
  <c r="AI33" i="3"/>
  <c r="AK33" i="3"/>
  <c r="AB32" i="3"/>
  <c r="AG33" i="3"/>
  <c r="AE35" i="4" l="1"/>
  <c r="AC36" i="4"/>
  <c r="N5" i="4"/>
  <c r="AC33" i="3"/>
  <c r="AA34" i="3"/>
  <c r="AE32" i="3"/>
  <c r="N9" i="4"/>
  <c r="O6" i="4"/>
  <c r="AI34" i="3"/>
  <c r="AK34" i="3"/>
  <c r="AB33" i="3"/>
  <c r="AG34" i="3"/>
  <c r="O5" i="4" l="1"/>
  <c r="AE36" i="4"/>
  <c r="AC34" i="3"/>
  <c r="AE33" i="3"/>
  <c r="AA35" i="3"/>
  <c r="AI35" i="3"/>
  <c r="AK35" i="3"/>
  <c r="AB34" i="3"/>
  <c r="AG35" i="3"/>
  <c r="AC35" i="3" l="1"/>
  <c r="AA36" i="3"/>
  <c r="AE34" i="3"/>
  <c r="AI36" i="3"/>
  <c r="AK36" i="3"/>
  <c r="AB35" i="3"/>
  <c r="AG36" i="3"/>
  <c r="AC36" i="3" l="1"/>
  <c r="AA37" i="3"/>
  <c r="AE35" i="3"/>
  <c r="AI37" i="3"/>
  <c r="AK37" i="3"/>
  <c r="AG37" i="3"/>
  <c r="AB36" i="3"/>
  <c r="AC37" i="3" l="1"/>
  <c r="AE36" i="3"/>
  <c r="AA38" i="3"/>
  <c r="AI38" i="3"/>
  <c r="AK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G40" i="3"/>
  <c r="AI40" i="3"/>
  <c r="AB39" i="3"/>
  <c r="AK40" i="3"/>
  <c r="AC40" i="3" l="1"/>
  <c r="AA41" i="3"/>
  <c r="AE39" i="3"/>
  <c r="AI41" i="3"/>
  <c r="AK41" i="3"/>
  <c r="AB40" i="3"/>
  <c r="AG41" i="3"/>
  <c r="AC41" i="3" l="1"/>
  <c r="AA42" i="3"/>
  <c r="AE40" i="3"/>
  <c r="AI42" i="3"/>
  <c r="AK42" i="3"/>
  <c r="AG42" i="3"/>
  <c r="AB41" i="3"/>
  <c r="AC42" i="3" l="1"/>
  <c r="AA43" i="3"/>
  <c r="AE41" i="3"/>
  <c r="AI43" i="3"/>
  <c r="AK43" i="3"/>
  <c r="AB42" i="3"/>
  <c r="AG43" i="3"/>
  <c r="O10" i="3"/>
  <c r="N10" i="3"/>
  <c r="AC43" i="3" l="1"/>
  <c r="AE42" i="3"/>
  <c r="AB43" i="3"/>
  <c r="N9" i="3"/>
  <c r="O6" i="3"/>
  <c r="O5" i="3" l="1"/>
  <c r="AE4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sharedStrings.xml><?xml version="1.0" encoding="utf-8"?>
<sst xmlns="http://schemas.openxmlformats.org/spreadsheetml/2006/main" count="178" uniqueCount="127">
  <si>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</si>
  <si>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</si>
  <si>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</si>
  <si>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</si>
  <si>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</si>
  <si>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</si>
  <si>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</si>
  <si>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</si>
  <si>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</si>
  <si>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</si>
  <si>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</si>
  <si>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</si>
  <si>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</si>
  <si>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</si>
  <si>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</si>
  <si>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</si>
  <si>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</si>
  <si>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</si>
  <si>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</si>
  <si>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</si>
  <si>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</si>
  <si>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</si>
  <si>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</si>
  <si>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</si>
  <si>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</si>
  <si>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</si>
  <si>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</si>
  <si>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</si>
  <si>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</si>
  <si>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</si>
  <si>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</si>
  <si>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</si>
  <si>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</si>
  <si>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</si>
  <si>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</si>
  <si>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</si>
  <si>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</si>
  <si>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</si>
  <si>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</si>
  <si>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</si>
  <si>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</si>
  <si>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</si>
  <si>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</si>
  <si>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</si>
  <si>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</si>
  <si>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</si>
  <si>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</si>
  <si>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</si>
  <si>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</si>
  <si>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</si>
  <si>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</si>
  <si>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</si>
  <si>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</si>
  <si>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</si>
  <si>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</si>
  <si>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</si>
  <si>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</si>
  <si>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</si>
  <si>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</si>
  <si>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</si>
  <si>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</si>
  <si>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</si>
  <si>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</si>
  <si>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</si>
  <si>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</si>
  <si>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</si>
  <si>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</si>
  <si>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</si>
  <si>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</si>
  <si>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</si>
  <si>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</si>
  <si>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</si>
  <si>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</si>
  <si>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</si>
  <si>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</si>
  <si>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</si>
  <si>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</si>
  <si>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</si>
  <si>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</si>
  <si>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</si>
  <si>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</si>
  <si>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</si>
  <si>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</si>
  <si>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</si>
  <si>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</si>
  <si>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</si>
  <si>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</si>
  <si>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</si>
  <si>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</si>
  <si>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</si>
  <si>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</si>
  <si>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</si>
  <si>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</si>
  <si>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</si>
  <si>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</si>
  <si>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</si>
  <si>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</si>
  <si>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</si>
  <si>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</si>
  <si>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</si>
  <si>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</si>
  <si>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</si>
  <si>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</si>
  <si>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</si>
  <si>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</si>
  <si>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</si>
  <si>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</si>
  <si>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</si>
  <si>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</si>
  <si>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</si>
  <si>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H2</t>
  </si>
  <si>
    <t>Count</t>
  </si>
  <si>
    <t>AssembleConnection</t>
  </si>
  <si>
    <t>H1</t>
  </si>
  <si>
    <t>H3</t>
  </si>
  <si>
    <t>H4</t>
  </si>
  <si>
    <t>H5</t>
  </si>
  <si>
    <t>WP_H1</t>
  </si>
  <si>
    <t>WP_H2</t>
  </si>
  <si>
    <t>WA_H1</t>
  </si>
  <si>
    <t>WA_H2</t>
  </si>
  <si>
    <t>WP_H3</t>
  </si>
  <si>
    <t>WA_H3</t>
  </si>
  <si>
    <t>WP_H4</t>
  </si>
  <si>
    <t>WA_H4</t>
  </si>
  <si>
    <t>WP_H5</t>
  </si>
  <si>
    <t>WA_H5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</si>
</sst>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92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70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105AA6-763D-4764-9BF2-4AEE201803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B17B17-E9B8-49A7-B13C-ECB4F7A0B4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6096BB-9E28-496D-B4C0-82B4032DEC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B9CAC1-C967-4987-8C62-4CACD7B978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EFCD2F-7F35-46CD-BFDC-3D69755492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D2F55B-A5DF-46A9-8F62-52D0634A4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31075A-6857-4083-BACC-76336CE4FF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421F8E-01B7-4B3C-9795-094060026E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C9FF51-E6C4-43D6-8D1B-34F6C40AD9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F124D0-AE53-4081-8C40-538065A0E9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1272BE-BC9C-4504-AE85-27FB089FAA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5756D3-DD47-43FD-A918-3A85B6AE79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B28A89-A307-4EF8-BD66-3A4ABE2D49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4BCB71-C26A-4A12-8AC3-DCC0E26081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AC0B31-4212-48FE-B6A5-F92D171812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6393C7-0B2A-4D0D-B8F6-06BB71314C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E4B5FF-F13C-4874-B0BC-D11E4A062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867B22-C381-424D-AB38-9CD296B73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4C4239-5A53-47F6-9FAB-4FDE2C7E24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BC90E1-3067-4B62-B81A-79E972BB76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788803-7278-4C0E-874A-5AA61CD5B8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BCA7E2-F5AC-4AB2-A489-B54AB35323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8B81E3-6E77-42EB-B7EE-B481062564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0B910C-50FC-4430-B31D-89997DFE55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DD4556-34C5-4FEF-B8A8-EC96162AA6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1D51F5-D664-4830-AC3D-3A14D4FD3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E5F0DD-E917-4BC5-A7C1-C7161498D8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993C3C-C504-44C6-80BD-541AC8A811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E95920-D65B-4C16-AED7-DD65B9C268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89D8B0-C64A-4278-8223-B94910EA2C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12710F5-9379-471B-81C8-EEAB0EE81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A5505C-08F4-4A81-8DB9-4D006AF41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F2AAFA-6E0C-4922-B97C-CB7D333537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4B0C13-A9AB-4761-9496-0CBA1877A9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0A2DE8-4F70-4112-918F-C22330E890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9D19FB-6098-43FD-AF96-1E1E238096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9DBE55-A32F-4648-86CC-026091B576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8F29FD-251B-492E-82CE-E61357CB1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5DCDBB-7BED-4F2E-92E3-BAADE35F99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BDE6E8-F912-42BE-8BE6-907A44E984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EBD3C8-AD91-4875-A07C-FD83E58C9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A18853-36AC-4D16-ACA5-F8E67D030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D567FD-9801-40E3-BF20-65C4C8DC11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969BAE-8D53-431C-9804-FA92EB4425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BD50C8-344A-4077-980D-765513FE0A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9341E1-45C9-484D-8E63-E4117A50DA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53E30C-EC05-4070-8518-ED95F9506B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04432B-11C3-4901-BC89-6811FBA4A0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B14317-7CB9-4F75-852F-15016F0940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76E180-2C7B-4580-A668-39CA94969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58AAD3-AEC8-498C-BECF-BB359F849F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C0CD6C-2785-42E6-A966-D04AD90152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55DF51-04B2-4F43-8083-C84AA86D8C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A1</c:v>
                  </c:pt>
                  <c:pt idx="1">
                    <c:v>A1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H5</c:v>
                  </c:pt>
                  <c:pt idx="8">
                    <c:v>H5</c:v>
                  </c:pt>
                  <c:pt idx="9">
                    <c:v>A3, H4, H5</c:v>
                  </c:pt>
                  <c:pt idx="10">
                    <c:v>A3, H2, H4</c:v>
                  </c:pt>
                  <c:pt idx="11">
                    <c:v>H2, H4</c:v>
                  </c:pt>
                  <c:pt idx="12">
                    <c:v>H2, H4</c:v>
                  </c:pt>
                  <c:pt idx="13">
                    <c:v>A2, H1, H2</c:v>
                  </c:pt>
                  <c:pt idx="14">
                    <c:v>A2, H1, H2</c:v>
                  </c:pt>
                  <c:pt idx="15">
                    <c:v>A2, H2</c:v>
                  </c:pt>
                  <c:pt idx="16">
                    <c:v>H2</c:v>
                  </c:pt>
                  <c:pt idx="17">
                    <c:v>H2</c:v>
                  </c:pt>
                  <c:pt idx="18">
                    <c:v>H2</c:v>
                  </c:pt>
                  <c:pt idx="19">
                    <c:v>H2</c:v>
                  </c:pt>
                  <c:pt idx="20">
                    <c:v>H2, H3</c:v>
                  </c:pt>
                  <c:pt idx="21">
                    <c:v>H3</c:v>
                  </c:pt>
                  <c:pt idx="22">
                    <c:v>H3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9" dataDxfId="68">
  <autoFilter ref="R13:X16" xr:uid="{FF2C9E8B-1A62-479C-AF68-79B236C0B7BB}"/>
  <tableColumns count="7">
    <tableColumn id="1" xr3:uid="{727C6146-39EA-4E15-8783-53CAA87FAF36}" name="Zone ID" dataDxfId="67"/>
    <tableColumn id="2" xr3:uid="{2CA65110-6DD7-46D8-BFC2-5EB0C0E57567}" name="Description" dataDxfId="66"/>
    <tableColumn id="3" xr3:uid="{12D64F80-6A69-494F-BF8F-E326D34A185A}" name="Short Description" dataDxfId="65"/>
    <tableColumn id="4" xr3:uid="{71F3F5B2-8F6B-4985-B1FC-5A9D60095474}" name="Start Date" dataDxfId="64"/>
    <tableColumn id="5" xr3:uid="{57258378-8FED-4727-89AC-D938CB414B7B}" name="Finish Date" dataDxfId="6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6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61">
      <calculatedColumnFormula>IF(AA13 = "Date", $S$4, AA13+7)</calculatedColumnFormula>
    </tableColumn>
    <tableColumn id="6" xr3:uid="{5740AC03-CF53-4345-8667-6AC0CA6843D0}" name="Primary Areas" dataDxfId="60">
      <calculatedColumnFormula>PrimaryAreas(3)</calculatedColumnFormula>
    </tableColumn>
    <tableColumn id="2" xr3:uid="{AF232D3D-EC3F-4232-BA5D-1427173C2D6A}" name="Weekly Plan" dataDxfId="59">
      <calculatedColumnFormula xml:space="preserve"> IF(#REF!="", 0,#REF!)+ IF(#REF!="", 0,#REF!)+ IF(#REF!="", 0,#REF!)</calculatedColumnFormula>
    </tableColumn>
    <tableColumn id="3" xr3:uid="{B28103F6-7596-4848-9F0D-3E4A9E5CBEFE}" name="Weekly Actual" dataDxfId="58">
      <calculatedColumnFormula>IF(AND(ISBLANK(#REF!),ISBLANK(#REF!),ISBLANK(#REF!)),"",#REF! +#REF!+#REF!)</calculatedColumnFormula>
    </tableColumn>
    <tableColumn id="4" xr3:uid="{EF1C6009-71E6-491B-B64F-04049D2D9103}" name="Accumulated Plan" dataDxfId="57">
      <calculatedColumnFormula>SUM($AC$14:AC14)</calculatedColumnFormula>
    </tableColumn>
    <tableColumn id="5" xr3:uid="{442DAB73-1233-4C61-8DE9-3B44CE2C5D69}" name="Accumulated Actual" dataDxfId="56">
      <calculatedColumnFormula>IF(AD14="",NA(),SUM($AD$14:AD14))</calculatedColumnFormula>
    </tableColumn>
    <tableColumn id="13" xr3:uid="{DDF07A4A-97E0-4BD1-96E3-82CB2D3D61F8}" name="WP_A1" dataDxfId="55">
      <calculatedColumnFormula>WeeklyPlanned(Output_Template[[#Headers],[WP_A1]], Output_Template[[#This Row],[Date]])</calculatedColumnFormula>
    </tableColumn>
    <tableColumn id="14" xr3:uid="{2FBA01D1-3C37-4389-A246-ED52CD704E4E}" name="WA_A1" dataDxfId="54"/>
    <tableColumn id="15" xr3:uid="{F99EF783-00A1-427D-B075-6FACCB0725C8}" name="WP_A2" dataDxfId="53">
      <calculatedColumnFormula>WeeklyPlanned(Output_Template[[#Headers],[WP_A2]], Output_Template[[#This Row],[Date]])</calculatedColumnFormula>
    </tableColumn>
    <tableColumn id="16" xr3:uid="{69FE37FB-2BA0-4059-8E62-688F283AE3C7}" name="WA_A2" dataDxfId="52"/>
    <tableColumn id="17" xr3:uid="{0569D69F-9565-4D24-9A8D-CF8F0560F3EC}" name="WP_A3" dataDxfId="51">
      <calculatedColumnFormula>WeeklyPlanned(Output_Template[[#Headers],[WP_A3]], Output_Template[[#This Row],[Date]])</calculatedColumnFormula>
    </tableColumn>
    <tableColumn id="18" xr3:uid="{B07E079A-8DA0-43E7-B25D-A50449A802C8}" name="WA_A3" dataDxfId="5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9">
  <autoFilter ref="H2:H5" xr:uid="{1041DC80-58D6-4308-9DE1-A4EC8AAD3C20}"/>
  <tableColumns count="1">
    <tableColumn id="1" xr3:uid="{0E6D3E77-7CB7-40A1-BCA6-DDC8164AAEB9}" name="Holidays" dataDxfId="4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47" dataDxfId="46">
  <autoFilter ref="R13:X21" xr:uid="{FF2C9E8B-1A62-479C-AF68-79B236C0B7BB}"/>
  <tableColumns count="7">
    <tableColumn id="1" xr3:uid="{5AA37268-DD16-498C-9169-AE2EA9DA526A}" name="Zone ID" dataDxfId="45"/>
    <tableColumn id="2" xr3:uid="{0E3A0621-3CBD-40FC-B7C1-86ED2397BCEE}" name="Description" dataDxfId="44"/>
    <tableColumn id="3" xr3:uid="{5A73CD5C-5126-40F4-B5B3-C7A438ED4F4F}" name="Short Description" dataDxfId="43"/>
    <tableColumn id="4" xr3:uid="{CDB025F5-BA1E-4D3D-9F16-1E7E8B24997A}" name="Start Date" dataDxfId="42"/>
    <tableColumn id="5" xr3:uid="{A32C4534-D094-4392-BDFF-D9E6184B332E}" name="Finish Date" dataDxfId="41"/>
    <tableColumn id="6" xr3:uid="{4EBF5FA0-D78E-4850-9053-2FD3D4DF8DDF}" name="Total" dataDxfId="40" dataCellStyle="Linked Cell"/>
    <tableColumn id="7" xr3:uid="{2024E4D3-6ED3-428B-AA0E-731077A47B05}" name="Completed Total" dataDxfId="39" dataCellStyle="Linked Cell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38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37">
      <calculatedColumnFormula>IF(AA13 = "Date", $S$4, AA13+7)</calculatedColumnFormula>
    </tableColumn>
    <tableColumn id="6" xr3:uid="{001A0E6C-64CB-4894-8C22-5853E33F6BB2}" name="Primary Areas" dataDxfId="36">
      <calculatedColumnFormula>PrimaryAreas(8)</calculatedColumnFormula>
    </tableColumn>
    <tableColumn id="2" xr3:uid="{1360E334-97F5-432E-BB23-793619A14458}" name="Weekly Plan" dataDxfId="35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34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33">
      <calculatedColumnFormula>SUM($AC$14:AC14)</calculatedColumnFormula>
    </tableColumn>
    <tableColumn id="5" xr3:uid="{1924FD4A-42CB-49CF-B4A5-079079B5D0F3}" name="Accumulated Actual" dataDxfId="32">
      <calculatedColumnFormula>IF(AD14="",NA(),SUM($AD$14:AD14))</calculatedColumnFormula>
    </tableColumn>
    <tableColumn id="7" xr3:uid="{B6CAC6FE-F1CE-4BFD-AD27-55696BEDF175}" name="WP_A1" dataDxfId="7">
      <calculatedColumnFormula>WeeklyPlanned(Output_0000[[#Headers],[WP_A1]], Output_0000[[#This Row],[Date]])</calculatedColumnFormula>
    </tableColumn>
    <tableColumn id="8" xr3:uid="{1C98019E-7820-4F94-AD74-B1A8992EC056}" name="WA_A1" dataDxfId="31"/>
    <tableColumn id="9" xr3:uid="{AFFCFF5E-9E02-4A97-85A0-A56B7BBEFE4C}" name="WP_A3" dataDxfId="6">
      <calculatedColumnFormula>WeeklyPlanned(Output_0000[[#Headers],[WP_A3]], Output_0000[[#This Row],[Date]])</calculatedColumnFormula>
    </tableColumn>
    <tableColumn id="10" xr3:uid="{AE45B233-7A0D-4325-8CAA-D19BFEB7E444}" name="WA_A3" dataDxfId="30"/>
    <tableColumn id="11" xr3:uid="{C33AEED2-8EFA-4F7E-BD10-B749A22ACEC1}" name="WP_A2" dataDxfId="5">
      <calculatedColumnFormula>WeeklyPlanned(Output_0000[[#Headers],[WP_A2]], Output_0000[[#This Row],[Date]])</calculatedColumnFormula>
    </tableColumn>
    <tableColumn id="12" xr3:uid="{E2348036-04E3-4AD4-BEAF-50778052D092}" name="WA_A2" dataDxfId="29"/>
    <tableColumn id="13" xr3:uid="{CF7D300E-C832-4C05-994B-65D3DCDEB86A}" name="WP_H1" dataDxfId="4">
      <calculatedColumnFormula>WeeklyPlanned(Output_0000[[#Headers],[WP_H1]], Output_0000[[#This Row],[Date]])</calculatedColumnFormula>
    </tableColumn>
    <tableColumn id="14" xr3:uid="{A04667E4-BC52-4B93-8508-A4C3756C8C0D}" name="WA_H1" dataDxfId="28"/>
    <tableColumn id="15" xr3:uid="{C40551C3-EC25-459C-BAC4-2FEF039A1316}" name="WP_H2" dataDxfId="3">
      <calculatedColumnFormula>WeeklyPlanned(Output_0000[[#Headers],[WP_H2]], Output_0000[[#This Row],[Date]])</calculatedColumnFormula>
    </tableColumn>
    <tableColumn id="16" xr3:uid="{F633CB0B-0020-4872-8404-A5BDC604D5DD}" name="WA_H2" dataDxfId="27"/>
    <tableColumn id="17" xr3:uid="{B0FD2EEA-3F2F-479E-A392-4A1AB404E9E1}" name="WP_H3" dataDxfId="2">
      <calculatedColumnFormula>WeeklyPlanned(Output_0000[[#Headers],[WP_H3]], Output_0000[[#This Row],[Date]])</calculatedColumnFormula>
    </tableColumn>
    <tableColumn id="18" xr3:uid="{CF1B01DA-48D9-4E28-83F0-187C7E306F2C}" name="WA_H3" dataDxfId="26"/>
    <tableColumn id="19" xr3:uid="{4F3DFEF4-B69B-4791-A69A-416E375CE243}" name="WP_H4" dataDxfId="1">
      <calculatedColumnFormula>WeeklyPlanned(Output_0000[[#Headers],[WP_H4]], Output_0000[[#This Row],[Date]])</calculatedColumnFormula>
    </tableColumn>
    <tableColumn id="20" xr3:uid="{B82FAD37-50EB-46A4-9C45-DFFBC935B41B}" name="WA_H4" dataDxfId="25"/>
    <tableColumn id="21" xr3:uid="{37E82776-2CDC-4E1D-9928-7A77E12E977C}" name="WP_H5" dataDxfId="0">
      <calculatedColumnFormula>WeeklyPlanned(Output_0000[[#Headers],[WP_H5]], Output_0000[[#This Row],[Date]])</calculatedColumnFormula>
    </tableColumn>
    <tableColumn id="22" xr3:uid="{EB90EDCC-AE09-4D56-81C6-F26FC078E6C9}" name="WA_H5" dataDxfId="2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R1" zoomScale="85" zoomScaleNormal="85" workbookViewId="0">
      <selection activeCell="AG14" sqref="AG1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2" t="s">
        <v>94</v>
      </c>
      <c r="AB1" s="83"/>
    </row>
    <row r="2" spans="2:39" x14ac:dyDescent="0.3">
      <c r="B2" s="74" t="str">
        <f>_xlfn.CONCAT("PROGRESS REPORT ", TEXT(S3,"mm/dd/yyyy"))</f>
        <v>PROGRESS REPORT 05/26/2020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6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9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39" ht="15" x14ac:dyDescent="0.3">
      <c r="B4" s="28" t="s">
        <v>49</v>
      </c>
      <c r="C4" s="80" t="str">
        <f>Project_Name</f>
        <v>Westland Super Cool Project</v>
      </c>
      <c r="D4" s="80"/>
      <c r="E4" s="80"/>
      <c r="F4" s="80"/>
      <c r="G4" s="80"/>
      <c r="H4" s="80"/>
      <c r="I4" s="80"/>
      <c r="J4" s="81" t="s">
        <v>50</v>
      </c>
      <c r="K4" s="81"/>
      <c r="L4" s="81"/>
      <c r="M4" s="81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</row>
    <row r="5" spans="2:39" ht="15" x14ac:dyDescent="0.3">
      <c r="B5" s="28" t="s">
        <v>53</v>
      </c>
      <c r="C5" s="80" t="str">
        <f>Project_Number</f>
        <v>S000</v>
      </c>
      <c r="D5" s="80"/>
      <c r="E5" s="80"/>
      <c r="F5" s="80"/>
      <c r="G5" s="80"/>
      <c r="H5" s="80"/>
      <c r="I5" s="80"/>
      <c r="J5" s="73" t="s">
        <v>54</v>
      </c>
      <c r="K5" s="73"/>
      <c r="L5" s="73"/>
      <c r="M5" s="73"/>
      <c r="N5" s="32">
        <f ca="1">IF(ISERROR(N7/N6), 0, N7/N6)</f>
        <v>0.33939393939393941</v>
      </c>
      <c r="O5" s="33">
        <f ca="1">IF(ISERROR(O7/O6), 0, O7/O6)</f>
        <v>0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80" t="str">
        <f>Main!C12</f>
        <v>XYZ Corp</v>
      </c>
      <c r="D6" s="80"/>
      <c r="E6" s="80"/>
      <c r="F6" s="80"/>
      <c r="G6" s="80"/>
      <c r="H6" s="80"/>
      <c r="I6" s="80"/>
      <c r="J6" s="73" t="str">
        <f>_xlfn.CONCAT("Overall Totals (", IF(ISBLANK($S$6),"",$S$6), ")")</f>
        <v>Overall Totals (SF)</v>
      </c>
      <c r="K6" s="73"/>
      <c r="L6" s="73"/>
      <c r="M6" s="73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9" ht="15.5" thickBot="1" x14ac:dyDescent="0.35">
      <c r="B7" s="28" t="s">
        <v>56</v>
      </c>
      <c r="C7" s="80" t="str">
        <f>RIGHT(Main!B13, LEN(Main!B13) - 4)</f>
        <v>Foundation Walls</v>
      </c>
      <c r="D7" s="80"/>
      <c r="E7" s="80"/>
      <c r="F7" s="80"/>
      <c r="G7" s="80"/>
      <c r="H7" s="80"/>
      <c r="I7" s="80"/>
      <c r="J7" s="73" t="str">
        <f>_xlfn.CONCAT("Overall Completed Totals (", IF(ISBLANK($S$6),"",$S$6), ")")</f>
        <v>Overall Completed Totals (SF)</v>
      </c>
      <c r="K7" s="73"/>
      <c r="L7" s="73"/>
      <c r="M7" s="73"/>
      <c r="N7" s="35">
        <f ca="1">VLOOKUP($S$3, INDIRECT("Output_"&amp;$S$2), 5, FALSE)</f>
        <v>3054.545454545455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3" t="str">
        <f>_xlfn.CONCAT("This Week's Production (", IF(ISBLANK($S$6),"",$S$6), ")")</f>
        <v>This Week's Production (SF)</v>
      </c>
      <c r="K8" s="73"/>
      <c r="L8" s="73"/>
      <c r="M8" s="73"/>
      <c r="N8" s="35">
        <f ca="1">VLOOKUP($S$3, INDIRECT("Output_"&amp;$S$2), 3, FALSE)</f>
        <v>436.36363636363637</v>
      </c>
      <c r="O8" s="36" t="str">
        <f ca="1">VLOOKUP($S$3, INDIRECT("Output_"&amp;$S$2), 4, FALSE)</f>
        <v/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3" t="str">
        <f>_xlfn.CONCAT("Weekly Average (", IF(ISBLANK($S$6),"",$S$6), ")")</f>
        <v>Weekly Average (SF)</v>
      </c>
      <c r="K9" s="73"/>
      <c r="L9" s="73"/>
      <c r="M9" s="73"/>
      <c r="N9" s="39">
        <f ca="1">AVERAGE(INDIRECT("Output_"&amp;$S$2&amp;"[Weekly Plan]"))</f>
        <v>299.99999999999994</v>
      </c>
      <c r="O9" s="40" t="e">
        <f ca="1">AVERAGE(INDIRECT("AD14:AD" &amp;MATCH($S$3,INDIRECT("Output_"&amp;$S$2&amp;"[Date]"),0)+14))</f>
        <v>#DIV/0!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3" t="str">
        <f>_xlfn.CONCAT("Average Past 4 Weeks (", IF(ISBLANK($S$6),"",$S$6), ")")</f>
        <v>Average Past 4 Weeks (SF)</v>
      </c>
      <c r="K10" s="73"/>
      <c r="L10" s="73"/>
      <c r="M10" s="7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3" t="str">
        <f>_xlfn.CONCAT("On Schedule Average (", IF(ISBLANK($S$6),"",$S$6), ")")</f>
        <v>On Schedule Average (SF)</v>
      </c>
      <c r="K11" s="73"/>
      <c r="L11" s="73"/>
      <c r="M11" s="73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4" t="s">
        <v>57</v>
      </c>
      <c r="K12" s="84"/>
      <c r="L12" s="84"/>
      <c r="M12" s="84"/>
      <c r="N12" s="85">
        <f ca="1">MAX(INDIRECT("Input_"&amp;$S$2&amp;"[Finish Date]"))</f>
        <v>44105</v>
      </c>
      <c r="O12" s="86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4" t="s">
        <v>58</v>
      </c>
      <c r="K13" s="84"/>
      <c r="L13" s="84"/>
      <c r="M13" s="84"/>
      <c r="N13" s="85"/>
      <c r="O13" s="87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9"/>
      <c r="N14" s="69"/>
      <c r="O14" s="70"/>
      <c r="R14" s="43" t="s">
        <v>88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4" s="58">
        <f ca="1">SUM($AC$14:AC14)</f>
        <v>54.545454545454547</v>
      </c>
      <c r="AF14" s="58" t="e">
        <f>IF(AD14="",NA(),SUM($AD$14:AD14))</f>
        <v>#N/A</v>
      </c>
      <c r="AG14" s="58">
        <f ca="1">WeeklyPlanned(Output_Template[[#Headers],[WP_A1]], Output_Template[[#This Row],[Date]])</f>
        <v>54.545454545454547</v>
      </c>
      <c r="AH14" s="58"/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1"/>
      <c r="M15" s="71"/>
      <c r="N15" s="71"/>
      <c r="O15" s="72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5" s="58">
        <f ca="1">SUM($AC$14:AC15)</f>
        <v>327.27272727272731</v>
      </c>
      <c r="AF15" s="58" t="e">
        <f>IF(AD15="",NA(),SUM($AD$14:AD15))</f>
        <v>#N/A</v>
      </c>
      <c r="AG15" s="58">
        <f ca="1">WeeklyPlanned(Output_Template[[#Headers],[WP_A1]], Output_Template[[#This Row],[Date]])</f>
        <v>272.72727272727275</v>
      </c>
      <c r="AH15" s="58"/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6" s="58">
        <f ca="1">SUM($AC$14:AC16)</f>
        <v>600</v>
      </c>
      <c r="AF16" s="58" t="e">
        <f>IF(AD16="",NA(),SUM($AD$14:AD16))</f>
        <v>#N/A</v>
      </c>
      <c r="AG16" s="58">
        <f ca="1">WeeklyPlanned(Output_Template[[#Headers],[WP_A1]], Output_Template[[#This Row],[Date]])</f>
        <v>272.72727272727275</v>
      </c>
      <c r="AH16" s="58"/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7" s="58">
        <f ca="1">SUM($AC$14:AC17)</f>
        <v>872.72727272727275</v>
      </c>
      <c r="AF17" s="58" t="e">
        <f>IF(AD17="",NA(),SUM($AD$14:AD17))</f>
        <v>#N/A</v>
      </c>
      <c r="AG17" s="58">
        <f ca="1">WeeklyPlanned(Output_Template[[#Headers],[WP_A1]], Output_Template[[#This Row],[Date]])</f>
        <v>272.72727272727275</v>
      </c>
      <c r="AH17" s="58"/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8" s="58">
        <f ca="1">SUM($AC$14:AC18)</f>
        <v>1145.4545454545455</v>
      </c>
      <c r="AF18" s="58" t="e">
        <f>IF(AD18="",NA(),SUM($AD$14:AD18))</f>
        <v>#N/A</v>
      </c>
      <c r="AG18" s="58">
        <f ca="1">WeeklyPlanned(Output_Template[[#Headers],[WP_A1]], Output_Template[[#This Row],[Date]])</f>
        <v>272.72727272727275</v>
      </c>
      <c r="AH18" s="58"/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9" s="58">
        <f ca="1">SUM($AC$14:AC19)</f>
        <v>1418.1818181818182</v>
      </c>
      <c r="AF19" s="58" t="e">
        <f>IF(AD19="",NA(),SUM($AD$14:AD19))</f>
        <v>#N/A</v>
      </c>
      <c r="AG19" s="58">
        <f ca="1">WeeklyPlanned(Output_Template[[#Headers],[WP_A1]], Output_Template[[#This Row],[Date]])</f>
        <v>272.72727272727275</v>
      </c>
      <c r="AH19" s="58"/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0" s="58">
        <f ca="1">SUM($AC$14:AC20)</f>
        <v>1690.909090909091</v>
      </c>
      <c r="AF20" s="58" t="e">
        <f>IF(AD20="",NA(),SUM($AD$14:AD20))</f>
        <v>#N/A</v>
      </c>
      <c r="AG20" s="58">
        <f ca="1">WeeklyPlanned(Output_Template[[#Headers],[WP_A1]], Output_Template[[#This Row],[Date]])</f>
        <v>272.72727272727275</v>
      </c>
      <c r="AH20" s="58"/>
      <c r="AI20" s="58" t="str">
        <f ca="1">WeeklyPlanned(Output_Template[[#Headers],[WP_A2]], Output_Template[[#This Row],[Date]])</f>
        <v/>
      </c>
      <c r="AJ20" s="58"/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1" s="58">
        <f ca="1">SUM($AC$14:AC21)</f>
        <v>1963.6363636363637</v>
      </c>
      <c r="AF21" s="58" t="e">
        <f>IF(AD21="",NA(),SUM($AD$14:AD21))</f>
        <v>#N/A</v>
      </c>
      <c r="AG21" s="58">
        <f ca="1">WeeklyPlanned(Output_Template[[#Headers],[WP_A1]], Output_Template[[#This Row],[Date]])</f>
        <v>272.72727272727275</v>
      </c>
      <c r="AH21" s="58"/>
      <c r="AI21" s="58" t="str">
        <f ca="1">WeeklyPlanned(Output_Template[[#Headers],[WP_A2]], Output_Template[[#This Row],[Date]])</f>
        <v/>
      </c>
      <c r="AJ21" s="58"/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6" t="str">
        <f t="shared" ca="1" si="1"/>
        <v>A1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2" s="58">
        <f ca="1">SUM($AC$14:AC22)</f>
        <v>2236.3636363636365</v>
      </c>
      <c r="AF22" s="58" t="e">
        <f>IF(AD22="",NA(),SUM($AD$14:AD22))</f>
        <v>#N/A</v>
      </c>
      <c r="AG22" s="58">
        <f ca="1">WeeklyPlanned(Output_Template[[#Headers],[WP_A1]], Output_Template[[#This Row],[Date]])</f>
        <v>272.72727272727275</v>
      </c>
      <c r="AH22" s="58"/>
      <c r="AI22" s="58" t="str">
        <f ca="1">WeeklyPlanned(Output_Template[[#Headers],[WP_A2]], Output_Template[[#This Row],[Date]])</f>
        <v/>
      </c>
      <c r="AJ22" s="58"/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6" t="str">
        <f t="shared" ca="1" si="1"/>
        <v>A1, 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3" s="58">
        <f ca="1">SUM($AC$14:AC23)</f>
        <v>2618.1818181818185</v>
      </c>
      <c r="AF23" s="58" t="e">
        <f>IF(AD23="",NA(),SUM($AD$14:AD23))</f>
        <v>#N/A</v>
      </c>
      <c r="AG23" s="58">
        <f ca="1">WeeklyPlanned(Output_Template[[#Headers],[WP_A1]], Output_Template[[#This Row],[Date]])</f>
        <v>272.72727272727275</v>
      </c>
      <c r="AH23" s="58"/>
      <c r="AI23" s="58">
        <f ca="1">WeeklyPlanned(Output_Template[[#Headers],[WP_A2]], Output_Template[[#This Row],[Date]])</f>
        <v>109.09090909090909</v>
      </c>
      <c r="AJ23" s="58"/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6" t="str">
        <f t="shared" ca="1" si="1"/>
        <v>A1, 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4" s="58">
        <f ca="1">SUM($AC$14:AC24)</f>
        <v>3054.545454545455</v>
      </c>
      <c r="AF24" s="58" t="e">
        <f>IF(AD24="",NA(),SUM($AD$14:AD24))</f>
        <v>#N/A</v>
      </c>
      <c r="AG24" s="58">
        <f ca="1">WeeklyPlanned(Output_Template[[#Headers],[WP_A1]], Output_Template[[#This Row],[Date]])</f>
        <v>218.18181818181819</v>
      </c>
      <c r="AH24" s="58"/>
      <c r="AI24" s="58">
        <f ca="1">WeeklyPlanned(Output_Template[[#Headers],[WP_A2]], Output_Template[[#This Row],[Date]])</f>
        <v>218.18181818181819</v>
      </c>
      <c r="AJ24" s="58"/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6" t="str">
        <f t="shared" ca="1" si="1"/>
        <v>A1, 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3600.0000000000005</v>
      </c>
      <c r="AF25" s="58" t="e">
        <f>IF(AD25="",NA(),SUM($AD$14:AD25))</f>
        <v>#N/A</v>
      </c>
      <c r="AG25" s="58">
        <f ca="1">WeeklyPlanned(Output_Template[[#Headers],[WP_A1]], Output_Template[[#This Row],[Date]])</f>
        <v>272.72727272727275</v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3872.727272727273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4145.454545454546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4418.1818181818189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4690.9090909090919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4963.6363636363649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5236.3636363636379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5719.6172248803841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6255.5023923444987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6736.8421052631593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7000.0000000000018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7263.1578947368434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7526.3157894736851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7789.4736842105267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8052.6315789473683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3"/>
        <v>44096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8578.9473684210516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3"/>
        <v>44103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8842.1052631578932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3"/>
        <v>44110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8999.9999999999982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19">
    <mergeCell ref="AA1:AB1"/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23" priority="10">
      <formula>ISERROR(AF14)</formula>
    </cfRule>
  </conditionalFormatting>
  <conditionalFormatting sqref="W13:X13">
    <cfRule type="expression" dxfId="22" priority="8">
      <formula>IF(OR($S$8 = "Assemble Addin", $S$8 = "Bluebeam QL"), TRUE, FALSE)</formula>
    </cfRule>
  </conditionalFormatting>
  <conditionalFormatting sqref="N6:O6">
    <cfRule type="expression" dxfId="21" priority="7">
      <formula>IF($N$6=$O$6, FALSE, TRUE)</formula>
    </cfRule>
  </conditionalFormatting>
  <conditionalFormatting sqref="W14:X16">
    <cfRule type="expression" dxfId="20" priority="5">
      <formula>IF(OR($S$8 = "Assemble Addin", $S$8 = "Bluebeam QL"), TRUE, FALSE)</formula>
    </cfRule>
    <cfRule type="expression" dxfId="19" priority="6">
      <formula>IF(OR($S$8 = "Assemble Addin", $S$8 = "Bluebeam QL"), MOD(ROW(), 2)=0, FALSE)</formula>
    </cfRule>
  </conditionalFormatting>
  <conditionalFormatting sqref="R13">
    <cfRule type="expression" dxfId="18" priority="2">
      <formula>IF($S$8 = "Assemble Addin", TRUE, FALSE)</formula>
    </cfRule>
  </conditionalFormatting>
  <conditionalFormatting sqref="R14:R16">
    <cfRule type="expression" dxfId="17" priority="1">
      <formula>IF($S$8 = "Assemble Addin", MOD(ROW(), 2)=0, FALSE)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0" sqref="H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88" t="s">
        <v>5</v>
      </c>
      <c r="F1" s="88"/>
      <c r="H1" s="2" t="s">
        <v>9</v>
      </c>
      <c r="K1" s="5" t="s">
        <v>12</v>
      </c>
      <c r="L1" s="5" t="s">
        <v>17</v>
      </c>
    </row>
    <row r="2" spans="2:12" ht="15.5" x14ac:dyDescent="0.35">
      <c r="B2" s="89" t="s">
        <v>6</v>
      </c>
      <c r="C2" s="89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B11" t="s">
        <v>106</v>
      </c>
      <c r="C11" s="4" t="s">
        <v>112</v>
      </c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6" sqref="H6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1" t="str">
        <f>"PROGRESS REPORT "&amp; TEXT(Report_Date, "mm/dd/yyy")</f>
        <v>PROGRESS REPORT 05/26/2020</v>
      </c>
      <c r="C2" s="91"/>
      <c r="D2" s="91"/>
      <c r="E2" s="91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0" t="s">
        <v>31</v>
      </c>
      <c r="C11" s="90"/>
      <c r="D11" s="90"/>
      <c r="E11" s="90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0" t="s">
        <v>32</v>
      </c>
      <c r="C15" s="90"/>
      <c r="D15" s="90"/>
      <c r="E15" s="90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90" t="s">
        <v>33</v>
      </c>
      <c r="C18" s="90"/>
      <c r="D18" s="90"/>
      <c r="E18" s="90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90" t="s">
        <v>34</v>
      </c>
      <c r="C21" s="90"/>
      <c r="D21" s="90"/>
      <c r="E21" s="90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90" t="s">
        <v>35</v>
      </c>
      <c r="C24" s="90"/>
      <c r="D24" s="90"/>
      <c r="E24" s="90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6" priority="1">
      <formula>IF(ISBLANK($D12), FALSE, IF(RedGreen_Formatting = "Enabled", $D12 &lt;= $E12 + Percent_Error, FALSE))</formula>
    </cfRule>
    <cfRule type="expression" dxfId="15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abSelected="1" topLeftCell="P1" zoomScale="85" zoomScaleNormal="85" workbookViewId="0">
      <selection activeCell="AF53" sqref="AF5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2" t="s">
        <v>94</v>
      </c>
      <c r="AB1" s="83"/>
    </row>
    <row r="2" spans="2:49" x14ac:dyDescent="0.3">
      <c r="B2" s="74" t="str">
        <f>_xlfn.CONCAT("PROGRESS REPORT ", TEXT(S3,"mm/dd/yyyy"))</f>
        <v>PROGRESS REPORT 05/26/2020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6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9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0" t="str">
        <f>Project_Name</f>
        <v>Westland Super Cool Project</v>
      </c>
      <c r="D4" s="80"/>
      <c r="E4" s="80"/>
      <c r="F4" s="80"/>
      <c r="G4" s="80"/>
      <c r="H4" s="80"/>
      <c r="I4" s="80"/>
      <c r="J4" s="81" t="s">
        <v>50</v>
      </c>
      <c r="K4" s="81"/>
      <c r="L4" s="81"/>
      <c r="M4" s="81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0" t="str">
        <f>Project_Number</f>
        <v>S000</v>
      </c>
      <c r="D5" s="80"/>
      <c r="E5" s="80"/>
      <c r="F5" s="80"/>
      <c r="G5" s="80"/>
      <c r="H5" s="80"/>
      <c r="I5" s="80"/>
      <c r="J5" s="73" t="s">
        <v>54</v>
      </c>
      <c r="K5" s="73"/>
      <c r="L5" s="73"/>
      <c r="M5" s="73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0" t="str">
        <f>Main!C12</f>
        <v>XYZ Corp</v>
      </c>
      <c r="D6" s="80"/>
      <c r="E6" s="80"/>
      <c r="F6" s="80"/>
      <c r="G6" s="80"/>
      <c r="H6" s="80"/>
      <c r="I6" s="80"/>
      <c r="J6" s="73" t="str">
        <f>_xlfn.CONCAT("Overall Totals (", IF(ISBLANK($S$6),"",$S$6), ")")</f>
        <v>Overall Totals (Count)</v>
      </c>
      <c r="K6" s="73"/>
      <c r="L6" s="73"/>
      <c r="M6" s="73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111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0" t="str">
        <f>RIGHT(Main!B13, LEN(Main!B13) - 4)</f>
        <v>Foundation Walls</v>
      </c>
      <c r="D7" s="80"/>
      <c r="E7" s="80"/>
      <c r="F7" s="80"/>
      <c r="G7" s="80"/>
      <c r="H7" s="80"/>
      <c r="I7" s="80"/>
      <c r="J7" s="73" t="str">
        <f>_xlfn.CONCAT("Overall Completed Totals (", IF(ISBLANK($S$6),"",$S$6), ")")</f>
        <v>Overall Completed Totals (Count)</v>
      </c>
      <c r="K7" s="73"/>
      <c r="L7" s="73"/>
      <c r="M7" s="7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3" t="str">
        <f>_xlfn.CONCAT("This Week's Production (", IF(ISBLANK($S$6),"",$S$6), ")")</f>
        <v>This Week's Production (Count)</v>
      </c>
      <c r="K8" s="73"/>
      <c r="L8" s="73"/>
      <c r="M8" s="7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3" t="str">
        <f>_xlfn.CONCAT("Weekly Average (", IF(ISBLANK($S$6),"",$S$6), ")")</f>
        <v>Weekly Average (Count)</v>
      </c>
      <c r="K9" s="73"/>
      <c r="L9" s="73"/>
      <c r="M9" s="73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3" t="str">
        <f>_xlfn.CONCAT("Average Past 4 Weeks (", IF(ISBLANK($S$6),"",$S$6), ")")</f>
        <v>Average Past 4 Weeks (Count)</v>
      </c>
      <c r="K10" s="73"/>
      <c r="L10" s="73"/>
      <c r="M10" s="7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3" t="str">
        <f>_xlfn.CONCAT("On Schedule Average (", IF(ISBLANK($S$6),"",$S$6), ")")</f>
        <v>On Schedule Average (Count)</v>
      </c>
      <c r="K11" s="73"/>
      <c r="L11" s="73"/>
      <c r="M11" s="7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4" t="s">
        <v>57</v>
      </c>
      <c r="K12" s="84"/>
      <c r="L12" s="84"/>
      <c r="M12" s="84"/>
      <c r="N12" s="85">
        <f ca="1">MAX(INDIRECT("Input_"&amp;$S$2&amp;"[Finish Date]"))</f>
        <v>44195</v>
      </c>
      <c r="O12" s="86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4" t="s">
        <v>58</v>
      </c>
      <c r="K13" s="84"/>
      <c r="L13" s="84"/>
      <c r="M13" s="84"/>
      <c r="N13" s="85"/>
      <c r="O13" s="87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99</v>
      </c>
      <c r="AJ13" s="64" t="s">
        <v>100</v>
      </c>
      <c r="AK13" s="64" t="s">
        <v>96</v>
      </c>
      <c r="AL13" s="64" t="s">
        <v>98</v>
      </c>
      <c r="AM13" s="64" t="s">
        <v>117</v>
      </c>
      <c r="AN13" s="64" t="s">
        <v>119</v>
      </c>
      <c r="AO13" s="64" t="s">
        <v>118</v>
      </c>
      <c r="AP13" s="64" t="s">
        <v>120</v>
      </c>
      <c r="AQ13" s="64" t="s">
        <v>121</v>
      </c>
      <c r="AR13" s="64" t="s">
        <v>122</v>
      </c>
      <c r="AS13" s="64" t="s">
        <v>123</v>
      </c>
      <c r="AT13" s="64" t="s">
        <v>124</v>
      </c>
      <c r="AU13" s="64" t="s">
        <v>125</v>
      </c>
      <c r="AV13" s="64" t="s">
        <v>126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6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9"/>
      <c r="N14" s="69"/>
      <c r="O14" s="70"/>
      <c r="R14" s="43"/>
      <c r="S14" s="44" t="s">
        <v>101</v>
      </c>
      <c r="T14" s="44" t="s">
        <v>85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ca="1">PrimaryAreas(8)</f>
        <v>A1</v>
      </c>
      <c r="AC14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74</v>
      </c>
      <c r="AD14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WeeklyPlanned(Output_0000[[#Headers],[WP_A1]], Output_0000[[#This Row],[Date]])</f>
        <v>74</v>
      </c>
      <c r="AH14" s="58"/>
      <c r="AI14" s="58" t="str">
        <f ca="1">WeeklyPlanned(Output_0000[[#Headers],[WP_A3]], Output_0000[[#This Row],[Date]])</f>
        <v/>
      </c>
      <c r="AJ14" s="58"/>
      <c r="AK14" s="58" t="str">
        <f ca="1">WeeklyPlanned(Output_0000[[#Headers],[WP_A2]], Output_0000[[#This Row],[Date]])</f>
        <v/>
      </c>
      <c r="AL14" s="58"/>
      <c r="AM14" s="58" t="str">
        <f ca="1">WeeklyPlanned(Output_0000[[#Headers],[WP_H1]], Output_0000[[#This Row],[Date]])</f>
        <v/>
      </c>
      <c r="AN14" s="58"/>
      <c r="AO14" s="58" t="str">
        <f ca="1">WeeklyPlanned(Output_0000[[#Headers],[WP_H2]], Output_0000[[#This Row],[Date]])</f>
        <v/>
      </c>
      <c r="AP14" s="58"/>
      <c r="AQ14" s="58" t="str">
        <f ca="1">WeeklyPlanned(Output_0000[[#Headers],[WP_H3]], Output_0000[[#This Row],[Date]])</f>
        <v/>
      </c>
      <c r="AR14" s="58"/>
      <c r="AS14" s="58" t="str">
        <f ca="1">WeeklyPlanned(Output_0000[[#Headers],[WP_H4]], Output_0000[[#This Row],[Date]])</f>
        <v/>
      </c>
      <c r="AT14" s="58"/>
      <c r="AU14" s="58" t="str">
        <f ca="1">WeeklyPlanned(Output_0000[[#Headers],[WP_H5]],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1"/>
      <c r="M15" s="71"/>
      <c r="N15" s="71"/>
      <c r="O15" s="72"/>
      <c r="R15" s="43"/>
      <c r="S15" s="44" t="s">
        <v>102</v>
      </c>
      <c r="T15" s="44" t="s">
        <v>87</v>
      </c>
      <c r="U15" s="45">
        <v>44105</v>
      </c>
      <c r="V15" s="45">
        <v>44111</v>
      </c>
      <c r="W15" s="8">
        <v>102</v>
      </c>
      <c r="AA15" s="54">
        <f t="shared" ref="AA15:AA22" si="1">IF(AA14 = "Date", $S$4, AA14+7)</f>
        <v>44054</v>
      </c>
      <c r="AB15" s="56" t="str">
        <f ca="1">PrimaryAreas(8)</f>
        <v>A1</v>
      </c>
      <c r="AC15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74</v>
      </c>
      <c r="AD15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WeeklyPlanned(Output_0000[[#Headers],[WP_A1]], Output_0000[[#This Row],[Date]])</f>
        <v>74</v>
      </c>
      <c r="AH15" s="58"/>
      <c r="AI15" s="58" t="str">
        <f ca="1">WeeklyPlanned(Output_0000[[#Headers],[WP_A3]], Output_0000[[#This Row],[Date]])</f>
        <v/>
      </c>
      <c r="AJ15" s="58"/>
      <c r="AK15" s="58" t="str">
        <f ca="1">WeeklyPlanned(Output_0000[[#Headers],[WP_A2]], Output_0000[[#This Row],[Date]])</f>
        <v/>
      </c>
      <c r="AL15" s="58"/>
      <c r="AM15" s="58" t="str">
        <f ca="1">WeeklyPlanned(Output_0000[[#Headers],[WP_H1]], Output_0000[[#This Row],[Date]])</f>
        <v/>
      </c>
      <c r="AN15" s="58"/>
      <c r="AO15" s="58" t="str">
        <f ca="1">WeeklyPlanned(Output_0000[[#Headers],[WP_H2]], Output_0000[[#This Row],[Date]])</f>
        <v/>
      </c>
      <c r="AP15" s="58"/>
      <c r="AQ15" s="58" t="str">
        <f ca="1">WeeklyPlanned(Output_0000[[#Headers],[WP_H3]], Output_0000[[#This Row],[Date]])</f>
        <v/>
      </c>
      <c r="AR15" s="58"/>
      <c r="AS15" s="58" t="str">
        <f ca="1">WeeklyPlanned(Output_0000[[#Headers],[WP_H4]], Output_0000[[#This Row],[Date]])</f>
        <v/>
      </c>
      <c r="AT15" s="58"/>
      <c r="AU15" s="58" t="str">
        <f ca="1">WeeklyPlanned(Output_0000[[#Headers],[WP_H5]],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86</v>
      </c>
      <c r="U16" s="45">
        <v>44133</v>
      </c>
      <c r="V16" s="45">
        <v>44146</v>
      </c>
      <c r="W16" s="8">
        <v>279</v>
      </c>
      <c r="AA16" s="54">
        <f t="shared" si="1"/>
        <v>44061</v>
      </c>
      <c r="AB16" s="56">
        <f ca="1">PrimaryAreas(8)</f>
        <v>0</v>
      </c>
      <c r="AC16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0</v>
      </c>
      <c r="AD16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WeeklyPlanned(Output_0000[[#Headers],[WP_A1]], Output_0000[[#This Row],[Date]])</f>
        <v/>
      </c>
      <c r="AH16" s="58"/>
      <c r="AI16" s="58" t="str">
        <f ca="1">WeeklyPlanned(Output_0000[[#Headers],[WP_A3]], Output_0000[[#This Row],[Date]])</f>
        <v/>
      </c>
      <c r="AJ16" s="58"/>
      <c r="AK16" s="58" t="str">
        <f ca="1">WeeklyPlanned(Output_0000[[#Headers],[WP_A2]], Output_0000[[#This Row],[Date]])</f>
        <v/>
      </c>
      <c r="AL16" s="58"/>
      <c r="AM16" s="58" t="str">
        <f ca="1">WeeklyPlanned(Output_0000[[#Headers],[WP_H1]], Output_0000[[#This Row],[Date]])</f>
        <v/>
      </c>
      <c r="AN16" s="58"/>
      <c r="AO16" s="58" t="str">
        <f ca="1">WeeklyPlanned(Output_0000[[#Headers],[WP_H2]], Output_0000[[#This Row],[Date]])</f>
        <v/>
      </c>
      <c r="AP16" s="58"/>
      <c r="AQ16" s="58" t="str">
        <f ca="1">WeeklyPlanned(Output_0000[[#Headers],[WP_H3]], Output_0000[[#This Row],[Date]])</f>
        <v/>
      </c>
      <c r="AR16" s="58"/>
      <c r="AS16" s="58" t="str">
        <f ca="1">WeeklyPlanned(Output_0000[[#Headers],[WP_H4]], Output_0000[[#This Row],[Date]])</f>
        <v/>
      </c>
      <c r="AT16" s="58"/>
      <c r="AU16" s="58" t="str">
        <f ca="1">WeeklyPlanned(Output_0000[[#Headers],[WP_H5]],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113</v>
      </c>
      <c r="U17" s="67">
        <v>44131</v>
      </c>
      <c r="V17" s="67">
        <v>44140</v>
      </c>
      <c r="W17" s="68">
        <v>132</v>
      </c>
      <c r="X17" s="68"/>
      <c r="AA17" s="54">
        <f t="shared" si="1"/>
        <v>44068</v>
      </c>
      <c r="AB17" s="56">
        <f ca="1">PrimaryAreas(8)</f>
        <v>0</v>
      </c>
      <c r="AC17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0</v>
      </c>
      <c r="AD17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WeeklyPlanned(Output_0000[[#Headers],[WP_A1]], Output_0000[[#This Row],[Date]])</f>
        <v/>
      </c>
      <c r="AH17" s="58"/>
      <c r="AI17" s="58" t="str">
        <f ca="1">WeeklyPlanned(Output_0000[[#Headers],[WP_A3]], Output_0000[[#This Row],[Date]])</f>
        <v/>
      </c>
      <c r="AJ17" s="58"/>
      <c r="AK17" s="58" t="str">
        <f ca="1">WeeklyPlanned(Output_0000[[#Headers],[WP_A2]], Output_0000[[#This Row],[Date]])</f>
        <v/>
      </c>
      <c r="AL17" s="58"/>
      <c r="AM17" s="58" t="str">
        <f ca="1">WeeklyPlanned(Output_0000[[#Headers],[WP_H1]], Output_0000[[#This Row],[Date]])</f>
        <v/>
      </c>
      <c r="AN17" s="58"/>
      <c r="AO17" s="58" t="str">
        <f ca="1">WeeklyPlanned(Output_0000[[#Headers],[WP_H2]], Output_0000[[#This Row],[Date]])</f>
        <v/>
      </c>
      <c r="AP17" s="58"/>
      <c r="AQ17" s="58" t="str">
        <f ca="1">WeeklyPlanned(Output_0000[[#Headers],[WP_H3]], Output_0000[[#This Row],[Date]])</f>
        <v/>
      </c>
      <c r="AR17" s="58"/>
      <c r="AS17" s="58" t="str">
        <f ca="1">WeeklyPlanned(Output_0000[[#Headers],[WP_H4]], Output_0000[[#This Row],[Date]])</f>
        <v/>
      </c>
      <c r="AT17" s="58"/>
      <c r="AU17" s="58" t="str">
        <f ca="1">WeeklyPlanned(Output_0000[[#Headers],[WP_H5]],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110</v>
      </c>
      <c r="U18" s="67">
        <v>44113</v>
      </c>
      <c r="V18" s="67">
        <v>44181</v>
      </c>
      <c r="W18" s="68">
        <v>103</v>
      </c>
      <c r="X18" s="68"/>
      <c r="AA18" s="54">
        <f t="shared" si="1"/>
        <v>44075</v>
      </c>
      <c r="AB18" s="56">
        <f ca="1">PrimaryAreas(8)</f>
        <v>0</v>
      </c>
      <c r="AC18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0</v>
      </c>
      <c r="AD18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WeeklyPlanned(Output_0000[[#Headers],[WP_A1]], Output_0000[[#This Row],[Date]])</f>
        <v/>
      </c>
      <c r="AH18" s="58"/>
      <c r="AI18" s="58" t="str">
        <f ca="1">WeeklyPlanned(Output_0000[[#Headers],[WP_A3]], Output_0000[[#This Row],[Date]])</f>
        <v/>
      </c>
      <c r="AJ18" s="58"/>
      <c r="AK18" s="58" t="str">
        <f ca="1">WeeklyPlanned(Output_0000[[#Headers],[WP_A2]], Output_0000[[#This Row],[Date]])</f>
        <v/>
      </c>
      <c r="AL18" s="58"/>
      <c r="AM18" s="58" t="str">
        <f ca="1">WeeklyPlanned(Output_0000[[#Headers],[WP_H1]], Output_0000[[#This Row],[Date]])</f>
        <v/>
      </c>
      <c r="AN18" s="58"/>
      <c r="AO18" s="58" t="str">
        <f ca="1">WeeklyPlanned(Output_0000[[#Headers],[WP_H2]], Output_0000[[#This Row],[Date]])</f>
        <v/>
      </c>
      <c r="AP18" s="58"/>
      <c r="AQ18" s="58" t="str">
        <f ca="1">WeeklyPlanned(Output_0000[[#Headers],[WP_H3]], Output_0000[[#This Row],[Date]])</f>
        <v/>
      </c>
      <c r="AR18" s="58"/>
      <c r="AS18" s="58" t="str">
        <f ca="1">WeeklyPlanned(Output_0000[[#Headers],[WP_H4]], Output_0000[[#This Row],[Date]])</f>
        <v/>
      </c>
      <c r="AT18" s="58"/>
      <c r="AU18" s="58" t="str">
        <f ca="1">WeeklyPlanned(Output_0000[[#Headers],[WP_H5]],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114</v>
      </c>
      <c r="U19" s="67">
        <v>44182</v>
      </c>
      <c r="V19" s="67">
        <v>44195</v>
      </c>
      <c r="W19" s="68">
        <v>30</v>
      </c>
      <c r="X19" s="68"/>
      <c r="AA19" s="54">
        <f t="shared" si="1"/>
        <v>44082</v>
      </c>
      <c r="AB19" s="56">
        <f ca="1">PrimaryAreas(8)</f>
        <v>0</v>
      </c>
      <c r="AC19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0</v>
      </c>
      <c r="AD19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WeeklyPlanned(Output_0000[[#Headers],[WP_A1]], Output_0000[[#This Row],[Date]])</f>
        <v/>
      </c>
      <c r="AH19" s="58"/>
      <c r="AI19" s="58" t="str">
        <f ca="1">WeeklyPlanned(Output_0000[[#Headers],[WP_A3]], Output_0000[[#This Row],[Date]])</f>
        <v/>
      </c>
      <c r="AJ19" s="58"/>
      <c r="AK19" s="58" t="str">
        <f ca="1">WeeklyPlanned(Output_0000[[#Headers],[WP_A2]], Output_0000[[#This Row],[Date]])</f>
        <v/>
      </c>
      <c r="AL19" s="58"/>
      <c r="AM19" s="58" t="str">
        <f ca="1">WeeklyPlanned(Output_0000[[#Headers],[WP_H1]], Output_0000[[#This Row],[Date]])</f>
        <v/>
      </c>
      <c r="AN19" s="58"/>
      <c r="AO19" s="58" t="str">
        <f ca="1">WeeklyPlanned(Output_0000[[#Headers],[WP_H2]], Output_0000[[#This Row],[Date]])</f>
        <v/>
      </c>
      <c r="AP19" s="58"/>
      <c r="AQ19" s="58" t="str">
        <f ca="1">WeeklyPlanned(Output_0000[[#Headers],[WP_H3]], Output_0000[[#This Row],[Date]])</f>
        <v/>
      </c>
      <c r="AR19" s="58"/>
      <c r="AS19" s="58" t="str">
        <f ca="1">WeeklyPlanned(Output_0000[[#Headers],[WP_H4]], Output_0000[[#This Row],[Date]])</f>
        <v/>
      </c>
      <c r="AT19" s="58"/>
      <c r="AU19" s="58" t="str">
        <f ca="1">WeeklyPlanned(Output_0000[[#Headers],[WP_H5]],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115</v>
      </c>
      <c r="U20" s="67">
        <v>44109</v>
      </c>
      <c r="V20" s="67">
        <v>44127</v>
      </c>
      <c r="W20" s="68">
        <v>245</v>
      </c>
      <c r="X20" s="68"/>
      <c r="AA20" s="54">
        <f t="shared" si="1"/>
        <v>44089</v>
      </c>
      <c r="AB20" s="56">
        <f ca="1">PrimaryAreas(8)</f>
        <v>0</v>
      </c>
      <c r="AC20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0</v>
      </c>
      <c r="AD20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WeeklyPlanned(Output_0000[[#Headers],[WP_A1]], Output_0000[[#This Row],[Date]])</f>
        <v/>
      </c>
      <c r="AH20" s="58"/>
      <c r="AI20" s="58" t="str">
        <f ca="1">WeeklyPlanned(Output_0000[[#Headers],[WP_A3]], Output_0000[[#This Row],[Date]])</f>
        <v/>
      </c>
      <c r="AJ20" s="58"/>
      <c r="AK20" s="58" t="str">
        <f ca="1">WeeklyPlanned(Output_0000[[#Headers],[WP_A2]], Output_0000[[#This Row],[Date]])</f>
        <v/>
      </c>
      <c r="AL20" s="58"/>
      <c r="AM20" s="58" t="str">
        <f ca="1">WeeklyPlanned(Output_0000[[#Headers],[WP_H1]], Output_0000[[#This Row],[Date]])</f>
        <v/>
      </c>
      <c r="AN20" s="58"/>
      <c r="AO20" s="58" t="str">
        <f ca="1">WeeklyPlanned(Output_0000[[#Headers],[WP_H2]], Output_0000[[#This Row],[Date]])</f>
        <v/>
      </c>
      <c r="AP20" s="58"/>
      <c r="AQ20" s="58" t="str">
        <f ca="1">WeeklyPlanned(Output_0000[[#Headers],[WP_H3]], Output_0000[[#This Row],[Date]])</f>
        <v/>
      </c>
      <c r="AR20" s="58"/>
      <c r="AS20" s="58" t="str">
        <f ca="1">WeeklyPlanned(Output_0000[[#Headers],[WP_H4]], Output_0000[[#This Row],[Date]])</f>
        <v/>
      </c>
      <c r="AT20" s="58"/>
      <c r="AU20" s="58" t="str">
        <f ca="1">WeeklyPlanned(Output_0000[[#Headers],[WP_H5]],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116</v>
      </c>
      <c r="U21" s="67">
        <v>44089</v>
      </c>
      <c r="V21" s="67">
        <v>44104</v>
      </c>
      <c r="W21" s="68">
        <v>29</v>
      </c>
      <c r="X21" s="68"/>
      <c r="AA21" s="54">
        <f t="shared" si="1"/>
        <v>44096</v>
      </c>
      <c r="AB21" s="56" t="str">
        <f ca="1">PrimaryAreas(8)</f>
        <v>H5</v>
      </c>
      <c r="AC21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12.083333333333332</v>
      </c>
      <c r="AD21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WeeklyPlanned(Output_0000[[#Headers],[WP_A1]], Output_0000[[#This Row],[Date]])</f>
        <v/>
      </c>
      <c r="AH21" s="58"/>
      <c r="AI21" s="58" t="str">
        <f ca="1">WeeklyPlanned(Output_0000[[#Headers],[WP_A3]], Output_0000[[#This Row],[Date]])</f>
        <v/>
      </c>
      <c r="AJ21" s="58"/>
      <c r="AK21" s="58" t="str">
        <f ca="1">WeeklyPlanned(Output_0000[[#Headers],[WP_A2]], Output_0000[[#This Row],[Date]])</f>
        <v/>
      </c>
      <c r="AL21" s="58"/>
      <c r="AM21" s="58" t="str">
        <f ca="1">WeeklyPlanned(Output_0000[[#Headers],[WP_H1]], Output_0000[[#This Row],[Date]])</f>
        <v/>
      </c>
      <c r="AN21" s="58"/>
      <c r="AO21" s="58" t="str">
        <f ca="1">WeeklyPlanned(Output_0000[[#Headers],[WP_H2]], Output_0000[[#This Row],[Date]])</f>
        <v/>
      </c>
      <c r="AP21" s="58"/>
      <c r="AQ21" s="58" t="str">
        <f ca="1">WeeklyPlanned(Output_0000[[#Headers],[WP_H3]], Output_0000[[#This Row],[Date]])</f>
        <v/>
      </c>
      <c r="AR21" s="58"/>
      <c r="AS21" s="58" t="str">
        <f ca="1">WeeklyPlanned(Output_0000[[#Headers],[WP_H4]], Output_0000[[#This Row],[Date]])</f>
        <v/>
      </c>
      <c r="AT21" s="58"/>
      <c r="AU21" s="58">
        <f ca="1">WeeklyPlanned(Output_0000[[#Headers],[WP_H5]],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1"/>
        <v>44103</v>
      </c>
      <c r="AB22" s="56" t="str">
        <f ca="1">PrimaryAreas(8)</f>
        <v>H5</v>
      </c>
      <c r="AC22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12.083333333333332</v>
      </c>
      <c r="AD22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WeeklyPlanned(Output_0000[[#Headers],[WP_A1]], Output_0000[[#This Row],[Date]])</f>
        <v/>
      </c>
      <c r="AH22" s="58"/>
      <c r="AI22" s="58" t="str">
        <f ca="1">WeeklyPlanned(Output_0000[[#Headers],[WP_A3]], Output_0000[[#This Row],[Date]])</f>
        <v/>
      </c>
      <c r="AJ22" s="58"/>
      <c r="AK22" s="58" t="str">
        <f ca="1">WeeklyPlanned(Output_0000[[#Headers],[WP_A2]], Output_0000[[#This Row],[Date]])</f>
        <v/>
      </c>
      <c r="AL22" s="58"/>
      <c r="AM22" s="58" t="str">
        <f ca="1">WeeklyPlanned(Output_0000[[#Headers],[WP_H1]], Output_0000[[#This Row],[Date]])</f>
        <v/>
      </c>
      <c r="AN22" s="58"/>
      <c r="AO22" s="58" t="str">
        <f ca="1">WeeklyPlanned(Output_0000[[#Headers],[WP_H2]], Output_0000[[#This Row],[Date]])</f>
        <v/>
      </c>
      <c r="AP22" s="58"/>
      <c r="AQ22" s="58" t="str">
        <f ca="1">WeeklyPlanned(Output_0000[[#Headers],[WP_H3]], Output_0000[[#This Row],[Date]])</f>
        <v/>
      </c>
      <c r="AR22" s="58"/>
      <c r="AS22" s="58" t="str">
        <f ca="1">WeeklyPlanned(Output_0000[[#Headers],[WP_H4]], Output_0000[[#This Row],[Date]])</f>
        <v/>
      </c>
      <c r="AT22" s="58"/>
      <c r="AU22" s="58">
        <f ca="1">WeeklyPlanned(Output_0000[[#Headers],[WP_H5]],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>IF(AA22 = "Date", $S$4, AA22+7)</f>
        <v>44110</v>
      </c>
      <c r="AB23" s="56" t="str">
        <f ca="1">PrimaryAreas(8)</f>
        <v>A3, H4, H5</v>
      </c>
      <c r="AC23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82.36666666666666</v>
      </c>
      <c r="AD23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WeeklyPlanned(Output_0000[[#Headers],[WP_A1]], Output_0000[[#This Row],[Date]])</f>
        <v/>
      </c>
      <c r="AH23" s="58"/>
      <c r="AI23" s="58">
        <f ca="1">WeeklyPlanned(Output_0000[[#Headers],[WP_A3]], Output_0000[[#This Row],[Date]])</f>
        <v>61.199999999999996</v>
      </c>
      <c r="AJ23" s="58"/>
      <c r="AK23" s="58" t="str">
        <f ca="1">WeeklyPlanned(Output_0000[[#Headers],[WP_A2]], Output_0000[[#This Row],[Date]])</f>
        <v/>
      </c>
      <c r="AL23" s="58"/>
      <c r="AM23" s="58" t="str">
        <f ca="1">WeeklyPlanned(Output_0000[[#Headers],[WP_H1]], Output_0000[[#This Row],[Date]])</f>
        <v/>
      </c>
      <c r="AN23" s="58"/>
      <c r="AO23" s="58" t="str">
        <f ca="1">WeeklyPlanned(Output_0000[[#Headers],[WP_H2]], Output_0000[[#This Row],[Date]])</f>
        <v/>
      </c>
      <c r="AP23" s="58"/>
      <c r="AQ23" s="58" t="str">
        <f ca="1">WeeklyPlanned(Output_0000[[#Headers],[WP_H3]], Output_0000[[#This Row],[Date]])</f>
        <v/>
      </c>
      <c r="AR23" s="58"/>
      <c r="AS23" s="58">
        <f ca="1">WeeklyPlanned(Output_0000[[#Headers],[WP_H4]], Output_0000[[#This Row],[Date]])</f>
        <v>16.333333333333332</v>
      </c>
      <c r="AT23" s="58"/>
      <c r="AU23" s="58">
        <f ca="1">WeeklyPlanned(Output_0000[[#Headers],[WP_H5]],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>IF(AA23 = "Date", $S$4, AA23+7)</f>
        <v>44117</v>
      </c>
      <c r="AB24" s="56" t="str">
        <f ca="1">PrimaryAreas(8)</f>
        <v>A3, H2, H4</v>
      </c>
      <c r="AC24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126.67074829931971</v>
      </c>
      <c r="AD24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WeeklyPlanned(Output_0000[[#Headers],[WP_A1]], Output_0000[[#This Row],[Date]])</f>
        <v/>
      </c>
      <c r="AH24" s="58"/>
      <c r="AI24" s="58">
        <f ca="1">WeeklyPlanned(Output_0000[[#Headers],[WP_A3]], Output_0000[[#This Row],[Date]])</f>
        <v>40.799999999999997</v>
      </c>
      <c r="AJ24" s="58"/>
      <c r="AK24" s="58" t="str">
        <f ca="1">WeeklyPlanned(Output_0000[[#Headers],[WP_A2]], Output_0000[[#This Row],[Date]])</f>
        <v/>
      </c>
      <c r="AL24" s="58"/>
      <c r="AM24" s="58" t="str">
        <f ca="1">WeeklyPlanned(Output_0000[[#Headers],[WP_H1]], Output_0000[[#This Row],[Date]])</f>
        <v/>
      </c>
      <c r="AN24" s="58"/>
      <c r="AO24" s="58">
        <f ca="1">WeeklyPlanned(Output_0000[[#Headers],[WP_H2]], Output_0000[[#This Row],[Date]])</f>
        <v>4.204081632653061</v>
      </c>
      <c r="AP24" s="58"/>
      <c r="AQ24" s="58" t="str">
        <f ca="1">WeeklyPlanned(Output_0000[[#Headers],[WP_H3]], Output_0000[[#This Row],[Date]])</f>
        <v/>
      </c>
      <c r="AR24" s="58"/>
      <c r="AS24" s="58">
        <f ca="1">WeeklyPlanned(Output_0000[[#Headers],[WP_H4]], Output_0000[[#This Row],[Date]])</f>
        <v>81.666666666666657</v>
      </c>
      <c r="AT24" s="58"/>
      <c r="AU24" s="58" t="str">
        <f ca="1">WeeklyPlanned(Output_0000[[#Headers],[WP_H5]],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>IF(AA24 = "Date", $S$4, AA24+7)</f>
        <v>44124</v>
      </c>
      <c r="AB25" s="56" t="str">
        <f ca="1">PrimaryAreas(8)</f>
        <v>H2, H4</v>
      </c>
      <c r="AC25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92.176870748299308</v>
      </c>
      <c r="AD25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WeeklyPlanned(Output_0000[[#Headers],[WP_A1]], Output_0000[[#This Row],[Date]])</f>
        <v/>
      </c>
      <c r="AH25" s="58"/>
      <c r="AI25" s="58" t="str">
        <f ca="1">WeeklyPlanned(Output_0000[[#Headers],[WP_A3]], Output_0000[[#This Row],[Date]])</f>
        <v/>
      </c>
      <c r="AJ25" s="58"/>
      <c r="AK25" s="58" t="str">
        <f ca="1">WeeklyPlanned(Output_0000[[#Headers],[WP_A2]], Output_0000[[#This Row],[Date]])</f>
        <v/>
      </c>
      <c r="AL25" s="58"/>
      <c r="AM25" s="58" t="str">
        <f ca="1">WeeklyPlanned(Output_0000[[#Headers],[WP_H1]], Output_0000[[#This Row],[Date]])</f>
        <v/>
      </c>
      <c r="AN25" s="58"/>
      <c r="AO25" s="58">
        <f ca="1">WeeklyPlanned(Output_0000[[#Headers],[WP_H2]], Output_0000[[#This Row],[Date]])</f>
        <v>10.510204081632653</v>
      </c>
      <c r="AP25" s="58"/>
      <c r="AQ25" s="58" t="str">
        <f ca="1">WeeklyPlanned(Output_0000[[#Headers],[WP_H3]], Output_0000[[#This Row],[Date]])</f>
        <v/>
      </c>
      <c r="AR25" s="58"/>
      <c r="AS25" s="58">
        <f ca="1">WeeklyPlanned(Output_0000[[#Headers],[WP_H4]], Output_0000[[#This Row],[Date]])</f>
        <v>81.666666666666657</v>
      </c>
      <c r="AT25" s="58"/>
      <c r="AU25" s="58" t="str">
        <f ca="1">WeeklyPlanned(Output_0000[[#Headers],[WP_H5]],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>IF(AA25 = "Date", $S$4, AA25+7)</f>
        <v>44131</v>
      </c>
      <c r="AB26" s="56" t="str">
        <f ca="1">PrimaryAreas(8)</f>
        <v>H2, H4</v>
      </c>
      <c r="AC26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75.843537414965979</v>
      </c>
      <c r="AD26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WeeklyPlanned(Output_0000[[#Headers],[WP_A1]], Output_0000[[#This Row],[Date]])</f>
        <v/>
      </c>
      <c r="AH26" s="58"/>
      <c r="AI26" s="58" t="str">
        <f ca="1">WeeklyPlanned(Output_0000[[#Headers],[WP_A3]], Output_0000[[#This Row],[Date]])</f>
        <v/>
      </c>
      <c r="AJ26" s="58"/>
      <c r="AK26" s="58" t="str">
        <f ca="1">WeeklyPlanned(Output_0000[[#Headers],[WP_A2]], Output_0000[[#This Row],[Date]])</f>
        <v/>
      </c>
      <c r="AL26" s="58"/>
      <c r="AM26" s="58" t="str">
        <f ca="1">WeeklyPlanned(Output_0000[[#Headers],[WP_H1]], Output_0000[[#This Row],[Date]])</f>
        <v/>
      </c>
      <c r="AN26" s="58"/>
      <c r="AO26" s="58">
        <f ca="1">WeeklyPlanned(Output_0000[[#Headers],[WP_H2]], Output_0000[[#This Row],[Date]])</f>
        <v>10.510204081632653</v>
      </c>
      <c r="AP26" s="58"/>
      <c r="AQ26" s="58" t="str">
        <f ca="1">WeeklyPlanned(Output_0000[[#Headers],[WP_H3]], Output_0000[[#This Row],[Date]])</f>
        <v/>
      </c>
      <c r="AR26" s="58"/>
      <c r="AS26" s="58">
        <f ca="1">WeeklyPlanned(Output_0000[[#Headers],[WP_H4]], Output_0000[[#This Row],[Date]])</f>
        <v>65.333333333333329</v>
      </c>
      <c r="AT26" s="58"/>
      <c r="AU26" s="58" t="str">
        <f ca="1">WeeklyPlanned(Output_0000[[#Headers],[WP_H5]],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>IF(AA26 = "Date", $S$4, AA26+7)</f>
        <v>44138</v>
      </c>
      <c r="AB27" s="56" t="str">
        <f ca="1">PrimaryAreas(8)</f>
        <v>A2, H1, H2</v>
      </c>
      <c r="AC27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176.71020408163264</v>
      </c>
      <c r="AD27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WeeklyPlanned(Output_0000[[#Headers],[WP_A1]], Output_0000[[#This Row],[Date]])</f>
        <v/>
      </c>
      <c r="AH27" s="58"/>
      <c r="AI27" s="58" t="str">
        <f ca="1">WeeklyPlanned(Output_0000[[#Headers],[WP_A3]], Output_0000[[#This Row],[Date]])</f>
        <v/>
      </c>
      <c r="AJ27" s="58"/>
      <c r="AK27" s="58">
        <f ca="1">WeeklyPlanned(Output_0000[[#Headers],[WP_A2]], Output_0000[[#This Row],[Date]])</f>
        <v>83.699999999999989</v>
      </c>
      <c r="AL27" s="58"/>
      <c r="AM27" s="58">
        <f ca="1">WeeklyPlanned(Output_0000[[#Headers],[WP_H1]], Output_0000[[#This Row],[Date]])</f>
        <v>82.5</v>
      </c>
      <c r="AN27" s="58"/>
      <c r="AO27" s="58">
        <f ca="1">WeeklyPlanned(Output_0000[[#Headers],[WP_H2]], Output_0000[[#This Row],[Date]])</f>
        <v>10.510204081632653</v>
      </c>
      <c r="AP27" s="58"/>
      <c r="AQ27" s="58" t="str">
        <f ca="1">WeeklyPlanned(Output_0000[[#Headers],[WP_H3]], Output_0000[[#This Row],[Date]])</f>
        <v/>
      </c>
      <c r="AR27" s="58"/>
      <c r="AS27" s="58" t="str">
        <f ca="1">WeeklyPlanned(Output_0000[[#Headers],[WP_H4]], Output_0000[[#This Row],[Date]])</f>
        <v/>
      </c>
      <c r="AT27" s="58"/>
      <c r="AU27" s="58" t="str">
        <f ca="1">WeeklyPlanned(Output_0000[[#Headers],[WP_H5]],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>IF(AA27 = "Date", $S$4, AA27+7)</f>
        <v>44145</v>
      </c>
      <c r="AB28" s="56" t="str">
        <f ca="1">PrimaryAreas(8)</f>
        <v>A2, H1, H2</v>
      </c>
      <c r="AC28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199.51020408163265</v>
      </c>
      <c r="AD28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WeeklyPlanned(Output_0000[[#Headers],[WP_A1]], Output_0000[[#This Row],[Date]])</f>
        <v/>
      </c>
      <c r="AH28" s="58"/>
      <c r="AI28" s="58" t="str">
        <f ca="1">WeeklyPlanned(Output_0000[[#Headers],[WP_A3]], Output_0000[[#This Row],[Date]])</f>
        <v/>
      </c>
      <c r="AJ28" s="58"/>
      <c r="AK28" s="58">
        <f ca="1">WeeklyPlanned(Output_0000[[#Headers],[WP_A2]], Output_0000[[#This Row],[Date]])</f>
        <v>139.5</v>
      </c>
      <c r="AL28" s="58"/>
      <c r="AM28" s="58">
        <f ca="1">WeeklyPlanned(Output_0000[[#Headers],[WP_H1]], Output_0000[[#This Row],[Date]])</f>
        <v>49.5</v>
      </c>
      <c r="AN28" s="58"/>
      <c r="AO28" s="58">
        <f ca="1">WeeklyPlanned(Output_0000[[#Headers],[WP_H2]], Output_0000[[#This Row],[Date]])</f>
        <v>10.510204081632653</v>
      </c>
      <c r="AP28" s="58"/>
      <c r="AQ28" s="58" t="str">
        <f ca="1">WeeklyPlanned(Output_0000[[#Headers],[WP_H3]], Output_0000[[#This Row],[Date]])</f>
        <v/>
      </c>
      <c r="AR28" s="58"/>
      <c r="AS28" s="58" t="str">
        <f ca="1">WeeklyPlanned(Output_0000[[#Headers],[WP_H4]], Output_0000[[#This Row],[Date]])</f>
        <v/>
      </c>
      <c r="AT28" s="58"/>
      <c r="AU28" s="58" t="str">
        <f ca="1">WeeklyPlanned(Output_0000[[#Headers],[WP_H5]],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>IF(AA28 = "Date", $S$4, AA28+7)</f>
        <v>44152</v>
      </c>
      <c r="AB29" s="56" t="str">
        <f ca="1">PrimaryAreas(8)</f>
        <v>A2, H2</v>
      </c>
      <c r="AC29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66.310204081632648</v>
      </c>
      <c r="AD29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WeeklyPlanned(Output_0000[[#Headers],[WP_A1]], Output_0000[[#This Row],[Date]])</f>
        <v/>
      </c>
      <c r="AH29" s="58"/>
      <c r="AI29" s="58" t="str">
        <f ca="1">WeeklyPlanned(Output_0000[[#Headers],[WP_A3]], Output_0000[[#This Row],[Date]])</f>
        <v/>
      </c>
      <c r="AJ29" s="58"/>
      <c r="AK29" s="58">
        <f ca="1">WeeklyPlanned(Output_0000[[#Headers],[WP_A2]], Output_0000[[#This Row],[Date]])</f>
        <v>55.8</v>
      </c>
      <c r="AL29" s="58"/>
      <c r="AM29" s="58" t="str">
        <f ca="1">WeeklyPlanned(Output_0000[[#Headers],[WP_H1]], Output_0000[[#This Row],[Date]])</f>
        <v/>
      </c>
      <c r="AN29" s="58"/>
      <c r="AO29" s="58">
        <f ca="1">WeeklyPlanned(Output_0000[[#Headers],[WP_H2]], Output_0000[[#This Row],[Date]])</f>
        <v>10.510204081632653</v>
      </c>
      <c r="AP29" s="58"/>
      <c r="AQ29" s="58" t="str">
        <f ca="1">WeeklyPlanned(Output_0000[[#Headers],[WP_H3]], Output_0000[[#This Row],[Date]])</f>
        <v/>
      </c>
      <c r="AR29" s="58"/>
      <c r="AS29" s="58" t="str">
        <f ca="1">WeeklyPlanned(Output_0000[[#Headers],[WP_H4]], Output_0000[[#This Row],[Date]])</f>
        <v/>
      </c>
      <c r="AT29" s="58"/>
      <c r="AU29" s="58" t="str">
        <f ca="1">WeeklyPlanned(Output_0000[[#Headers],[WP_H5]],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>IF(AA29 = "Date", $S$4, AA29+7)</f>
        <v>44159</v>
      </c>
      <c r="AB30" s="56" t="str">
        <f ca="1">PrimaryAreas(8)</f>
        <v>H2</v>
      </c>
      <c r="AC30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10.510204081632653</v>
      </c>
      <c r="AD30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WeeklyPlanned(Output_0000[[#Headers],[WP_A1]], Output_0000[[#This Row],[Date]])</f>
        <v/>
      </c>
      <c r="AH30" s="58"/>
      <c r="AI30" s="58" t="str">
        <f ca="1">WeeklyPlanned(Output_0000[[#Headers],[WP_A3]], Output_0000[[#This Row],[Date]])</f>
        <v/>
      </c>
      <c r="AJ30" s="58"/>
      <c r="AK30" s="58" t="str">
        <f ca="1">WeeklyPlanned(Output_0000[[#Headers],[WP_A2]], Output_0000[[#This Row],[Date]])</f>
        <v/>
      </c>
      <c r="AL30" s="58"/>
      <c r="AM30" s="58" t="str">
        <f ca="1">WeeklyPlanned(Output_0000[[#Headers],[WP_H1]], Output_0000[[#This Row],[Date]])</f>
        <v/>
      </c>
      <c r="AN30" s="58"/>
      <c r="AO30" s="58">
        <f ca="1">WeeklyPlanned(Output_0000[[#Headers],[WP_H2]], Output_0000[[#This Row],[Date]])</f>
        <v>10.510204081632653</v>
      </c>
      <c r="AP30" s="58"/>
      <c r="AQ30" s="58" t="str">
        <f ca="1">WeeklyPlanned(Output_0000[[#Headers],[WP_H3]], Output_0000[[#This Row],[Date]])</f>
        <v/>
      </c>
      <c r="AR30" s="58"/>
      <c r="AS30" s="58" t="str">
        <f ca="1">WeeklyPlanned(Output_0000[[#Headers],[WP_H4]], Output_0000[[#This Row],[Date]])</f>
        <v/>
      </c>
      <c r="AT30" s="58"/>
      <c r="AU30" s="58" t="str">
        <f ca="1">WeeklyPlanned(Output_0000[[#Headers],[WP_H5]],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>IF(AA30 = "Date", $S$4, AA30+7)</f>
        <v>44166</v>
      </c>
      <c r="AB31" s="56" t="str">
        <f ca="1">PrimaryAreas(8)</f>
        <v>H2</v>
      </c>
      <c r="AC31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10.510204081632653</v>
      </c>
      <c r="AD31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WeeklyPlanned(Output_0000[[#Headers],[WP_A1]], Output_0000[[#This Row],[Date]])</f>
        <v/>
      </c>
      <c r="AH31" s="58"/>
      <c r="AI31" s="58" t="str">
        <f ca="1">WeeklyPlanned(Output_0000[[#Headers],[WP_A3]], Output_0000[[#This Row],[Date]])</f>
        <v/>
      </c>
      <c r="AJ31" s="58"/>
      <c r="AK31" s="58" t="str">
        <f ca="1">WeeklyPlanned(Output_0000[[#Headers],[WP_A2]], Output_0000[[#This Row],[Date]])</f>
        <v/>
      </c>
      <c r="AL31" s="58"/>
      <c r="AM31" s="58" t="str">
        <f ca="1">WeeklyPlanned(Output_0000[[#Headers],[WP_H1]], Output_0000[[#This Row],[Date]])</f>
        <v/>
      </c>
      <c r="AN31" s="58"/>
      <c r="AO31" s="58">
        <f ca="1">WeeklyPlanned(Output_0000[[#Headers],[WP_H2]], Output_0000[[#This Row],[Date]])</f>
        <v>10.510204081632653</v>
      </c>
      <c r="AP31" s="58"/>
      <c r="AQ31" s="58" t="str">
        <f ca="1">WeeklyPlanned(Output_0000[[#Headers],[WP_H3]], Output_0000[[#This Row],[Date]])</f>
        <v/>
      </c>
      <c r="AR31" s="58"/>
      <c r="AS31" s="58" t="str">
        <f ca="1">WeeklyPlanned(Output_0000[[#Headers],[WP_H4]], Output_0000[[#This Row],[Date]])</f>
        <v/>
      </c>
      <c r="AT31" s="58"/>
      <c r="AU31" s="58" t="str">
        <f ca="1">WeeklyPlanned(Output_0000[[#Headers],[WP_H5]],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>IF(AA31 = "Date", $S$4, AA31+7)</f>
        <v>44173</v>
      </c>
      <c r="AB32" s="56" t="str">
        <f ca="1">PrimaryAreas(8)</f>
        <v>H2</v>
      </c>
      <c r="AC32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10.510204081632653</v>
      </c>
      <c r="AD32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WeeklyPlanned(Output_0000[[#Headers],[WP_A1]], Output_0000[[#This Row],[Date]])</f>
        <v/>
      </c>
      <c r="AH32" s="58"/>
      <c r="AI32" s="58" t="str">
        <f ca="1">WeeklyPlanned(Output_0000[[#Headers],[WP_A3]], Output_0000[[#This Row],[Date]])</f>
        <v/>
      </c>
      <c r="AJ32" s="58"/>
      <c r="AK32" s="58" t="str">
        <f ca="1">WeeklyPlanned(Output_0000[[#Headers],[WP_A2]], Output_0000[[#This Row],[Date]])</f>
        <v/>
      </c>
      <c r="AL32" s="58"/>
      <c r="AM32" s="58" t="str">
        <f ca="1">WeeklyPlanned(Output_0000[[#Headers],[WP_H1]], Output_0000[[#This Row],[Date]])</f>
        <v/>
      </c>
      <c r="AN32" s="58"/>
      <c r="AO32" s="58">
        <f ca="1">WeeklyPlanned(Output_0000[[#Headers],[WP_H2]], Output_0000[[#This Row],[Date]])</f>
        <v>10.510204081632653</v>
      </c>
      <c r="AP32" s="58"/>
      <c r="AQ32" s="58" t="str">
        <f ca="1">WeeklyPlanned(Output_0000[[#Headers],[WP_H3]], Output_0000[[#This Row],[Date]])</f>
        <v/>
      </c>
      <c r="AR32" s="58"/>
      <c r="AS32" s="58" t="str">
        <f ca="1">WeeklyPlanned(Output_0000[[#Headers],[WP_H4]], Output_0000[[#This Row],[Date]])</f>
        <v/>
      </c>
      <c r="AT32" s="58"/>
      <c r="AU32" s="58" t="str">
        <f ca="1">WeeklyPlanned(Output_0000[[#Headers],[WP_H5]],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>IF(AA32 = "Date", $S$4, AA32+7)</f>
        <v>44180</v>
      </c>
      <c r="AB33" s="56" t="str">
        <f ca="1">PrimaryAreas(8)</f>
        <v>H2</v>
      </c>
      <c r="AC33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10.510204081632653</v>
      </c>
      <c r="AD33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WeeklyPlanned(Output_0000[[#Headers],[WP_A1]], Output_0000[[#This Row],[Date]])</f>
        <v/>
      </c>
      <c r="AH33" s="58"/>
      <c r="AI33" s="58" t="str">
        <f ca="1">WeeklyPlanned(Output_0000[[#Headers],[WP_A3]], Output_0000[[#This Row],[Date]])</f>
        <v/>
      </c>
      <c r="AJ33" s="58"/>
      <c r="AK33" s="58" t="str">
        <f ca="1">WeeklyPlanned(Output_0000[[#Headers],[WP_A2]], Output_0000[[#This Row],[Date]])</f>
        <v/>
      </c>
      <c r="AL33" s="58"/>
      <c r="AM33" s="58" t="str">
        <f ca="1">WeeklyPlanned(Output_0000[[#Headers],[WP_H1]], Output_0000[[#This Row],[Date]])</f>
        <v/>
      </c>
      <c r="AN33" s="58"/>
      <c r="AO33" s="58">
        <f ca="1">WeeklyPlanned(Output_0000[[#Headers],[WP_H2]], Output_0000[[#This Row],[Date]])</f>
        <v>10.510204081632653</v>
      </c>
      <c r="AP33" s="58"/>
      <c r="AQ33" s="58" t="str">
        <f ca="1">WeeklyPlanned(Output_0000[[#Headers],[WP_H3]], Output_0000[[#This Row],[Date]])</f>
        <v/>
      </c>
      <c r="AR33" s="58"/>
      <c r="AS33" s="58" t="str">
        <f ca="1">WeeklyPlanned(Output_0000[[#Headers],[WP_H4]], Output_0000[[#This Row],[Date]])</f>
        <v/>
      </c>
      <c r="AT33" s="58"/>
      <c r="AU33" s="58" t="str">
        <f ca="1">WeeklyPlanned(Output_0000[[#Headers],[WP_H5]],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>IF(AA33 = "Date", $S$4, AA33+7)</f>
        <v>44187</v>
      </c>
      <c r="AB34" s="56" t="str">
        <f ca="1">PrimaryAreas(8)</f>
        <v>H2, H3</v>
      </c>
      <c r="AC34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14.204081632653061</v>
      </c>
      <c r="AD34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WeeklyPlanned(Output_0000[[#Headers],[WP_A1]], Output_0000[[#This Row],[Date]])</f>
        <v/>
      </c>
      <c r="AH34" s="58"/>
      <c r="AI34" s="58" t="str">
        <f ca="1">WeeklyPlanned(Output_0000[[#Headers],[WP_A3]], Output_0000[[#This Row],[Date]])</f>
        <v/>
      </c>
      <c r="AJ34" s="58"/>
      <c r="AK34" s="58" t="str">
        <f ca="1">WeeklyPlanned(Output_0000[[#Headers],[WP_A2]], Output_0000[[#This Row],[Date]])</f>
        <v/>
      </c>
      <c r="AL34" s="58"/>
      <c r="AM34" s="58" t="str">
        <f ca="1">WeeklyPlanned(Output_0000[[#Headers],[WP_H1]], Output_0000[[#This Row],[Date]])</f>
        <v/>
      </c>
      <c r="AN34" s="58"/>
      <c r="AO34" s="58">
        <f ca="1">WeeklyPlanned(Output_0000[[#Headers],[WP_H2]], Output_0000[[#This Row],[Date]])</f>
        <v>4.204081632653061</v>
      </c>
      <c r="AP34" s="58"/>
      <c r="AQ34" s="58">
        <f ca="1">WeeklyPlanned(Output_0000[[#Headers],[WP_H3]], Output_0000[[#This Row],[Date]])</f>
        <v>10</v>
      </c>
      <c r="AR34" s="58"/>
      <c r="AS34" s="58" t="str">
        <f ca="1">WeeklyPlanned(Output_0000[[#Headers],[WP_H4]], Output_0000[[#This Row],[Date]])</f>
        <v/>
      </c>
      <c r="AT34" s="58"/>
      <c r="AU34" s="58" t="str">
        <f ca="1">WeeklyPlanned(Output_0000[[#Headers],[WP_H5]],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>IF(AA34 = "Date", $S$4, AA34+7)</f>
        <v>44194</v>
      </c>
      <c r="AB35" s="56" t="str">
        <f ca="1">PrimaryAreas(8)</f>
        <v>H3</v>
      </c>
      <c r="AC35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13.333333333333334</v>
      </c>
      <c r="AD35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WeeklyPlanned(Output_0000[[#Headers],[WP_A1]], Output_0000[[#This Row],[Date]])</f>
        <v/>
      </c>
      <c r="AH35" s="58"/>
      <c r="AI35" s="58" t="str">
        <f ca="1">WeeklyPlanned(Output_0000[[#Headers],[WP_A3]], Output_0000[[#This Row],[Date]])</f>
        <v/>
      </c>
      <c r="AJ35" s="58"/>
      <c r="AK35" s="58" t="str">
        <f ca="1">WeeklyPlanned(Output_0000[[#Headers],[WP_A2]], Output_0000[[#This Row],[Date]])</f>
        <v/>
      </c>
      <c r="AL35" s="58"/>
      <c r="AM35" s="58" t="str">
        <f ca="1">WeeklyPlanned(Output_0000[[#Headers],[WP_H1]], Output_0000[[#This Row],[Date]])</f>
        <v/>
      </c>
      <c r="AN35" s="58"/>
      <c r="AO35" s="58" t="str">
        <f ca="1">WeeklyPlanned(Output_0000[[#Headers],[WP_H2]], Output_0000[[#This Row],[Date]])</f>
        <v/>
      </c>
      <c r="AP35" s="58"/>
      <c r="AQ35" s="58">
        <f ca="1">WeeklyPlanned(Output_0000[[#Headers],[WP_H3]], Output_0000[[#This Row],[Date]])</f>
        <v>13.333333333333334</v>
      </c>
      <c r="AR35" s="58"/>
      <c r="AS35" s="58" t="str">
        <f ca="1">WeeklyPlanned(Output_0000[[#Headers],[WP_H4]], Output_0000[[#This Row],[Date]])</f>
        <v/>
      </c>
      <c r="AT35" s="58"/>
      <c r="AU35" s="58" t="str">
        <f ca="1">WeeklyPlanned(Output_0000[[#Headers],[WP_H5]],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>IF(AA35 = "Date", $S$4, AA35+7)</f>
        <v>44201</v>
      </c>
      <c r="AB36" s="56" t="str">
        <f ca="1">PrimaryAreas(8)</f>
        <v>H3</v>
      </c>
      <c r="AC36" s="58">
        <f ca="1">IF(Output_0000[[#This Row],[WP_A1]]="", 0, Output_0000[[#This Row],[WP_A1]])+IF(Output_0000[[#This Row],[WP_A3]]="", 0, Output_0000[[#This Row],[WP_A3]])+IF(Output_0000[[#This Row],[WP_A2]]="", 0, Output_0000[[#This Row],[WP_A2]])+IF(Output_0000[[#This Row],[WP_H1]]="", 0, Output_0000[[#This Row],[WP_H1]])+IF(Output_0000[[#This Row],[WP_H2]]="", 0, Output_0000[[#This Row],[WP_H2]])+IF(Output_0000[[#This Row],[WP_H3]]="", 0, Output_0000[[#This Row],[WP_H3]])+IF(Output_0000[[#This Row],[WP_H4]]="", 0, Output_0000[[#This Row],[WP_H4]])+IF(Output_0000[[#This Row],[WP_H5]]="", 0, Output_0000[[#This Row],[WP_H5]])</f>
        <v>6.666666666666667</v>
      </c>
      <c r="AD36" s="58" t="str">
        <f>IF(AND(ISBLANK(Output_0000[[#This Row],[WA_A1]]),ISBLANK(Output_0000[[#This Row],[WA_A3]]),ISBLANK(Output_0000[[#This Row],[WA_A2]]),ISBLANK(Output_0000[[#This Row],[WA_H1]]),ISBLANK(Output_0000[[#This Row],[WA_H2]]),ISBLANK(Output_0000[[#This Row],[WA_H3]]),ISBLANK(Output_0000[[#This Row],[WA_H4]]),ISBLANK(Output_0000[[#This Row],[WA_H5]])),"", Output_0000[[#This Row],[WA_A1]]+Output_0000[[#This Row],[WA_A3]]+Output_0000[[#This Row],[WA_A2]]+Output_0000[[#This Row],[WA_H1]]+Output_0000[[#This Row],[WA_H2]]+Output_0000[[#This Row],[WA_H3]]+Output_0000[[#This Row],[WA_H4]]+Output_0000[[#This Row],[WA_H5]])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WeeklyPlanned(Output_0000[[#Headers],[WP_A1]], Output_0000[[#This Row],[Date]])</f>
        <v/>
      </c>
      <c r="AH36" s="58"/>
      <c r="AI36" s="58" t="str">
        <f ca="1">WeeklyPlanned(Output_0000[[#Headers],[WP_A3]], Output_0000[[#This Row],[Date]])</f>
        <v/>
      </c>
      <c r="AJ36" s="58"/>
      <c r="AK36" s="58" t="str">
        <f ca="1">WeeklyPlanned(Output_0000[[#Headers],[WP_A2]], Output_0000[[#This Row],[Date]])</f>
        <v/>
      </c>
      <c r="AL36" s="58"/>
      <c r="AM36" s="58" t="str">
        <f ca="1">WeeklyPlanned(Output_0000[[#Headers],[WP_H1]], Output_0000[[#This Row],[Date]])</f>
        <v/>
      </c>
      <c r="AN36" s="58"/>
      <c r="AO36" s="58" t="str">
        <f ca="1">WeeklyPlanned(Output_0000[[#Headers],[WP_H2]], Output_0000[[#This Row],[Date]])</f>
        <v/>
      </c>
      <c r="AP36" s="58"/>
      <c r="AQ36" s="58">
        <f ca="1">WeeklyPlanned(Output_0000[[#Headers],[WP_H3]], Output_0000[[#This Row],[Date]])</f>
        <v>6.666666666666667</v>
      </c>
      <c r="AR36" s="58"/>
      <c r="AS36" s="58" t="str">
        <f ca="1">WeeklyPlanned(Output_0000[[#Headers],[WP_H4]], Output_0000[[#This Row],[Date]])</f>
        <v/>
      </c>
      <c r="AT36" s="58"/>
      <c r="AU36" s="58" t="str">
        <f ca="1">WeeklyPlanned(Output_0000[[#Headers],[WP_H5]],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14" priority="7">
      <formula>ISERROR(AF14)</formula>
    </cfRule>
  </conditionalFormatting>
  <conditionalFormatting sqref="W13:X13">
    <cfRule type="expression" dxfId="13" priority="6">
      <formula>IF(OR($S$8 = "Assemble Addin", $S$8 = "Bluebeam QL"), TRUE, FALSE)</formula>
    </cfRule>
  </conditionalFormatting>
  <conditionalFormatting sqref="N6:O6">
    <cfRule type="expression" dxfId="12" priority="5">
      <formula>IF($N$6=$O$6, FALSE, TRUE)</formula>
    </cfRule>
  </conditionalFormatting>
  <conditionalFormatting sqref="W14:X21">
    <cfRule type="expression" dxfId="11" priority="3">
      <formula>IF(OR($S$8 = "Assemble Addin", $S$8 = "Bluebeam QL"), TRUE, FALSE)</formula>
    </cfRule>
    <cfRule type="expression" dxfId="10" priority="4">
      <formula>IF(OR($S$8 = "Assemble Addin", $S$8 = "Bluebeam QL"), MOD(ROW(), 2)=0, FALSE)</formula>
    </cfRule>
  </conditionalFormatting>
  <conditionalFormatting sqref="R13">
    <cfRule type="expression" dxfId="9" priority="2">
      <formula>IF($S$8 = "Assemble Addin", TRUE, FALSE)</formula>
    </cfRule>
  </conditionalFormatting>
  <conditionalFormatting sqref="R14:R21">
    <cfRule type="expression" dxfId="8" priority="1">
      <formula>IF($S$8 = "Assemble Addin", MOD(ROW(), 2)=0, FALSE)</formula>
    </cfRule>
  </conditionalFormatting>
  <dataValidations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6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2020-06-08T22:18:17Z</cp:lastPrinted>
  <dcterms:created xsi:type="dcterms:W3CDTF">2019-04-09T17:53:55Z</dcterms:created>
  <dcterms:modified xsi:type="dcterms:W3CDTF">2020-06-08T23:45:46Z</dcterms:modified>
</cp:coreProperties>
</file>