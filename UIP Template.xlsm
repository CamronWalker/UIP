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2.xml" ContentType="application/vnd.openxmlformats-officedocument.drawing+xml"/>
  <Override PartName="/xl/ctrlProps/ctrlProp1.xml" ContentType="application/vnd.ms-excel.controlproperties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comments2.xml" ContentType="application/vnd.openxmlformats-officedocument.spreadsheetml.comments+xml"/>
  <Override PartName="/xl/drawings/drawing3.xml" ContentType="application/vnd.openxmlformats-officedocument.drawing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929" codeName="{1AED2BDD-1FA3-CEF2-32D4-FBADEFEB71E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camron\code\UIP\"/>
    </mc:Choice>
  </mc:AlternateContent>
  <xr:revisionPtr revIDLastSave="0" documentId="13_ncr:1_{65C434F2-97B4-4FEF-BFE5-6EFD6F296133}" xr6:coauthVersionLast="44" xr6:coauthVersionMax="44" xr10:uidLastSave="{00000000-0000-0000-0000-000000000000}"/>
  <bookViews>
    <workbookView xWindow="-110" yWindow="-110" windowWidth="38620" windowHeight="21220" xr2:uid="{791B15CC-68B2-4D54-B53E-4FED7E26F6F4}"/>
  </bookViews>
  <sheets>
    <sheet name="Template" sheetId="3" r:id="rId1"/>
    <sheet name="Settings" sheetId="1" r:id="rId2"/>
    <sheet name="Main" sheetId="2" r:id="rId3"/>
  </sheets>
  <functionGroups builtInGroupCount="19"/>
  <externalReferences>
    <externalReference r:id="rId4"/>
  </externalReferences>
  <definedNames>
    <definedName name="Dev_Mode">Settings!$F$3</definedName>
    <definedName name="Half_After_Holiday">Settings!$F$5</definedName>
    <definedName name="Logging">Settings!$F$4</definedName>
    <definedName name="Percent_Error">Main!$H$8</definedName>
    <definedName name="Power_BI_Export_Folder">Settings!$L$1</definedName>
    <definedName name="Power_BI_Filename">Settings!$C$6</definedName>
    <definedName name="_xlnm.Print_Area" localSheetId="2">Main!$B$2:$E$50</definedName>
    <definedName name="_xlnm.Print_Area" localSheetId="0">Template!$B$2:$O$40</definedName>
    <definedName name="Project_Engineer">Settings!$C$9</definedName>
    <definedName name="Project_Manager">Settings!$C$8</definedName>
    <definedName name="Project_Name">Settings!$C$3</definedName>
    <definedName name="Project_Number">Settings!$C$4</definedName>
    <definedName name="RedGreen_Formatting">Main!$H$7</definedName>
    <definedName name="Report_Date">Main!$H$6</definedName>
    <definedName name="Reporting_Day">Settings!$C$7</definedName>
    <definedName name="Schedule_Run_Date">Settings!$C$5</definedName>
    <definedName name="Superintendent">Settings!$C$10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AE37" i="3" l="1"/>
  <c r="AF37" i="3"/>
  <c r="AE38" i="3"/>
  <c r="AF38" i="3"/>
  <c r="AE39" i="3"/>
  <c r="AF39" i="3"/>
  <c r="AE40" i="3"/>
  <c r="AF40" i="3"/>
  <c r="AE41" i="3"/>
  <c r="AF41" i="3"/>
  <c r="AE42" i="3"/>
  <c r="AF42" i="3"/>
  <c r="AE43" i="3"/>
  <c r="AF43" i="3"/>
  <c r="AD40" i="3"/>
  <c r="AD41" i="3"/>
  <c r="AD42" i="3"/>
  <c r="AD43" i="3"/>
  <c r="AC40" i="3"/>
  <c r="AC41" i="3"/>
  <c r="AC42" i="3"/>
  <c r="AC43" i="3"/>
  <c r="AD39" i="3" l="1"/>
  <c r="AD38" i="3"/>
  <c r="AD37" i="3"/>
  <c r="AD36" i="3"/>
  <c r="AD35" i="3"/>
  <c r="AD34" i="3"/>
  <c r="AD33" i="3"/>
  <c r="AD32" i="3"/>
  <c r="AD31" i="3"/>
  <c r="AD30" i="3"/>
  <c r="AD29" i="3"/>
  <c r="AD28" i="3"/>
  <c r="AD27" i="3"/>
  <c r="AD26" i="3"/>
  <c r="AD25" i="3"/>
  <c r="AD24" i="3"/>
  <c r="AD23" i="3"/>
  <c r="AD22" i="3"/>
  <c r="AD21" i="3"/>
  <c r="AD20" i="3"/>
  <c r="AD19" i="3"/>
  <c r="AD18" i="3"/>
  <c r="AD17" i="3"/>
  <c r="AD16" i="3"/>
  <c r="AD15" i="3"/>
  <c r="AD14" i="3"/>
  <c r="AC39" i="3"/>
  <c r="AC38" i="3"/>
  <c r="AC37" i="3"/>
  <c r="AC36" i="3"/>
  <c r="AC35" i="3"/>
  <c r="AC34" i="3"/>
  <c r="AC33" i="3"/>
  <c r="AC32" i="3"/>
  <c r="AC31" i="3"/>
  <c r="AC30" i="3"/>
  <c r="AC29" i="3"/>
  <c r="AC28" i="3"/>
  <c r="AC27" i="3"/>
  <c r="AC26" i="3"/>
  <c r="AC25" i="3"/>
  <c r="AC24" i="3"/>
  <c r="AC23" i="3"/>
  <c r="AC22" i="3"/>
  <c r="AC21" i="3"/>
  <c r="AC20" i="3"/>
  <c r="AC19" i="3"/>
  <c r="AC18" i="3"/>
  <c r="AC17" i="3"/>
  <c r="AC16" i="3"/>
  <c r="AC15" i="3"/>
  <c r="AC14" i="3"/>
  <c r="S5" i="3"/>
  <c r="S4" i="3"/>
  <c r="AF15" i="3" l="1"/>
  <c r="AF16" i="3"/>
  <c r="AF28" i="3"/>
  <c r="AF29" i="3"/>
  <c r="AF18" i="3"/>
  <c r="AF19" i="3"/>
  <c r="AF31" i="3"/>
  <c r="AE15" i="3"/>
  <c r="AF20" i="3"/>
  <c r="AF32" i="3"/>
  <c r="AF33" i="3"/>
  <c r="AF22" i="3"/>
  <c r="AF21" i="3"/>
  <c r="AF23" i="3"/>
  <c r="AF34" i="3"/>
  <c r="AF35" i="3"/>
  <c r="AF24" i="3"/>
  <c r="AF36" i="3"/>
  <c r="AF25" i="3"/>
  <c r="AF26" i="3"/>
  <c r="AF27" i="3"/>
  <c r="AF17" i="3"/>
  <c r="AF30" i="3"/>
  <c r="AE26" i="3"/>
  <c r="AE25" i="3"/>
  <c r="AE36" i="3"/>
  <c r="AE24" i="3"/>
  <c r="AE35" i="3"/>
  <c r="AE23" i="3"/>
  <c r="AE34" i="3"/>
  <c r="AE22" i="3"/>
  <c r="AE33" i="3"/>
  <c r="AE21" i="3"/>
  <c r="AE32" i="3"/>
  <c r="AE20" i="3"/>
  <c r="AE31" i="3"/>
  <c r="AE19" i="3"/>
  <c r="AE30" i="3"/>
  <c r="AE18" i="3"/>
  <c r="AE29" i="3"/>
  <c r="AE17" i="3"/>
  <c r="AE28" i="3"/>
  <c r="AE16" i="3"/>
  <c r="AE27" i="3"/>
  <c r="AF14" i="3"/>
  <c r="AA14" i="3"/>
  <c r="AA15" i="3" s="1"/>
  <c r="AA16" i="3" s="1"/>
  <c r="AA17" i="3" s="1"/>
  <c r="AA18" i="3" s="1"/>
  <c r="AA19" i="3" s="1"/>
  <c r="AA20" i="3" s="1"/>
  <c r="AA21" i="3" s="1"/>
  <c r="AA22" i="3" s="1"/>
  <c r="J11" i="3"/>
  <c r="J10" i="3"/>
  <c r="J9" i="3"/>
  <c r="J8" i="3"/>
  <c r="J7" i="3"/>
  <c r="J6" i="3"/>
  <c r="AE14" i="3" l="1"/>
  <c r="N6" i="3" l="1"/>
  <c r="S7" i="3" l="1"/>
  <c r="L14" i="3" s="1"/>
  <c r="S3" i="3"/>
  <c r="B2" i="3" s="1"/>
  <c r="S2" i="3"/>
  <c r="AB41" i="3"/>
  <c r="AB40" i="3"/>
  <c r="AB43" i="3"/>
  <c r="AB42" i="3"/>
  <c r="AB34" i="3"/>
  <c r="AB39" i="3"/>
  <c r="AB15" i="3"/>
  <c r="AB21" i="3"/>
  <c r="AB22" i="3"/>
  <c r="AB33" i="3"/>
  <c r="AB37" i="3"/>
  <c r="AB20" i="3"/>
  <c r="AB31" i="3"/>
  <c r="AB36" i="3"/>
  <c r="AB29" i="3"/>
  <c r="AB16" i="3"/>
  <c r="AB26" i="3"/>
  <c r="AB25" i="3"/>
  <c r="AB17" i="3"/>
  <c r="AB28" i="3"/>
  <c r="AB18" i="3"/>
  <c r="AB27" i="3"/>
  <c r="AB19" i="3"/>
  <c r="AB38" i="3"/>
  <c r="AB32" i="3"/>
  <c r="AB23" i="3"/>
  <c r="AB24" i="3"/>
  <c r="AB35" i="3"/>
  <c r="AB30" i="3"/>
  <c r="AB14" i="3"/>
  <c r="C7" i="3" l="1"/>
  <c r="C6" i="3"/>
  <c r="C5" i="3"/>
  <c r="C4" i="3"/>
  <c r="N12" i="3"/>
  <c r="O11" i="3"/>
  <c r="O8" i="3"/>
  <c r="N8" i="3"/>
  <c r="O7" i="3"/>
  <c r="N7" i="3"/>
  <c r="N5" i="3" s="1"/>
  <c r="O6" i="3"/>
  <c r="N9" i="3"/>
  <c r="O10" i="3"/>
  <c r="O9" i="3"/>
  <c r="N11" i="3"/>
  <c r="N10" i="3"/>
  <c r="O5" i="3" l="1"/>
  <c r="N13" i="3"/>
  <c r="B8" i="2" l="1"/>
  <c r="B7" i="2"/>
  <c r="B6" i="2"/>
  <c r="B2" i="2" l="1"/>
  <c r="B4" i="2"/>
  <c r="C6" i="1" l="1"/>
  <c r="AA23" i="3"/>
  <c r="AA24" i="3" s="1"/>
  <c r="AA25" i="3" s="1"/>
  <c r="AA26" i="3" s="1"/>
  <c r="AA27" i="3" s="1"/>
  <c r="AA28" i="3" s="1"/>
  <c r="AA29" i="3" s="1"/>
  <c r="AA30" i="3" s="1"/>
  <c r="AA31" i="3" s="1"/>
  <c r="AA32" i="3" s="1"/>
  <c r="AA33" i="3" s="1"/>
  <c r="AA34" i="3" s="1"/>
  <c r="AA35" i="3" s="1"/>
  <c r="AA36" i="3" s="1"/>
  <c r="AA37" i="3" s="1"/>
  <c r="AA38" i="3" s="1"/>
  <c r="AA39" i="3" s="1"/>
  <c r="AA40" i="3" s="1"/>
  <c r="AA41" i="3" s="1"/>
  <c r="AA42" i="3" s="1"/>
  <c r="AA43" i="3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Camron Walker</author>
  </authors>
  <commentList>
    <comment ref="R13" authorId="0" shapeId="0" xr:uid="{685D44E6-CEC5-4B66-B18F-39540FFE66E8}">
      <text>
        <r>
          <rPr>
            <sz val="9"/>
            <color indexed="81"/>
            <rFont val="Tahoma"/>
            <charset val="1"/>
          </rPr>
          <t xml:space="preserve">In a Bluebeam QL project you can have more than one Zone ID.  Seporate them with a semicolon.
</t>
        </r>
      </text>
    </comment>
    <comment ref="T13" authorId="0" shapeId="0" xr:uid="{CC56E1F3-6F66-4134-87BB-372357DAB409}">
      <text>
        <r>
          <rPr>
            <b/>
            <sz val="9"/>
            <color indexed="81"/>
            <rFont val="Tahoma"/>
            <charset val="1"/>
          </rPr>
          <t>Must be a unique value within this table.
NOTE: NO SPECIAL CHARACTERS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Camron Walker</author>
  </authors>
  <commentList>
    <comment ref="K1" authorId="0" shapeId="0" xr:uid="{C4A6F1CA-C359-424F-9D79-8F712F7D5583}">
      <text>
        <r>
          <rPr>
            <b/>
            <sz val="9"/>
            <color indexed="81"/>
            <rFont val="Tahoma"/>
            <family val="2"/>
          </rPr>
          <t>Should be a folder in OneDrive</t>
        </r>
      </text>
    </comment>
  </commentList>
</comments>
</file>

<file path=xl/sharedStrings.xml><?xml version="1.0" encoding="utf-8"?>
<sst xmlns="http://schemas.openxmlformats.org/spreadsheetml/2006/main" count="102" uniqueCount="100">
  <si>
    <t>Setting</t>
  </si>
  <si>
    <t>Dev Mode</t>
  </si>
  <si>
    <t>Logging</t>
  </si>
  <si>
    <t>Holidays</t>
  </si>
  <si>
    <t>Half After Holiday</t>
  </si>
  <si>
    <t>Misc. Settings</t>
  </si>
  <si>
    <t>Project Default Values</t>
  </si>
  <si>
    <t>Value</t>
  </si>
  <si>
    <t>Schedule Run Date</t>
  </si>
  <si>
    <t>Project Holidays</t>
  </si>
  <si>
    <t>Project Name</t>
  </si>
  <si>
    <t>Power BI Live Update</t>
  </si>
  <si>
    <t>Power BI Export Folder:</t>
  </si>
  <si>
    <t>Project Number</t>
  </si>
  <si>
    <t>Power BI Filename</t>
  </si>
  <si>
    <t>S000</t>
  </si>
  <si>
    <t>Westland Super Cool Project</t>
  </si>
  <si>
    <t>C:\Users\camron\OneDrive - Westland Construction\Projects\S590 - SGU Temple Remodel\UIP</t>
  </si>
  <si>
    <t>Report Date:</t>
  </si>
  <si>
    <t>Reporting Day</t>
  </si>
  <si>
    <t>Enabled</t>
  </si>
  <si>
    <t>Project Manager</t>
  </si>
  <si>
    <t>Project Engineer</t>
  </si>
  <si>
    <t>Default 1</t>
  </si>
  <si>
    <t>Default 2</t>
  </si>
  <si>
    <t>Default 3</t>
  </si>
  <si>
    <t>Superintendent</t>
  </si>
  <si>
    <t>Trade</t>
  </si>
  <si>
    <t>Subcontractor</t>
  </si>
  <si>
    <t>Plan %</t>
  </si>
  <si>
    <t>Actual %</t>
  </si>
  <si>
    <t>03 Concrete</t>
  </si>
  <si>
    <t>04 Masonry</t>
  </si>
  <si>
    <t>05 Metals</t>
  </si>
  <si>
    <t>06 Woods, Plastics, and Composites</t>
  </si>
  <si>
    <t>07 Thermal and Moisture Protection</t>
  </si>
  <si>
    <t>RedGreen Formatting:</t>
  </si>
  <si>
    <t>XYZ Corp</t>
  </si>
  <si>
    <t>Really Long Name XYZ Corp</t>
  </si>
  <si>
    <t>Percent Error:</t>
  </si>
  <si>
    <t>01  Footings</t>
  </si>
  <si>
    <t>02  Foundation Walls</t>
  </si>
  <si>
    <t>Trade ID</t>
  </si>
  <si>
    <t>0301</t>
  </si>
  <si>
    <t>Power BI</t>
  </si>
  <si>
    <t>Reported</t>
  </si>
  <si>
    <t>Completed Date</t>
  </si>
  <si>
    <t>0302</t>
  </si>
  <si>
    <t>&lt;-- Hide Don't Delete Division Header Rows</t>
  </si>
  <si>
    <t>Project:</t>
  </si>
  <si>
    <t>Description</t>
  </si>
  <si>
    <t>Plan</t>
  </si>
  <si>
    <t>Actual</t>
  </si>
  <si>
    <t>Project ID:</t>
  </si>
  <si>
    <t>Overall Progress (%)</t>
  </si>
  <si>
    <t>Subcontractor:</t>
  </si>
  <si>
    <t>Trade:</t>
  </si>
  <si>
    <t>Scheduled Finish Date</t>
  </si>
  <si>
    <t>Projected Finish Date</t>
  </si>
  <si>
    <t>NORMAL GRAPH</t>
  </si>
  <si>
    <t>Sheet Name:</t>
  </si>
  <si>
    <t>1st Report Date:</t>
  </si>
  <si>
    <t>Manual</t>
  </si>
  <si>
    <t>Update Method:</t>
  </si>
  <si>
    <t>Units:</t>
  </si>
  <si>
    <t>SF</t>
  </si>
  <si>
    <t>Zone ID</t>
  </si>
  <si>
    <t>Short Description</t>
  </si>
  <si>
    <t>Start Date</t>
  </si>
  <si>
    <t>Finish Date</t>
  </si>
  <si>
    <t>Total</t>
  </si>
  <si>
    <t>Completed Total</t>
  </si>
  <si>
    <t>Works Monday:</t>
  </si>
  <si>
    <t>Works Tuesday:</t>
  </si>
  <si>
    <t>Works Wednesday:</t>
  </si>
  <si>
    <t>Works Thursday:</t>
  </si>
  <si>
    <t>Works Friday:</t>
  </si>
  <si>
    <t>Works Saturday:</t>
  </si>
  <si>
    <t>Works Sunday:</t>
  </si>
  <si>
    <t>Schedule Run Date:</t>
  </si>
  <si>
    <t>Date</t>
  </si>
  <si>
    <t>Weekly Plan</t>
  </si>
  <si>
    <t>Weekly Actual</t>
  </si>
  <si>
    <t>Accumulated Plan</t>
  </si>
  <si>
    <t>Accumulated Actual</t>
  </si>
  <si>
    <t>Primary Areas</t>
  </si>
  <si>
    <t>A1</t>
  </si>
  <si>
    <t>A2</t>
  </si>
  <si>
    <t>A3</t>
  </si>
  <si>
    <t>WP_A1</t>
  </si>
  <si>
    <t>WP_A2</t>
  </si>
  <si>
    <t>WA_A1</t>
  </si>
  <si>
    <t>WA_A2</t>
  </si>
  <si>
    <t>WP_A3</t>
  </si>
  <si>
    <t>WA_A3</t>
  </si>
  <si>
    <t>L4</t>
  </si>
  <si>
    <t>L5</t>
  </si>
  <si>
    <t>L6</t>
  </si>
  <si>
    <t>Tuesday</t>
  </si>
  <si>
    <t>Last Report Date: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</si>
</sst>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%"/>
    <numFmt numFmtId="165" formatCode="yyyy\-mm\-dd"/>
  </numFmts>
  <fonts count="20" x14ac:knownFonts="1">
    <font>
      <sz val="11"/>
      <color theme="1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9"/>
      <color indexed="81"/>
      <name val="Tahoma"/>
      <family val="2"/>
    </font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1"/>
      <color rgb="FF000000"/>
      <name val="Calibri"/>
      <family val="2"/>
    </font>
    <font>
      <sz val="8"/>
      <name val="Calibri"/>
      <family val="2"/>
      <scheme val="minor"/>
    </font>
    <font>
      <sz val="18"/>
      <color theme="1"/>
      <name val="Interstate-Light"/>
    </font>
    <font>
      <sz val="14"/>
      <color theme="1"/>
      <name val="Interstate-Light"/>
    </font>
    <font>
      <sz val="11"/>
      <color theme="1"/>
      <name val="Interstate-Light"/>
    </font>
    <font>
      <sz val="12"/>
      <color theme="1"/>
      <name val="Interstate-Light"/>
    </font>
    <font>
      <b/>
      <sz val="11"/>
      <color rgb="FFFA7D00"/>
      <name val="Calibri"/>
      <family val="2"/>
      <scheme val="minor"/>
    </font>
    <font>
      <sz val="13"/>
      <color theme="1"/>
      <name val="Interstate-Light"/>
    </font>
    <font>
      <i/>
      <sz val="24"/>
      <color theme="1"/>
      <name val="Interstate-Light"/>
    </font>
    <font>
      <b/>
      <sz val="11"/>
      <color rgb="FFFA7D00"/>
      <name val="Interstate-Light"/>
    </font>
    <font>
      <sz val="11"/>
      <color rgb="FF3F3F76"/>
      <name val="Interstate-Light"/>
    </font>
    <font>
      <b/>
      <sz val="12"/>
      <color theme="1"/>
      <name val="Interstate-Light"/>
    </font>
    <font>
      <sz val="7"/>
      <color theme="1"/>
      <name val="Interstate-Light"/>
    </font>
    <font>
      <sz val="9"/>
      <color indexed="81"/>
      <name val="Tahoma"/>
      <charset val="1"/>
    </font>
    <font>
      <b/>
      <sz val="9"/>
      <color indexed="81"/>
      <name val="Tahoma"/>
      <charset val="1"/>
    </font>
  </fonts>
  <fills count="7">
    <fill>
      <patternFill patternType="none"/>
    </fill>
    <fill>
      <patternFill patternType="gray125"/>
    </fill>
    <fill>
      <patternFill patternType="solid">
        <fgColor rgb="FFFFCC99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2F2F2"/>
      </patternFill>
    </fill>
  </fills>
  <borders count="19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 style="thin">
        <color theme="0" tint="-0.249977111117893"/>
      </left>
      <right style="thin">
        <color theme="0" tint="-0.249977111117893"/>
      </right>
      <top/>
      <bottom style="thin">
        <color theme="0" tint="-0.249977111117893"/>
      </bottom>
      <diagonal/>
    </border>
    <border>
      <left style="thin">
        <color theme="0" tint="-0.249977111117893"/>
      </left>
      <right style="medium">
        <color indexed="64"/>
      </right>
      <top/>
      <bottom style="thin">
        <color theme="0" tint="-0.249977111117893"/>
      </bottom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 style="thin">
        <color theme="0" tint="-0.249977111117893"/>
      </left>
      <right style="medium">
        <color indexed="64"/>
      </right>
      <top style="thin">
        <color theme="0" tint="-0.249977111117893"/>
      </top>
      <bottom style="thin">
        <color theme="0" tint="-0.249977111117893"/>
      </bottom>
      <diagonal/>
    </border>
    <border>
      <left/>
      <right/>
      <top style="thin">
        <color theme="0" tint="-0.249977111117893"/>
      </top>
      <bottom/>
      <diagonal/>
    </border>
    <border>
      <left/>
      <right style="medium">
        <color indexed="64"/>
      </right>
      <top style="thin">
        <color theme="0" tint="-0.249977111117893"/>
      </top>
      <bottom/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</borders>
  <cellStyleXfs count="3">
    <xf numFmtId="0" fontId="0" fillId="0" borderId="0"/>
    <xf numFmtId="0" fontId="1" fillId="2" borderId="1" applyNumberFormat="0" applyAlignment="0" applyProtection="0"/>
    <xf numFmtId="0" fontId="11" fillId="6" borderId="1" applyNumberFormat="0" applyAlignment="0" applyProtection="0"/>
  </cellStyleXfs>
  <cellXfs count="80">
    <xf numFmtId="0" fontId="0" fillId="0" borderId="0" xfId="0"/>
    <xf numFmtId="14" fontId="0" fillId="0" borderId="0" xfId="0" applyNumberFormat="1"/>
    <xf numFmtId="0" fontId="3" fillId="0" borderId="0" xfId="0" applyFont="1"/>
    <xf numFmtId="0" fontId="0" fillId="0" borderId="0" xfId="0" applyFont="1" applyFill="1" applyBorder="1"/>
    <xf numFmtId="0" fontId="1" fillId="2" borderId="1" xfId="1"/>
    <xf numFmtId="0" fontId="3" fillId="0" borderId="0" xfId="0" applyFont="1" applyAlignment="1"/>
    <xf numFmtId="14" fontId="1" fillId="2" borderId="1" xfId="1" applyNumberFormat="1" applyAlignment="1">
      <alignment horizontal="left"/>
    </xf>
    <xf numFmtId="0" fontId="8" fillId="0" borderId="0" xfId="0" applyFont="1" applyAlignment="1">
      <alignment horizontal="left"/>
    </xf>
    <xf numFmtId="0" fontId="9" fillId="0" borderId="0" xfId="0" applyFont="1"/>
    <xf numFmtId="0" fontId="9" fillId="0" borderId="0" xfId="0" applyFont="1" applyAlignment="1">
      <alignment horizontal="left" indent="1"/>
    </xf>
    <xf numFmtId="164" fontId="9" fillId="0" borderId="0" xfId="0" applyNumberFormat="1" applyFont="1"/>
    <xf numFmtId="0" fontId="12" fillId="4" borderId="0" xfId="0" applyFont="1" applyFill="1"/>
    <xf numFmtId="164" fontId="12" fillId="4" borderId="0" xfId="0" applyNumberFormat="1" applyFont="1" applyFill="1"/>
    <xf numFmtId="0" fontId="9" fillId="0" borderId="0" xfId="0" applyFont="1" applyAlignment="1">
      <alignment horizontal="left" indent="2"/>
    </xf>
    <xf numFmtId="14" fontId="1" fillId="2" borderId="1" xfId="1" applyNumberFormat="1" applyAlignment="1">
      <alignment horizontal="right"/>
    </xf>
    <xf numFmtId="0" fontId="1" fillId="2" borderId="1" xfId="1" applyAlignment="1">
      <alignment horizontal="right"/>
    </xf>
    <xf numFmtId="10" fontId="1" fillId="2" borderId="1" xfId="1" applyNumberFormat="1" applyAlignment="1">
      <alignment horizontal="right"/>
    </xf>
    <xf numFmtId="49" fontId="0" fillId="0" borderId="0" xfId="0" applyNumberFormat="1"/>
    <xf numFmtId="49" fontId="12" fillId="4" borderId="0" xfId="0" applyNumberFormat="1" applyFont="1" applyFill="1"/>
    <xf numFmtId="0" fontId="0" fillId="0" borderId="0" xfId="0" applyNumberFormat="1"/>
    <xf numFmtId="0" fontId="0" fillId="0" borderId="0" xfId="0" applyNumberFormat="1" applyAlignment="1">
      <alignment horizontal="right" indent="1"/>
    </xf>
    <xf numFmtId="0" fontId="12" fillId="4" borderId="0" xfId="0" applyNumberFormat="1" applyFont="1" applyFill="1"/>
    <xf numFmtId="14" fontId="0" fillId="0" borderId="0" xfId="0" applyNumberFormat="1" applyAlignment="1">
      <alignment horizontal="right"/>
    </xf>
    <xf numFmtId="0" fontId="10" fillId="5" borderId="0" xfId="0" applyFont="1" applyFill="1" applyAlignment="1">
      <alignment vertical="center"/>
    </xf>
    <xf numFmtId="0" fontId="9" fillId="0" borderId="0" xfId="0" applyFont="1" applyAlignment="1">
      <alignment horizontal="right"/>
    </xf>
    <xf numFmtId="0" fontId="14" fillId="6" borderId="1" xfId="2" applyFont="1" applyAlignment="1">
      <alignment horizontal="center"/>
    </xf>
    <xf numFmtId="0" fontId="15" fillId="2" borderId="1" xfId="1" applyFont="1" applyAlignment="1">
      <alignment horizontal="center"/>
    </xf>
    <xf numFmtId="14" fontId="14" fillId="6" borderId="1" xfId="2" applyNumberFormat="1" applyFont="1" applyAlignment="1">
      <alignment horizontal="center"/>
    </xf>
    <xf numFmtId="0" fontId="10" fillId="0" borderId="8" xfId="0" applyFont="1" applyBorder="1" applyAlignment="1">
      <alignment horizontal="right" vertical="center" indent="1"/>
    </xf>
    <xf numFmtId="10" fontId="16" fillId="0" borderId="9" xfId="0" applyNumberFormat="1" applyFont="1" applyBorder="1" applyAlignment="1">
      <alignment horizontal="center" vertical="center"/>
    </xf>
    <xf numFmtId="10" fontId="16" fillId="0" borderId="10" xfId="0" applyNumberFormat="1" applyFont="1" applyBorder="1" applyAlignment="1">
      <alignment horizontal="center" vertical="center"/>
    </xf>
    <xf numFmtId="14" fontId="15" fillId="2" borderId="1" xfId="1" applyNumberFormat="1" applyFont="1" applyAlignment="1">
      <alignment horizontal="center"/>
    </xf>
    <xf numFmtId="164" fontId="10" fillId="0" borderId="11" xfId="0" applyNumberFormat="1" applyFont="1" applyBorder="1" applyAlignment="1">
      <alignment horizontal="center" vertical="center"/>
    </xf>
    <xf numFmtId="164" fontId="10" fillId="0" borderId="12" xfId="0" applyNumberFormat="1" applyFont="1" applyBorder="1" applyAlignment="1">
      <alignment horizontal="center" vertical="center"/>
    </xf>
    <xf numFmtId="0" fontId="15" fillId="2" borderId="1" xfId="1" applyFont="1"/>
    <xf numFmtId="3" fontId="10" fillId="0" borderId="11" xfId="0" applyNumberFormat="1" applyFont="1" applyBorder="1" applyAlignment="1">
      <alignment horizontal="center" vertical="center"/>
    </xf>
    <xf numFmtId="3" fontId="10" fillId="0" borderId="12" xfId="0" applyNumberFormat="1" applyFont="1" applyBorder="1" applyAlignment="1">
      <alignment horizontal="center" vertical="center"/>
    </xf>
    <xf numFmtId="0" fontId="10" fillId="0" borderId="8" xfId="0" applyFont="1" applyBorder="1"/>
    <xf numFmtId="0" fontId="10" fillId="0" borderId="0" xfId="0" applyFont="1"/>
    <xf numFmtId="1" fontId="10" fillId="0" borderId="11" xfId="0" applyNumberFormat="1" applyFont="1" applyBorder="1" applyAlignment="1">
      <alignment horizontal="center" vertical="center"/>
    </xf>
    <xf numFmtId="1" fontId="10" fillId="0" borderId="12" xfId="0" applyNumberFormat="1" applyFont="1" applyBorder="1" applyAlignment="1">
      <alignment horizontal="center" vertical="center"/>
    </xf>
    <xf numFmtId="0" fontId="9" fillId="0" borderId="0" xfId="0" applyFont="1" applyAlignment="1">
      <alignment horizontal="left"/>
    </xf>
    <xf numFmtId="0" fontId="17" fillId="0" borderId="13" xfId="0" applyFont="1" applyBorder="1"/>
    <xf numFmtId="49" fontId="9" fillId="0" borderId="0" xfId="0" applyNumberFormat="1" applyFont="1" applyAlignment="1">
      <alignment horizontal="right"/>
    </xf>
    <xf numFmtId="49" fontId="9" fillId="0" borderId="0" xfId="0" applyNumberFormat="1" applyFont="1"/>
    <xf numFmtId="14" fontId="9" fillId="0" borderId="0" xfId="0" applyNumberFormat="1" applyFont="1"/>
    <xf numFmtId="0" fontId="17" fillId="0" borderId="15" xfId="0" applyFont="1" applyBorder="1"/>
    <xf numFmtId="0" fontId="10" fillId="0" borderId="2" xfId="0" applyFont="1" applyBorder="1"/>
    <xf numFmtId="0" fontId="10" fillId="0" borderId="3" xfId="0" applyFont="1" applyBorder="1"/>
    <xf numFmtId="0" fontId="10" fillId="0" borderId="4" xfId="0" applyFont="1" applyBorder="1"/>
    <xf numFmtId="0" fontId="10" fillId="0" borderId="17" xfId="0" applyFont="1" applyBorder="1"/>
    <xf numFmtId="0" fontId="10" fillId="0" borderId="18" xfId="0" applyFont="1" applyBorder="1"/>
    <xf numFmtId="0" fontId="10" fillId="0" borderId="15" xfId="0" applyFont="1" applyBorder="1"/>
    <xf numFmtId="0" fontId="10" fillId="0" borderId="16" xfId="0" applyFont="1" applyBorder="1"/>
    <xf numFmtId="165" fontId="0" fillId="0" borderId="0" xfId="0" applyNumberFormat="1" applyAlignment="1">
      <alignment horizontal="left"/>
    </xf>
    <xf numFmtId="0" fontId="9" fillId="0" borderId="0" xfId="0" applyFont="1" applyFill="1"/>
    <xf numFmtId="0" fontId="0" fillId="0" borderId="0" xfId="0" applyFont="1" applyFill="1"/>
    <xf numFmtId="0" fontId="0" fillId="0" borderId="0" xfId="0" applyNumberFormat="1" applyAlignment="1">
      <alignment horizontal="left"/>
    </xf>
    <xf numFmtId="0" fontId="9" fillId="0" borderId="0" xfId="0" applyNumberFormat="1" applyFont="1" applyAlignment="1">
      <alignment horizontal="left"/>
    </xf>
    <xf numFmtId="0" fontId="10" fillId="0" borderId="11" xfId="0" applyFont="1" applyBorder="1" applyAlignment="1">
      <alignment horizontal="right" indent="1"/>
    </xf>
    <xf numFmtId="14" fontId="10" fillId="0" borderId="11" xfId="0" applyNumberFormat="1" applyFont="1" applyBorder="1" applyAlignment="1">
      <alignment horizontal="center"/>
    </xf>
    <xf numFmtId="0" fontId="10" fillId="0" borderId="12" xfId="0" applyFont="1" applyBorder="1" applyAlignment="1">
      <alignment horizontal="center"/>
    </xf>
    <xf numFmtId="14" fontId="10" fillId="0" borderId="12" xfId="0" applyNumberFormat="1" applyFont="1" applyBorder="1" applyAlignment="1">
      <alignment horizontal="center"/>
    </xf>
    <xf numFmtId="0" fontId="17" fillId="0" borderId="13" xfId="0" applyFont="1" applyBorder="1" applyAlignment="1">
      <alignment horizontal="right" wrapText="1" indent="1"/>
    </xf>
    <xf numFmtId="0" fontId="17" fillId="0" borderId="14" xfId="0" applyFont="1" applyBorder="1" applyAlignment="1">
      <alignment horizontal="right" wrapText="1" indent="1"/>
    </xf>
    <xf numFmtId="0" fontId="17" fillId="0" borderId="15" xfId="0" applyFont="1" applyBorder="1" applyAlignment="1">
      <alignment horizontal="right" wrapText="1" indent="1"/>
    </xf>
    <xf numFmtId="0" fontId="17" fillId="0" borderId="16" xfId="0" applyFont="1" applyBorder="1" applyAlignment="1">
      <alignment horizontal="right" wrapText="1" indent="1"/>
    </xf>
    <xf numFmtId="0" fontId="10" fillId="0" borderId="11" xfId="0" applyFont="1" applyBorder="1" applyAlignment="1">
      <alignment horizontal="right" vertical="center" indent="1"/>
    </xf>
    <xf numFmtId="0" fontId="13" fillId="0" borderId="2" xfId="0" applyFont="1" applyBorder="1" applyAlignment="1">
      <alignment horizontal="center" vertical="center"/>
    </xf>
    <xf numFmtId="0" fontId="13" fillId="0" borderId="3" xfId="0" applyFont="1" applyBorder="1" applyAlignment="1">
      <alignment horizontal="center" vertical="center"/>
    </xf>
    <xf numFmtId="0" fontId="13" fillId="0" borderId="4" xfId="0" applyFont="1" applyBorder="1" applyAlignment="1">
      <alignment horizontal="center" vertical="center"/>
    </xf>
    <xf numFmtId="0" fontId="13" fillId="0" borderId="5" xfId="0" applyFont="1" applyBorder="1" applyAlignment="1">
      <alignment horizontal="center" vertical="center"/>
    </xf>
    <xf numFmtId="0" fontId="13" fillId="0" borderId="6" xfId="0" applyFont="1" applyBorder="1" applyAlignment="1">
      <alignment horizontal="center" vertical="center"/>
    </xf>
    <xf numFmtId="0" fontId="13" fillId="0" borderId="7" xfId="0" applyFont="1" applyBorder="1" applyAlignment="1">
      <alignment horizontal="center" vertical="center"/>
    </xf>
    <xf numFmtId="0" fontId="10" fillId="0" borderId="0" xfId="0" applyFont="1"/>
    <xf numFmtId="0" fontId="16" fillId="0" borderId="9" xfId="0" applyFont="1" applyBorder="1" applyAlignment="1">
      <alignment horizontal="center" vertical="center"/>
    </xf>
    <xf numFmtId="0" fontId="3" fillId="0" borderId="0" xfId="0" applyFont="1" applyAlignment="1">
      <alignment horizontal="center"/>
    </xf>
    <xf numFmtId="0" fontId="4" fillId="3" borderId="0" xfId="0" applyFont="1" applyFill="1" applyAlignment="1">
      <alignment horizontal="center"/>
    </xf>
    <xf numFmtId="0" fontId="10" fillId="5" borderId="0" xfId="0" applyFont="1" applyFill="1" applyAlignment="1">
      <alignment horizontal="left" vertical="center"/>
    </xf>
    <xf numFmtId="0" fontId="7" fillId="0" borderId="0" xfId="0" applyFont="1" applyFill="1" applyAlignment="1">
      <alignment horizontal="left" vertical="center"/>
    </xf>
  </cellXfs>
  <cellStyles count="3">
    <cellStyle name="Calculation" xfId="2" builtinId="22"/>
    <cellStyle name="Input" xfId="1" builtinId="20"/>
    <cellStyle name="Normal" xfId="0" builtinId="0"/>
  </cellStyles>
  <dxfs count="26">
    <dxf>
      <fill>
        <patternFill>
          <bgColor rgb="FFFF7C80"/>
        </patternFill>
      </fill>
    </dxf>
    <dxf>
      <fill>
        <patternFill>
          <bgColor rgb="FF66FF66"/>
        </patternFill>
      </fill>
    </dxf>
    <dxf>
      <font>
        <color theme="0"/>
      </font>
    </dxf>
    <dxf>
      <numFmt numFmtId="19" formatCode="m/d/yyyy"/>
    </dxf>
    <dxf>
      <numFmt numFmtId="19" formatCode="m/d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  <alignment horizontal="left" vertical="bottom" textRotation="0" wrapText="0" indent="0" justifyLastLine="0" shrinkToFit="0" readingOrder="0"/>
    </dxf>
    <dxf>
      <numFmt numFmtId="165" formatCode="yyyy\-mm\-dd"/>
      <alignment horizontal="left" vertical="bottom" textRotation="0" wrapText="0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name val="Interstate-Light"/>
        <scheme val="none"/>
      </font>
    </dxf>
    <dxf>
      <font>
        <strike val="0"/>
        <outline val="0"/>
        <shadow val="0"/>
        <u val="none"/>
        <vertAlign val="baseline"/>
        <name val="Interstate-Light"/>
        <scheme val="none"/>
      </font>
    </dxf>
    <dxf>
      <font>
        <strike val="0"/>
        <outline val="0"/>
        <shadow val="0"/>
        <u val="none"/>
        <vertAlign val="baseline"/>
        <name val="Interstate-Light"/>
        <scheme val="none"/>
      </font>
      <numFmt numFmtId="19" formatCode="m/d/yyyy"/>
    </dxf>
    <dxf>
      <font>
        <strike val="0"/>
        <outline val="0"/>
        <shadow val="0"/>
        <u val="none"/>
        <vertAlign val="baseline"/>
        <name val="Interstate-Light"/>
        <scheme val="none"/>
      </font>
      <numFmt numFmtId="19" formatCode="m/d/yyyy"/>
    </dxf>
    <dxf>
      <font>
        <strike val="0"/>
        <outline val="0"/>
        <shadow val="0"/>
        <u val="none"/>
        <vertAlign val="baseline"/>
        <name val="Interstate-Light"/>
        <scheme val="none"/>
      </font>
      <numFmt numFmtId="30" formatCode="@"/>
    </dxf>
    <dxf>
      <font>
        <strike val="0"/>
        <outline val="0"/>
        <shadow val="0"/>
        <u val="none"/>
        <vertAlign val="baseline"/>
        <name val="Interstate-Light"/>
        <scheme val="none"/>
      </font>
      <numFmt numFmtId="30" formatCode="@"/>
    </dxf>
    <dxf>
      <font>
        <strike val="0"/>
        <outline val="0"/>
        <shadow val="0"/>
        <u val="none"/>
        <vertAlign val="baseline"/>
        <name val="Interstate-Light"/>
        <scheme val="none"/>
      </font>
      <numFmt numFmtId="30" formatCode="@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name val="Interstate-Light"/>
        <scheme val="none"/>
      </font>
    </dxf>
    <dxf>
      <font>
        <strike val="0"/>
        <outline val="0"/>
        <shadow val="0"/>
        <u val="none"/>
        <vertAlign val="baseline"/>
        <name val="Interstate-Light"/>
        <scheme val="none"/>
      </font>
      <alignment horizontal="left" vertical="bottom" textRotation="0" wrapText="0" indent="0" justifyLastLine="0" shrinkToFit="0" readingOrder="0"/>
    </dxf>
  </dxfs>
  <tableStyles count="0" defaultTableStyle="TableStyleMedium2" defaultPivotStyle="PivotStyleLight16"/>
  <colors>
    <mruColors>
      <color rgb="FF66FF66"/>
      <color rgb="FFFF7C8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externalLink" Target="externalLinks/externalLink1.xml"/><Relationship Id="rId9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6.5705119169929813E-2"/>
          <c:y val="1.4971218472411301E-2"/>
          <c:w val="0.87573605657935838"/>
          <c:h val="0.77649082768650513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chemeClr val="accent1">
                <a:lumMod val="60000"/>
                <a:lumOff val="40000"/>
              </a:schemeClr>
            </a:solidFill>
            <a:ln>
              <a:solidFill>
                <a:schemeClr val="accent1">
                  <a:lumMod val="60000"/>
                  <a:lumOff val="40000"/>
                </a:schemeClr>
              </a:solidFill>
            </a:ln>
            <a:effectLst/>
          </c:spPr>
          <c:invertIfNegative val="0"/>
          <c:dLbls>
            <c:dLbl>
              <c:idx val="0"/>
              <c:tx>
                <c:rich>
                  <a:bodyPr/>
                  <a:lstStyle/>
                  <a:p>
                    <a:fld id="{4A4CEB12-D138-4382-A79B-DC16012E17C8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9C78-44A8-8F49-BAFA4BD094B9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22132D3E-9BCA-4601-A833-B799F2FD86D8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9C78-44A8-8F49-BAFA4BD094B9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09F6FB03-10F5-491D-AB39-2ACC59B2B0D2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9C78-44A8-8F49-BAFA4BD094B9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DCC8EDAF-8E71-4E6B-BBE3-CB428F6FE42C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9C78-44A8-8F49-BAFA4BD094B9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E934FBC3-19C7-4AF8-A0D1-0234A1A006E0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9C78-44A8-8F49-BAFA4BD094B9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F1689B93-4041-43E7-99ED-BCB11D18383A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9C78-44A8-8F49-BAFA4BD094B9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320416A2-4238-4532-9689-899406344F7C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9C78-44A8-8F49-BAFA4BD094B9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EE86A85F-3B50-443B-9D2E-4373362C60CD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9C78-44A8-8F49-BAFA4BD094B9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7B4E2990-B1C5-41DE-9C36-21043436189A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9C78-44A8-8F49-BAFA4BD094B9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AC584BB0-C4EA-4A24-83D1-AAAB63C8BD78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9C78-44A8-8F49-BAFA4BD094B9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5C498B05-C69A-43DC-84E5-B78DBB5E99CF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9C78-44A8-8F49-BAFA4BD094B9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5377FA60-3E96-41B2-B351-3720E1E3B14D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9C78-44A8-8F49-BAFA4BD094B9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476BFE35-9E8E-4E28-A7E8-5AE85DCD5038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9C78-44A8-8F49-BAFA4BD094B9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2F3DB2D3-4D8A-46E1-B36B-8398E6A1BC38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5E6D-4C53-A30C-2FF98A41B820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DB20BC23-EDAD-403E-8E14-691D5CB78887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5E6D-4C53-A30C-2FF98A41B820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A54C1765-AC05-4754-A6A4-AB8ABCA882FC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5E6D-4C53-A30C-2FF98A41B820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5571303C-4E91-420A-A609-66D74E9A1781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5E6D-4C53-A30C-2FF98A41B820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69A26037-C66C-4B82-B62C-7C021F28BE67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5E6D-4C53-A30C-2FF98A41B820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FED048AE-71CE-4915-9261-751078691636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5E6D-4C53-A30C-2FF98A41B820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D6C5741E-E141-481C-B63B-E803DDEB2549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5E6D-4C53-A30C-2FF98A41B820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32CF10DD-8D58-40CF-99CE-6CCF8C126304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5E6D-4C53-A30C-2FF98A41B820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2A3DC42B-C7A4-41E0-BC33-68E5918706C5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5E6D-4C53-A30C-2FF98A41B820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A0721631-7C61-400F-8648-B01C663B1076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5E6D-4C53-A30C-2FF98A41B820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E4C145F6-BC2B-4241-BF33-86DDB17959CB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5E6D-4C53-A30C-2FF98A41B820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1A6B4CE7-7C1B-4068-952D-A07409E5B5C9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5E6D-4C53-A30C-2FF98A41B820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DC6ADB81-2D2A-4D91-A283-BE3B3B98306D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5E6D-4C53-A30C-2FF98A41B820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7E2E7319-3499-41E9-9D5D-40E9660E2FE6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5E6D-4C53-A30C-2FF98A41B820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EE98B5A9-5F6D-4F1D-A46C-AB273FC2A2EF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5E6D-4C53-A30C-2FF98A41B820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493E206A-7AD9-4C1B-A838-7F72383376FA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5E6D-4C53-A30C-2FF98A41B820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172DBB3C-5A5A-4041-9C5A-914BC39AACE9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5E6D-4C53-A30C-2FF98A41B820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spcFirstLastPara="1" vertOverflow="ellipsis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0"/>
              </c:ext>
            </c:extLst>
          </c:dLbls>
          <c:cat>
            <c:numRef>
              <c:f>Template!$AA$14:$AA$43</c:f>
              <c:numCache>
                <c:formatCode>yyyy\-mm\-dd</c:formatCode>
                <c:ptCount val="30"/>
                <c:pt idx="0">
                  <c:v>43907</c:v>
                </c:pt>
                <c:pt idx="1">
                  <c:v>43914</c:v>
                </c:pt>
                <c:pt idx="2">
                  <c:v>43921</c:v>
                </c:pt>
                <c:pt idx="3">
                  <c:v>43928</c:v>
                </c:pt>
                <c:pt idx="4">
                  <c:v>43935</c:v>
                </c:pt>
                <c:pt idx="5">
                  <c:v>43942</c:v>
                </c:pt>
                <c:pt idx="6">
                  <c:v>43949</c:v>
                </c:pt>
                <c:pt idx="7">
                  <c:v>43956</c:v>
                </c:pt>
                <c:pt idx="8">
                  <c:v>43963</c:v>
                </c:pt>
                <c:pt idx="9">
                  <c:v>43970</c:v>
                </c:pt>
                <c:pt idx="10">
                  <c:v>43977</c:v>
                </c:pt>
                <c:pt idx="11">
                  <c:v>43984</c:v>
                </c:pt>
                <c:pt idx="12">
                  <c:v>43991</c:v>
                </c:pt>
                <c:pt idx="13">
                  <c:v>43998</c:v>
                </c:pt>
                <c:pt idx="14">
                  <c:v>44005</c:v>
                </c:pt>
                <c:pt idx="15">
                  <c:v>44012</c:v>
                </c:pt>
                <c:pt idx="16">
                  <c:v>44019</c:v>
                </c:pt>
                <c:pt idx="17">
                  <c:v>44026</c:v>
                </c:pt>
                <c:pt idx="18">
                  <c:v>44033</c:v>
                </c:pt>
                <c:pt idx="19">
                  <c:v>44040</c:v>
                </c:pt>
                <c:pt idx="20">
                  <c:v>44047</c:v>
                </c:pt>
                <c:pt idx="21">
                  <c:v>44054</c:v>
                </c:pt>
                <c:pt idx="22">
                  <c:v>44061</c:v>
                </c:pt>
                <c:pt idx="23">
                  <c:v>44068</c:v>
                </c:pt>
                <c:pt idx="24">
                  <c:v>44075</c:v>
                </c:pt>
                <c:pt idx="25">
                  <c:v>44082</c:v>
                </c:pt>
                <c:pt idx="26">
                  <c:v>44089</c:v>
                </c:pt>
                <c:pt idx="27">
                  <c:v>44096</c:v>
                </c:pt>
                <c:pt idx="28">
                  <c:v>44103</c:v>
                </c:pt>
                <c:pt idx="29">
                  <c:v>44110</c:v>
                </c:pt>
              </c:numCache>
            </c:numRef>
          </c:cat>
          <c:val>
            <c:numRef>
              <c:f>Template!$AC$14:$AC$43</c:f>
              <c:numCache>
                <c:formatCode>General</c:formatCode>
                <c:ptCount val="30"/>
                <c:pt idx="0">
                  <c:v>75</c:v>
                </c:pt>
                <c:pt idx="1">
                  <c:v>75</c:v>
                </c:pt>
                <c:pt idx="2">
                  <c:v>75</c:v>
                </c:pt>
                <c:pt idx="3">
                  <c:v>75</c:v>
                </c:pt>
                <c:pt idx="4">
                  <c:v>75</c:v>
                </c:pt>
                <c:pt idx="5">
                  <c:v>75</c:v>
                </c:pt>
                <c:pt idx="6">
                  <c:v>75</c:v>
                </c:pt>
                <c:pt idx="7">
                  <c:v>75</c:v>
                </c:pt>
                <c:pt idx="8">
                  <c:v>75</c:v>
                </c:pt>
                <c:pt idx="9">
                  <c:v>150</c:v>
                </c:pt>
                <c:pt idx="10">
                  <c:v>150</c:v>
                </c:pt>
                <c:pt idx="11">
                  <c:v>150</c:v>
                </c:pt>
                <c:pt idx="12">
                  <c:v>75</c:v>
                </c:pt>
                <c:pt idx="13">
                  <c:v>75</c:v>
                </c:pt>
                <c:pt idx="14">
                  <c:v>75</c:v>
                </c:pt>
                <c:pt idx="15">
                  <c:v>75</c:v>
                </c:pt>
                <c:pt idx="16">
                  <c:v>75</c:v>
                </c:pt>
                <c:pt idx="17">
                  <c:v>75</c:v>
                </c:pt>
                <c:pt idx="18">
                  <c:v>75</c:v>
                </c:pt>
                <c:pt idx="19">
                  <c:v>75</c:v>
                </c:pt>
                <c:pt idx="20">
                  <c:v>150</c:v>
                </c:pt>
                <c:pt idx="21">
                  <c:v>150</c:v>
                </c:pt>
                <c:pt idx="22">
                  <c:v>75</c:v>
                </c:pt>
                <c:pt idx="23">
                  <c:v>75</c:v>
                </c:pt>
                <c:pt idx="24">
                  <c:v>75</c:v>
                </c:pt>
                <c:pt idx="25">
                  <c:v>75</c:v>
                </c:pt>
                <c:pt idx="26">
                  <c:v>75</c:v>
                </c:pt>
                <c:pt idx="27">
                  <c:v>77</c:v>
                </c:pt>
                <c:pt idx="28">
                  <c:v>55</c:v>
                </c:pt>
                <c:pt idx="29">
                  <c:v>75</c:v>
                </c:pt>
              </c:numCache>
            </c:numRef>
          </c:val>
          <c:extLst>
            <c:ext xmlns:c15="http://schemas.microsoft.com/office/drawing/2012/chart" uri="{02D57815-91ED-43cb-92C2-25804820EDAC}">
              <c15:datalabelsRange>
                <c15:f>Template!$AB$14:$AB$43</c15:f>
                <c15:dlblRangeCache>
                  <c:ptCount val="30"/>
                  <c:pt idx="0">
                    <c:v>A1</c:v>
                  </c:pt>
                  <c:pt idx="1">
                    <c:v>A1</c:v>
                  </c:pt>
                  <c:pt idx="2">
                    <c:v>A1</c:v>
                  </c:pt>
                  <c:pt idx="3">
                    <c:v>A1</c:v>
                  </c:pt>
                  <c:pt idx="4">
                    <c:v>A1</c:v>
                  </c:pt>
                  <c:pt idx="5">
                    <c:v>A1</c:v>
                  </c:pt>
                  <c:pt idx="6">
                    <c:v>A1</c:v>
                  </c:pt>
                  <c:pt idx="7">
                    <c:v>A1</c:v>
                  </c:pt>
                  <c:pt idx="8">
                    <c:v>A1</c:v>
                  </c:pt>
                  <c:pt idx="9">
                    <c:v>A1, A2</c:v>
                  </c:pt>
                  <c:pt idx="10">
                    <c:v>A1, A2</c:v>
                  </c:pt>
                  <c:pt idx="11">
                    <c:v>A1, A2</c:v>
                  </c:pt>
                  <c:pt idx="12">
                    <c:v>A2</c:v>
                  </c:pt>
                  <c:pt idx="13">
                    <c:v>A2</c:v>
                  </c:pt>
                  <c:pt idx="14">
                    <c:v>A2</c:v>
                  </c:pt>
                  <c:pt idx="15">
                    <c:v>A2</c:v>
                  </c:pt>
                  <c:pt idx="16">
                    <c:v>A2</c:v>
                  </c:pt>
                  <c:pt idx="17">
                    <c:v>A2</c:v>
                  </c:pt>
                  <c:pt idx="18">
                    <c:v>A2</c:v>
                  </c:pt>
                  <c:pt idx="19">
                    <c:v>A2</c:v>
                  </c:pt>
                  <c:pt idx="20">
                    <c:v>A2, A3</c:v>
                  </c:pt>
                  <c:pt idx="21">
                    <c:v>A2, A3</c:v>
                  </c:pt>
                  <c:pt idx="22">
                    <c:v>A3</c:v>
                  </c:pt>
                  <c:pt idx="23">
                    <c:v>A3</c:v>
                  </c:pt>
                  <c:pt idx="24">
                    <c:v>A3</c:v>
                  </c:pt>
                  <c:pt idx="25">
                    <c:v>A3</c:v>
                  </c:pt>
                  <c:pt idx="26">
                    <c:v>A3</c:v>
                  </c:pt>
                  <c:pt idx="27">
                    <c:v>A3</c:v>
                  </c:pt>
                  <c:pt idx="28">
                    <c:v>A3</c:v>
                  </c:pt>
                  <c:pt idx="29">
                    <c:v>A3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D-9C78-44A8-8F49-BAFA4BD094B9}"/>
            </c:ext>
          </c:extLst>
        </c:ser>
        <c:ser>
          <c:idx val="1"/>
          <c:order val="1"/>
          <c:spPr>
            <a:solidFill>
              <a:schemeClr val="bg1">
                <a:lumMod val="85000"/>
              </a:schemeClr>
            </a:solidFill>
            <a:ln>
              <a:solidFill>
                <a:schemeClr val="bg1">
                  <a:lumMod val="85000"/>
                </a:schemeClr>
              </a:solidFill>
            </a:ln>
            <a:effectLst/>
          </c:spPr>
          <c:invertIfNegative val="0"/>
          <c:dLbls>
            <c:delete val="1"/>
          </c:dLbls>
          <c:cat>
            <c:numRef>
              <c:f>Template!$AA$14:$AA$43</c:f>
              <c:numCache>
                <c:formatCode>yyyy\-mm\-dd</c:formatCode>
                <c:ptCount val="30"/>
                <c:pt idx="0">
                  <c:v>43907</c:v>
                </c:pt>
                <c:pt idx="1">
                  <c:v>43914</c:v>
                </c:pt>
                <c:pt idx="2">
                  <c:v>43921</c:v>
                </c:pt>
                <c:pt idx="3">
                  <c:v>43928</c:v>
                </c:pt>
                <c:pt idx="4">
                  <c:v>43935</c:v>
                </c:pt>
                <c:pt idx="5">
                  <c:v>43942</c:v>
                </c:pt>
                <c:pt idx="6">
                  <c:v>43949</c:v>
                </c:pt>
                <c:pt idx="7">
                  <c:v>43956</c:v>
                </c:pt>
                <c:pt idx="8">
                  <c:v>43963</c:v>
                </c:pt>
                <c:pt idx="9">
                  <c:v>43970</c:v>
                </c:pt>
                <c:pt idx="10">
                  <c:v>43977</c:v>
                </c:pt>
                <c:pt idx="11">
                  <c:v>43984</c:v>
                </c:pt>
                <c:pt idx="12">
                  <c:v>43991</c:v>
                </c:pt>
                <c:pt idx="13">
                  <c:v>43998</c:v>
                </c:pt>
                <c:pt idx="14">
                  <c:v>44005</c:v>
                </c:pt>
                <c:pt idx="15">
                  <c:v>44012</c:v>
                </c:pt>
                <c:pt idx="16">
                  <c:v>44019</c:v>
                </c:pt>
                <c:pt idx="17">
                  <c:v>44026</c:v>
                </c:pt>
                <c:pt idx="18">
                  <c:v>44033</c:v>
                </c:pt>
                <c:pt idx="19">
                  <c:v>44040</c:v>
                </c:pt>
                <c:pt idx="20">
                  <c:v>44047</c:v>
                </c:pt>
                <c:pt idx="21">
                  <c:v>44054</c:v>
                </c:pt>
                <c:pt idx="22">
                  <c:v>44061</c:v>
                </c:pt>
                <c:pt idx="23">
                  <c:v>44068</c:v>
                </c:pt>
                <c:pt idx="24">
                  <c:v>44075</c:v>
                </c:pt>
                <c:pt idx="25">
                  <c:v>44082</c:v>
                </c:pt>
                <c:pt idx="26">
                  <c:v>44089</c:v>
                </c:pt>
                <c:pt idx="27">
                  <c:v>44096</c:v>
                </c:pt>
                <c:pt idx="28">
                  <c:v>44103</c:v>
                </c:pt>
                <c:pt idx="29">
                  <c:v>44110</c:v>
                </c:pt>
              </c:numCache>
            </c:numRef>
          </c:cat>
          <c:val>
            <c:numRef>
              <c:f>Template!$AD$14:$AD$43</c:f>
              <c:numCache>
                <c:formatCode>General</c:formatCode>
                <c:ptCount val="30"/>
                <c:pt idx="0">
                  <c:v>55</c:v>
                </c:pt>
                <c:pt idx="1">
                  <c:v>55</c:v>
                </c:pt>
                <c:pt idx="2">
                  <c:v>55</c:v>
                </c:pt>
                <c:pt idx="3">
                  <c:v>55</c:v>
                </c:pt>
                <c:pt idx="4">
                  <c:v>55</c:v>
                </c:pt>
                <c:pt idx="5">
                  <c:v>55</c:v>
                </c:pt>
                <c:pt idx="6">
                  <c:v>55</c:v>
                </c:pt>
                <c:pt idx="7">
                  <c:v>55</c:v>
                </c:pt>
                <c:pt idx="8">
                  <c:v>55</c:v>
                </c:pt>
                <c:pt idx="9">
                  <c:v>110</c:v>
                </c:pt>
                <c:pt idx="10">
                  <c:v>110</c:v>
                </c:pt>
                <c:pt idx="11">
                  <c:v>110</c:v>
                </c:pt>
                <c:pt idx="12">
                  <c:v>110</c:v>
                </c:pt>
                <c:pt idx="13">
                  <c:v>110</c:v>
                </c:pt>
                <c:pt idx="14">
                  <c:v>55</c:v>
                </c:pt>
                <c:pt idx="15">
                  <c:v>55</c:v>
                </c:pt>
                <c:pt idx="16">
                  <c:v>55</c:v>
                </c:pt>
                <c:pt idx="17">
                  <c:v>55</c:v>
                </c:pt>
                <c:pt idx="18">
                  <c:v>55</c:v>
                </c:pt>
                <c:pt idx="19">
                  <c:v>55</c:v>
                </c:pt>
                <c:pt idx="20">
                  <c:v>110</c:v>
                </c:pt>
                <c:pt idx="21">
                  <c:v>110</c:v>
                </c:pt>
                <c:pt idx="22">
                  <c:v>55</c:v>
                </c:pt>
                <c:pt idx="23">
                  <c:v>55</c:v>
                </c:pt>
                <c:pt idx="24">
                  <c:v>55</c:v>
                </c:pt>
                <c:pt idx="25">
                  <c:v>55</c:v>
                </c:pt>
                <c:pt idx="26">
                  <c:v>55</c:v>
                </c:pt>
                <c:pt idx="27">
                  <c:v>75</c:v>
                </c:pt>
                <c:pt idx="28">
                  <c:v>75</c:v>
                </c:pt>
                <c:pt idx="29">
                  <c:v>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9C78-44A8-8F49-BAFA4BD094B9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67"/>
        <c:overlap val="-30"/>
        <c:axId val="566538120"/>
        <c:axId val="566539296"/>
      </c:barChart>
      <c:lineChart>
        <c:grouping val="standard"/>
        <c:varyColors val="0"/>
        <c:ser>
          <c:idx val="2"/>
          <c:order val="2"/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dLbls>
            <c:delete val="1"/>
          </c:dLbls>
          <c:cat>
            <c:numRef>
              <c:f>Template!$AA$14:$AA$43</c:f>
              <c:numCache>
                <c:formatCode>yyyy\-mm\-dd</c:formatCode>
                <c:ptCount val="30"/>
                <c:pt idx="0">
                  <c:v>43907</c:v>
                </c:pt>
                <c:pt idx="1">
                  <c:v>43914</c:v>
                </c:pt>
                <c:pt idx="2">
                  <c:v>43921</c:v>
                </c:pt>
                <c:pt idx="3">
                  <c:v>43928</c:v>
                </c:pt>
                <c:pt idx="4">
                  <c:v>43935</c:v>
                </c:pt>
                <c:pt idx="5">
                  <c:v>43942</c:v>
                </c:pt>
                <c:pt idx="6">
                  <c:v>43949</c:v>
                </c:pt>
                <c:pt idx="7">
                  <c:v>43956</c:v>
                </c:pt>
                <c:pt idx="8">
                  <c:v>43963</c:v>
                </c:pt>
                <c:pt idx="9">
                  <c:v>43970</c:v>
                </c:pt>
                <c:pt idx="10">
                  <c:v>43977</c:v>
                </c:pt>
                <c:pt idx="11">
                  <c:v>43984</c:v>
                </c:pt>
                <c:pt idx="12">
                  <c:v>43991</c:v>
                </c:pt>
                <c:pt idx="13">
                  <c:v>43998</c:v>
                </c:pt>
                <c:pt idx="14">
                  <c:v>44005</c:v>
                </c:pt>
                <c:pt idx="15">
                  <c:v>44012</c:v>
                </c:pt>
                <c:pt idx="16">
                  <c:v>44019</c:v>
                </c:pt>
                <c:pt idx="17">
                  <c:v>44026</c:v>
                </c:pt>
                <c:pt idx="18">
                  <c:v>44033</c:v>
                </c:pt>
                <c:pt idx="19">
                  <c:v>44040</c:v>
                </c:pt>
                <c:pt idx="20">
                  <c:v>44047</c:v>
                </c:pt>
                <c:pt idx="21">
                  <c:v>44054</c:v>
                </c:pt>
                <c:pt idx="22">
                  <c:v>44061</c:v>
                </c:pt>
                <c:pt idx="23">
                  <c:v>44068</c:v>
                </c:pt>
                <c:pt idx="24">
                  <c:v>44075</c:v>
                </c:pt>
                <c:pt idx="25">
                  <c:v>44082</c:v>
                </c:pt>
                <c:pt idx="26">
                  <c:v>44089</c:v>
                </c:pt>
                <c:pt idx="27">
                  <c:v>44096</c:v>
                </c:pt>
                <c:pt idx="28">
                  <c:v>44103</c:v>
                </c:pt>
                <c:pt idx="29">
                  <c:v>44110</c:v>
                </c:pt>
              </c:numCache>
            </c:numRef>
          </c:cat>
          <c:val>
            <c:numRef>
              <c:f>Template!$AE$14:$AE$43</c:f>
              <c:numCache>
                <c:formatCode>General</c:formatCode>
                <c:ptCount val="30"/>
                <c:pt idx="0">
                  <c:v>75</c:v>
                </c:pt>
                <c:pt idx="1">
                  <c:v>150</c:v>
                </c:pt>
                <c:pt idx="2">
                  <c:v>225</c:v>
                </c:pt>
                <c:pt idx="3">
                  <c:v>300</c:v>
                </c:pt>
                <c:pt idx="4">
                  <c:v>375</c:v>
                </c:pt>
                <c:pt idx="5">
                  <c:v>450</c:v>
                </c:pt>
                <c:pt idx="6">
                  <c:v>525</c:v>
                </c:pt>
                <c:pt idx="7">
                  <c:v>600</c:v>
                </c:pt>
                <c:pt idx="8">
                  <c:v>675</c:v>
                </c:pt>
                <c:pt idx="9">
                  <c:v>825</c:v>
                </c:pt>
                <c:pt idx="10">
                  <c:v>975</c:v>
                </c:pt>
                <c:pt idx="11">
                  <c:v>1125</c:v>
                </c:pt>
                <c:pt idx="12">
                  <c:v>1200</c:v>
                </c:pt>
                <c:pt idx="13">
                  <c:v>1275</c:v>
                </c:pt>
                <c:pt idx="14">
                  <c:v>1350</c:v>
                </c:pt>
                <c:pt idx="15">
                  <c:v>1425</c:v>
                </c:pt>
                <c:pt idx="16">
                  <c:v>1500</c:v>
                </c:pt>
                <c:pt idx="17">
                  <c:v>1575</c:v>
                </c:pt>
                <c:pt idx="18">
                  <c:v>1650</c:v>
                </c:pt>
                <c:pt idx="19">
                  <c:v>1725</c:v>
                </c:pt>
                <c:pt idx="20">
                  <c:v>1875</c:v>
                </c:pt>
                <c:pt idx="21">
                  <c:v>2025</c:v>
                </c:pt>
                <c:pt idx="22">
                  <c:v>2100</c:v>
                </c:pt>
                <c:pt idx="23">
                  <c:v>2175</c:v>
                </c:pt>
                <c:pt idx="24">
                  <c:v>2250</c:v>
                </c:pt>
                <c:pt idx="25">
                  <c:v>2325</c:v>
                </c:pt>
                <c:pt idx="26">
                  <c:v>2400</c:v>
                </c:pt>
                <c:pt idx="27">
                  <c:v>2477</c:v>
                </c:pt>
                <c:pt idx="28">
                  <c:v>2532</c:v>
                </c:pt>
                <c:pt idx="29">
                  <c:v>2607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F-9C78-44A8-8F49-BAFA4BD094B9}"/>
            </c:ext>
          </c:extLst>
        </c:ser>
        <c:ser>
          <c:idx val="3"/>
          <c:order val="3"/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dLbls>
            <c:delete val="1"/>
          </c:dLbls>
          <c:cat>
            <c:numRef>
              <c:f>Template!$AA$14:$AA$43</c:f>
              <c:numCache>
                <c:formatCode>yyyy\-mm\-dd</c:formatCode>
                <c:ptCount val="30"/>
                <c:pt idx="0">
                  <c:v>43907</c:v>
                </c:pt>
                <c:pt idx="1">
                  <c:v>43914</c:v>
                </c:pt>
                <c:pt idx="2">
                  <c:v>43921</c:v>
                </c:pt>
                <c:pt idx="3">
                  <c:v>43928</c:v>
                </c:pt>
                <c:pt idx="4">
                  <c:v>43935</c:v>
                </c:pt>
                <c:pt idx="5">
                  <c:v>43942</c:v>
                </c:pt>
                <c:pt idx="6">
                  <c:v>43949</c:v>
                </c:pt>
                <c:pt idx="7">
                  <c:v>43956</c:v>
                </c:pt>
                <c:pt idx="8">
                  <c:v>43963</c:v>
                </c:pt>
                <c:pt idx="9">
                  <c:v>43970</c:v>
                </c:pt>
                <c:pt idx="10">
                  <c:v>43977</c:v>
                </c:pt>
                <c:pt idx="11">
                  <c:v>43984</c:v>
                </c:pt>
                <c:pt idx="12">
                  <c:v>43991</c:v>
                </c:pt>
                <c:pt idx="13">
                  <c:v>43998</c:v>
                </c:pt>
                <c:pt idx="14">
                  <c:v>44005</c:v>
                </c:pt>
                <c:pt idx="15">
                  <c:v>44012</c:v>
                </c:pt>
                <c:pt idx="16">
                  <c:v>44019</c:v>
                </c:pt>
                <c:pt idx="17">
                  <c:v>44026</c:v>
                </c:pt>
                <c:pt idx="18">
                  <c:v>44033</c:v>
                </c:pt>
                <c:pt idx="19">
                  <c:v>44040</c:v>
                </c:pt>
                <c:pt idx="20">
                  <c:v>44047</c:v>
                </c:pt>
                <c:pt idx="21">
                  <c:v>44054</c:v>
                </c:pt>
                <c:pt idx="22">
                  <c:v>44061</c:v>
                </c:pt>
                <c:pt idx="23">
                  <c:v>44068</c:v>
                </c:pt>
                <c:pt idx="24">
                  <c:v>44075</c:v>
                </c:pt>
                <c:pt idx="25">
                  <c:v>44082</c:v>
                </c:pt>
                <c:pt idx="26">
                  <c:v>44089</c:v>
                </c:pt>
                <c:pt idx="27">
                  <c:v>44096</c:v>
                </c:pt>
                <c:pt idx="28">
                  <c:v>44103</c:v>
                </c:pt>
                <c:pt idx="29">
                  <c:v>44110</c:v>
                </c:pt>
              </c:numCache>
            </c:numRef>
          </c:cat>
          <c:val>
            <c:numRef>
              <c:f>Template!$AF$14:$AF$43</c:f>
              <c:numCache>
                <c:formatCode>General</c:formatCode>
                <c:ptCount val="30"/>
                <c:pt idx="0">
                  <c:v>55</c:v>
                </c:pt>
                <c:pt idx="1">
                  <c:v>110</c:v>
                </c:pt>
                <c:pt idx="2">
                  <c:v>165</c:v>
                </c:pt>
                <c:pt idx="3">
                  <c:v>220</c:v>
                </c:pt>
                <c:pt idx="4">
                  <c:v>275</c:v>
                </c:pt>
                <c:pt idx="5">
                  <c:v>330</c:v>
                </c:pt>
                <c:pt idx="6">
                  <c:v>385</c:v>
                </c:pt>
                <c:pt idx="7">
                  <c:v>440</c:v>
                </c:pt>
                <c:pt idx="8">
                  <c:v>495</c:v>
                </c:pt>
                <c:pt idx="9">
                  <c:v>605</c:v>
                </c:pt>
                <c:pt idx="10">
                  <c:v>715</c:v>
                </c:pt>
                <c:pt idx="11">
                  <c:v>825</c:v>
                </c:pt>
                <c:pt idx="12">
                  <c:v>935</c:v>
                </c:pt>
                <c:pt idx="13">
                  <c:v>1045</c:v>
                </c:pt>
                <c:pt idx="14">
                  <c:v>1100</c:v>
                </c:pt>
                <c:pt idx="15">
                  <c:v>1155</c:v>
                </c:pt>
                <c:pt idx="16">
                  <c:v>1210</c:v>
                </c:pt>
                <c:pt idx="17">
                  <c:v>1265</c:v>
                </c:pt>
                <c:pt idx="18">
                  <c:v>1320</c:v>
                </c:pt>
                <c:pt idx="19">
                  <c:v>1375</c:v>
                </c:pt>
                <c:pt idx="20">
                  <c:v>1485</c:v>
                </c:pt>
                <c:pt idx="21">
                  <c:v>1595</c:v>
                </c:pt>
                <c:pt idx="22">
                  <c:v>1650</c:v>
                </c:pt>
                <c:pt idx="23">
                  <c:v>1705</c:v>
                </c:pt>
                <c:pt idx="24">
                  <c:v>1760</c:v>
                </c:pt>
                <c:pt idx="25">
                  <c:v>1815</c:v>
                </c:pt>
                <c:pt idx="26">
                  <c:v>1870</c:v>
                </c:pt>
                <c:pt idx="27">
                  <c:v>1945</c:v>
                </c:pt>
                <c:pt idx="28">
                  <c:v>2020</c:v>
                </c:pt>
                <c:pt idx="29">
                  <c:v>2095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0-9C78-44A8-8F49-BAFA4BD094B9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566535768"/>
        <c:axId val="566537728"/>
      </c:lineChart>
      <c:catAx>
        <c:axId val="566538120"/>
        <c:scaling>
          <c:orientation val="minMax"/>
        </c:scaling>
        <c:delete val="0"/>
        <c:axPos val="b"/>
        <c:numFmt formatCode="yyyy\-mm\-dd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6539296"/>
        <c:crosses val="autoZero"/>
        <c:auto val="0"/>
        <c:lblAlgn val="ctr"/>
        <c:lblOffset val="100"/>
        <c:noMultiLvlLbl val="0"/>
      </c:catAx>
      <c:valAx>
        <c:axId val="5665392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6538120"/>
        <c:crosses val="autoZero"/>
        <c:crossBetween val="between"/>
      </c:valAx>
      <c:valAx>
        <c:axId val="566537728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6535768"/>
        <c:crosses val="max"/>
        <c:crossBetween val="between"/>
      </c:valAx>
      <c:catAx>
        <c:axId val="566535768"/>
        <c:scaling>
          <c:orientation val="minMax"/>
        </c:scaling>
        <c:delete val="1"/>
        <c:axPos val="b"/>
        <c:numFmt formatCode="yyyy\-mm\-dd" sourceLinked="1"/>
        <c:majorTickMark val="out"/>
        <c:minorTickMark val="none"/>
        <c:tickLblPos val="nextTo"/>
        <c:crossAx val="566537728"/>
        <c:crosses val="autoZero"/>
        <c:auto val="0"/>
        <c:lblAlgn val="ctr"/>
        <c:lblOffset val="100"/>
        <c:tickLblSkip val="1"/>
        <c:tickMarkSkip val="1"/>
        <c:noMultiLvlLbl val="1"/>
      </c:cat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3.0667419367642963E-3"/>
          <c:y val="0.90965266244479004"/>
          <c:w val="0.68250330957683791"/>
          <c:h val="9.0347425563997649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 orientation="portrait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Overall</a:t>
            </a:r>
            <a:r>
              <a:rPr lang="en-US" baseline="0"/>
              <a:t> Progress (%)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bar"/>
        <c:grouping val="percentStacked"/>
        <c:varyColors val="0"/>
        <c:ser>
          <c:idx val="0"/>
          <c:order val="0"/>
          <c:tx>
            <c:v>Completed</c:v>
          </c:tx>
          <c:spPr>
            <a:solidFill>
              <a:srgbClr val="00B05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Lit>
              <c:ptCount val="2"/>
              <c:pt idx="0">
                <c:v>Planned</c:v>
              </c:pt>
              <c:pt idx="1">
                <c:v>Actual</c:v>
              </c:pt>
            </c:strLit>
          </c:cat>
          <c:val>
            <c:numRef>
              <c:f>([1]Template!$N$5,[1]Template!$O$5)</c:f>
              <c:numCache>
                <c:formatCode>General</c:formatCode>
                <c:ptCount val="2"/>
                <c:pt idx="0">
                  <c:v>0.53846153846153844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2A9-47A9-B052-E9D24445035B}"/>
            </c:ext>
          </c:extLst>
        </c:ser>
        <c:ser>
          <c:idx val="1"/>
          <c:order val="1"/>
          <c:tx>
            <c:v>Remaining</c:v>
          </c:tx>
          <c:spPr>
            <a:solidFill>
              <a:schemeClr val="bg1">
                <a:lumMod val="75000"/>
              </a:schemeClr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chemeClr val="accent1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0-70BA-4249-A91D-1FDE8490A123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Lit>
              <c:ptCount val="2"/>
              <c:pt idx="0">
                <c:v>Planned</c:v>
              </c:pt>
              <c:pt idx="1">
                <c:v>Actual</c:v>
              </c:pt>
            </c:strLit>
          </c:cat>
          <c:val>
            <c:numRef>
              <c:f>([1]Template!$T$6,[1]Template!$V$6)</c:f>
              <c:numCache>
                <c:formatCode>General</c:formatCode>
                <c:ptCount val="2"/>
                <c:pt idx="0">
                  <c:v>0.46153846153846156</c:v>
                </c:pt>
                <c:pt idx="1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2A9-47A9-B052-E9D24445035B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48"/>
        <c:overlap val="100"/>
        <c:axId val="1873093392"/>
        <c:axId val="437418064"/>
      </c:barChart>
      <c:catAx>
        <c:axId val="1873093392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7418064"/>
        <c:crosses val="autoZero"/>
        <c:auto val="1"/>
        <c:lblAlgn val="ctr"/>
        <c:lblOffset val="100"/>
        <c:noMultiLvlLbl val="0"/>
      </c:catAx>
      <c:valAx>
        <c:axId val="43741806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730933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 orientation="landscape" horizontalDpi="0" verticalDpi="0"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.xml"/><Relationship Id="rId2" Type="http://schemas.openxmlformats.org/officeDocument/2006/relationships/chart" Target="../charts/chart1.xml"/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597426</xdr:colOff>
      <xdr:row>0</xdr:row>
      <xdr:rowOff>151958</xdr:rowOff>
    </xdr:from>
    <xdr:to>
      <xdr:col>14</xdr:col>
      <xdr:colOff>733426</xdr:colOff>
      <xdr:row>3</xdr:row>
      <xdr:rowOff>16211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8255526" y="151958"/>
          <a:ext cx="1536175" cy="407178"/>
        </a:xfrm>
        <a:prstGeom prst="rect">
          <a:avLst/>
        </a:prstGeom>
      </xdr:spPr>
    </xdr:pic>
    <xdr:clientData/>
  </xdr:twoCellAnchor>
  <xdr:twoCellAnchor>
    <xdr:from>
      <xdr:col>1</xdr:col>
      <xdr:colOff>40820</xdr:colOff>
      <xdr:row>15</xdr:row>
      <xdr:rowOff>40822</xdr:rowOff>
    </xdr:from>
    <xdr:to>
      <xdr:col>14</xdr:col>
      <xdr:colOff>680356</xdr:colOff>
      <xdr:row>39</xdr:row>
      <xdr:rowOff>149679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201706</xdr:colOff>
      <xdr:row>7</xdr:row>
      <xdr:rowOff>22412</xdr:rowOff>
    </xdr:from>
    <xdr:to>
      <xdr:col>8</xdr:col>
      <xdr:colOff>369794</xdr:colOff>
      <xdr:row>14</xdr:row>
      <xdr:rowOff>156883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19050</xdr:colOff>
          <xdr:row>1</xdr:row>
          <xdr:rowOff>19050</xdr:rowOff>
        </xdr:from>
        <xdr:to>
          <xdr:col>10</xdr:col>
          <xdr:colOff>1644650</xdr:colOff>
          <xdr:row>2</xdr:row>
          <xdr:rowOff>165100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1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 Folder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49696</xdr:colOff>
      <xdr:row>0</xdr:row>
      <xdr:rowOff>160131</xdr:rowOff>
    </xdr:from>
    <xdr:to>
      <xdr:col>4</xdr:col>
      <xdr:colOff>742388</xdr:colOff>
      <xdr:row>2</xdr:row>
      <xdr:rowOff>22087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267739" y="160131"/>
          <a:ext cx="1454692" cy="397565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19050</xdr:colOff>
          <xdr:row>1</xdr:row>
          <xdr:rowOff>19050</xdr:rowOff>
        </xdr:from>
        <xdr:to>
          <xdr:col>6</xdr:col>
          <xdr:colOff>1504950</xdr:colOff>
          <xdr:row>3</xdr:row>
          <xdr:rowOff>196850</xdr:rowOff>
        </xdr:to>
        <xdr:sp macro="" textlink="">
          <xdr:nvSpPr>
            <xdr:cNvPr id="2054" name="Button 6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2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 New Trade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camron/OneDrive%20-%20Westland%20Construction/Projects/W1027%20-%20Herriman%20High%202/UIP/UIP%20Main%20Excel%20Template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3"/>
      <sheetName val="ImportQL"/>
      <sheetName val="Cover"/>
      <sheetName val="Template"/>
      <sheetName val="Settings"/>
      <sheetName val="Index"/>
      <sheetName val="0000"/>
      <sheetName val="0901"/>
      <sheetName val="BbQuantityLink"/>
      <sheetName val="0902"/>
      <sheetName val="0601"/>
    </sheetNames>
    <sheetDataSet>
      <sheetData sheetId="0"/>
      <sheetData sheetId="1"/>
      <sheetData sheetId="2"/>
      <sheetData sheetId="3">
        <row r="5">
          <cell r="N5">
            <v>0.53846153846153844</v>
          </cell>
          <cell r="O5">
            <v>0</v>
          </cell>
        </row>
        <row r="6">
          <cell r="T6">
            <v>0.46153846153846156</v>
          </cell>
          <cell r="V6">
            <v>1</v>
          </cell>
        </row>
      </sheetData>
      <sheetData sheetId="4"/>
      <sheetData sheetId="5"/>
      <sheetData sheetId="6"/>
      <sheetData sheetId="7"/>
      <sheetData sheetId="8"/>
      <sheetData sheetId="9"/>
      <sheetData sheetId="10"/>
    </sheetDataSet>
  </externalBook>
</externalLink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1372D9C0-339B-458D-BC70-3D749C5C1984}" name="Input_Template" displayName="Input_Template" ref="R13:X16" totalsRowShown="0" headerRowDxfId="25" dataDxfId="24">
  <autoFilter ref="R13:X16" xr:uid="{FF2C9E8B-1A62-479C-AF68-79B236C0B7BB}"/>
  <tableColumns count="7">
    <tableColumn id="1" xr3:uid="{727C6146-39EA-4E15-8783-53CAA87FAF36}" name="Zone ID" dataDxfId="23"/>
    <tableColumn id="2" xr3:uid="{2CA65110-6DD7-46D8-BFC2-5EB0C0E57567}" name="Description" dataDxfId="22"/>
    <tableColumn id="3" xr3:uid="{12D64F80-6A69-494F-BF8F-E326D34A185A}" name="Short Description" dataDxfId="21"/>
    <tableColumn id="4" xr3:uid="{71F3F5B2-8F6B-4985-B1FC-5A9D60095474}" name="Start Date" dataDxfId="20"/>
    <tableColumn id="5" xr3:uid="{57258378-8FED-4727-89AC-D938CB414B7B}" name="Finish Date" dataDxfId="19"/>
    <tableColumn id="6" xr3:uid="{ED4D3C9E-A6C7-420C-BE38-7AA6F80835A2}" name="Total" dataDxfId="18"/>
    <tableColumn id="7" xr3:uid="{AC25D65C-9FB4-4F8A-9A72-57F6F2EC5CEF}" name="Completed Total" dataDxfId="17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83D67279-AB06-4920-88E5-5905680BC28E}" name="Output_Template" displayName="Output_Template" ref="AA13:AL43" totalsRowShown="0" headerRowDxfId="16">
  <autoFilter ref="AA13:AL43" xr:uid="{2EFBB27C-F70F-4E8D-93C9-B9166FB374ED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</autoFilter>
  <tableColumns count="12">
    <tableColumn id="1" xr3:uid="{13F9A169-BFE8-4436-A535-BADFC0E7BD6C}" name="Date" dataDxfId="15">
      <calculatedColumnFormula>IF(AA13 = "Date", $S$4, AA13+7)</calculatedColumnFormula>
    </tableColumn>
    <tableColumn id="6" xr3:uid="{5740AC03-CF53-4345-8667-6AC0CA6843D0}" name="Primary Areas" dataDxfId="14">
      <calculatedColumnFormula>PrimaryAreas(3)</calculatedColumnFormula>
    </tableColumn>
    <tableColumn id="2" xr3:uid="{AF232D3D-EC3F-4232-BA5D-1427173C2D6A}" name="Weekly Plan">
      <calculatedColumnFormula>#REF!+#REF!+#REF!</calculatedColumnFormula>
    </tableColumn>
    <tableColumn id="3" xr3:uid="{B28103F6-7596-4848-9F0D-3E4A9E5CBEFE}" name="Weekly Actual" dataDxfId="13">
      <calculatedColumnFormula>IF(AND(ISBLANK(#REF!),ISBLANK(#REF!),ISBLANK(#REF!)), "",#REF! +#REF!+#REF!)</calculatedColumnFormula>
    </tableColumn>
    <tableColumn id="4" xr3:uid="{EF1C6009-71E6-491B-B64F-04049D2D9103}" name="Accumulated Plan" dataDxfId="12">
      <calculatedColumnFormula>SUM($AC$14:AC14)</calculatedColumnFormula>
    </tableColumn>
    <tableColumn id="5" xr3:uid="{442DAB73-1233-4C61-8DE9-3B44CE2C5D69}" name="Accumulated Actual" dataDxfId="11">
      <calculatedColumnFormula>IF(AD14="",NA(),SUM($AD$14:AD14))</calculatedColumnFormula>
    </tableColumn>
    <tableColumn id="73" xr3:uid="{19DEAF04-CF4F-47B3-9F12-A3511B46CD86}" name="WP_A1" dataDxfId="10"/>
    <tableColumn id="74" xr3:uid="{40AF4BA6-7EF3-458A-A686-B17DC1058FDC}" name="WA_A1" dataDxfId="9"/>
    <tableColumn id="75" xr3:uid="{D6846A3D-51F0-435C-AB01-61ADF80CA836}" name="WP_A2" dataDxfId="8"/>
    <tableColumn id="76" xr3:uid="{D93EF851-63E2-4A34-8872-23E6A1DC739D}" name="WA_A2" dataDxfId="7"/>
    <tableColumn id="77" xr3:uid="{583E983D-2328-495F-AA39-29E65C484A57}" name="WP_A3" dataDxfId="6"/>
    <tableColumn id="78" xr3:uid="{9B5C21C0-6C9C-460B-A46F-58C73220D30A}" name="WA_A3" dataDxfId="5"/>
  </tableColumns>
  <tableStyleInfo name="TableStyleMedium4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DDDCE1-3895-4871-B83D-AD7160274ED6}" name="Settings_Table" displayName="Settings_Table" ref="E2:F6" totalsRowShown="0">
  <autoFilter ref="E2:F6" xr:uid="{758C7704-51BA-4A73-B3EB-3666DB68C7FC}"/>
  <tableColumns count="2">
    <tableColumn id="1" xr3:uid="{58ECC840-9C33-49F8-A8B4-566B48F48858}" name="Setting"/>
    <tableColumn id="2" xr3:uid="{651E6215-7F6E-461D-9EDF-897DF33F30DA}" name="Value"/>
  </tableColumns>
  <tableStyleInfo name="TableStyleMedium3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5CD44149-E207-42BB-B51B-2108220BA8F7}" name="Holidays_Table" displayName="Holidays_Table" ref="H2:H5" totalsRowShown="0" dataDxfId="4">
  <autoFilter ref="H2:H5" xr:uid="{1041DC80-58D6-4308-9DE1-A4EC8AAD3C20}"/>
  <tableColumns count="1">
    <tableColumn id="1" xr3:uid="{0E6D3E77-7CB7-40A1-BCA6-DDC8164AAEB9}" name="Holidays" dataDxfId="3"/>
  </tableColumns>
  <tableStyleInfo name="TableStyleMedium3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mments" Target="../comments1.xml"/><Relationship Id="rId5" Type="http://schemas.openxmlformats.org/officeDocument/2006/relationships/table" Target="../tables/table2.xml"/><Relationship Id="rId4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comments" Target="../comments2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table" Target="../tables/table4.xml"/><Relationship Id="rId5" Type="http://schemas.openxmlformats.org/officeDocument/2006/relationships/table" Target="../tables/table3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B39BFA-3572-4B25-A0A4-6B2661D57679}">
  <sheetPr codeName="Sheet3">
    <pageSetUpPr fitToPage="1"/>
  </sheetPr>
  <dimension ref="B1:AM43"/>
  <sheetViews>
    <sheetView tabSelected="1" topLeftCell="F1" zoomScale="85" zoomScaleNormal="85" workbookViewId="0">
      <selection activeCell="S35" sqref="S35"/>
    </sheetView>
  </sheetViews>
  <sheetFormatPr defaultColWidth="8.7265625" defaultRowHeight="14" x14ac:dyDescent="0.3"/>
  <cols>
    <col min="1" max="1" width="2.6328125" style="8" customWidth="1"/>
    <col min="2" max="2" width="18.26953125" style="8" customWidth="1"/>
    <col min="3" max="3" width="9.1796875" style="8" customWidth="1"/>
    <col min="4" max="8" width="9.1796875" style="8"/>
    <col min="9" max="9" width="6.26953125" style="8" customWidth="1"/>
    <col min="10" max="11" width="9.1796875" style="8"/>
    <col min="12" max="13" width="9.453125" style="8" customWidth="1"/>
    <col min="14" max="15" width="10.6328125" style="8" customWidth="1"/>
    <col min="16" max="17" width="2.6328125" style="8" customWidth="1"/>
    <col min="18" max="18" width="18.453125" style="24" customWidth="1"/>
    <col min="19" max="19" width="24.7265625" style="8" customWidth="1"/>
    <col min="20" max="20" width="20.7265625" style="8" customWidth="1"/>
    <col min="21" max="21" width="15.6328125" style="8" bestFit="1" customWidth="1"/>
    <col min="22" max="22" width="14.6328125" style="8" customWidth="1"/>
    <col min="23" max="24" width="17.26953125" style="8" customWidth="1"/>
    <col min="25" max="26" width="2.6328125" style="8" customWidth="1"/>
    <col min="27" max="27" width="14.81640625" style="8" customWidth="1"/>
    <col min="28" max="28" width="16.6328125" style="58" customWidth="1"/>
    <col min="29" max="29" width="16" style="8" customWidth="1"/>
    <col min="30" max="30" width="19.26953125" style="8" customWidth="1"/>
    <col min="31" max="31" width="20.26953125" style="8" customWidth="1"/>
    <col min="32" max="32" width="22.1796875" style="8" customWidth="1"/>
    <col min="33" max="16384" width="8.7265625" style="8"/>
  </cols>
  <sheetData>
    <row r="1" spans="2:39" ht="14.5" thickBot="1" x14ac:dyDescent="0.35"/>
    <row r="2" spans="2:39" x14ac:dyDescent="0.3">
      <c r="B2" s="68" t="str">
        <f>_xlfn.CONCAT("PROGRESS REPORT ", TEXT(S3,"mm/dd/yyyy"))</f>
        <v>PROGRESS REPORT 05/20/2020</v>
      </c>
      <c r="C2" s="69"/>
      <c r="D2" s="69"/>
      <c r="E2" s="69"/>
      <c r="F2" s="69"/>
      <c r="G2" s="69"/>
      <c r="H2" s="69"/>
      <c r="I2" s="69"/>
      <c r="J2" s="69"/>
      <c r="K2" s="69"/>
      <c r="L2" s="69"/>
      <c r="M2" s="69"/>
      <c r="N2" s="69"/>
      <c r="O2" s="70"/>
      <c r="R2" s="24" t="s">
        <v>60</v>
      </c>
      <c r="S2" s="25" t="str">
        <f ca="1">MID(CELL("filename",B1),FIND("]",CELL("filename",B1))+1,LEN(CELL("filename",B1))-FIND("]",CELL("filename",B1)))</f>
        <v>Template</v>
      </c>
      <c r="T2" s="24" t="s">
        <v>72</v>
      </c>
      <c r="U2" s="34" t="b">
        <v>1</v>
      </c>
    </row>
    <row r="3" spans="2:39" x14ac:dyDescent="0.3">
      <c r="B3" s="71"/>
      <c r="C3" s="72"/>
      <c r="D3" s="72"/>
      <c r="E3" s="72"/>
      <c r="F3" s="72"/>
      <c r="G3" s="72"/>
      <c r="H3" s="72"/>
      <c r="I3" s="72"/>
      <c r="J3" s="72"/>
      <c r="K3" s="72"/>
      <c r="L3" s="72"/>
      <c r="M3" s="72"/>
      <c r="N3" s="72"/>
      <c r="O3" s="73"/>
      <c r="R3" s="24" t="s">
        <v>18</v>
      </c>
      <c r="S3" s="27">
        <f>Report_Date</f>
        <v>43971</v>
      </c>
      <c r="T3" s="24" t="s">
        <v>73</v>
      </c>
      <c r="U3" s="34" t="b">
        <v>1</v>
      </c>
    </row>
    <row r="4" spans="2:39" ht="15" x14ac:dyDescent="0.3">
      <c r="B4" s="28" t="s">
        <v>49</v>
      </c>
      <c r="C4" s="74" t="str">
        <f>Project_Name</f>
        <v>Westland Super Cool Project</v>
      </c>
      <c r="D4" s="74"/>
      <c r="E4" s="74"/>
      <c r="F4" s="74"/>
      <c r="G4" s="74"/>
      <c r="H4" s="74"/>
      <c r="I4" s="74"/>
      <c r="J4" s="75" t="s">
        <v>50</v>
      </c>
      <c r="K4" s="75"/>
      <c r="L4" s="75"/>
      <c r="M4" s="75"/>
      <c r="N4" s="29" t="s">
        <v>51</v>
      </c>
      <c r="O4" s="30" t="s">
        <v>52</v>
      </c>
      <c r="R4" s="24" t="s">
        <v>61</v>
      </c>
      <c r="S4" s="27">
        <f>MIN(Input_Template[Start Date])+(7-WEEKDAY(MIN(Input_Template[Start Date]),2)+_xlfn.SWITCH(Reporting_Day, "Sunday", 7, "Monday", 1, "Tuesday", 2, "Wednesday", 3, "Thursday", 4, "Friday", 5, "Saturday", 6))</f>
        <v>43907</v>
      </c>
      <c r="T4" s="24" t="s">
        <v>74</v>
      </c>
      <c r="U4" s="34" t="b">
        <v>1</v>
      </c>
    </row>
    <row r="5" spans="2:39" ht="15" x14ac:dyDescent="0.3">
      <c r="B5" s="28" t="s">
        <v>53</v>
      </c>
      <c r="C5" s="74" t="str">
        <f>Project_Number</f>
        <v>S000</v>
      </c>
      <c r="D5" s="74"/>
      <c r="E5" s="74"/>
      <c r="F5" s="74"/>
      <c r="G5" s="74"/>
      <c r="H5" s="74"/>
      <c r="I5" s="74"/>
      <c r="J5" s="67" t="s">
        <v>54</v>
      </c>
      <c r="K5" s="67"/>
      <c r="L5" s="67"/>
      <c r="M5" s="67"/>
      <c r="N5" s="32">
        <f>IF(ISERROR(N7/N6), 0, N7/N6)</f>
        <v>0</v>
      </c>
      <c r="O5" s="33">
        <f>IF(ISERROR(O7/O6), 0, O7/O6)</f>
        <v>0</v>
      </c>
      <c r="R5" s="24" t="s">
        <v>99</v>
      </c>
      <c r="S5" s="31">
        <f>MAX(Input_Template[Finish Date])+(7-WEEKDAY(MAX(Input_Template[Finish Date]),2)+_xlfn.SWITCH(Reporting_Day, "Sunday", 7, "Monday", 1, "Tuesday", 2, "Wednesday", 3, "Thursday", 4, "Friday", 5, "Saturday", 6))</f>
        <v>44110</v>
      </c>
      <c r="T5" s="24" t="s">
        <v>75</v>
      </c>
      <c r="U5" s="34" t="b">
        <v>1</v>
      </c>
    </row>
    <row r="6" spans="2:39" ht="15" x14ac:dyDescent="0.3">
      <c r="B6" s="28" t="s">
        <v>55</v>
      </c>
      <c r="C6" s="74" t="str">
        <f>Main!C12</f>
        <v>XYZ Corp</v>
      </c>
      <c r="D6" s="74"/>
      <c r="E6" s="74"/>
      <c r="F6" s="74"/>
      <c r="G6" s="74"/>
      <c r="H6" s="74"/>
      <c r="I6" s="74"/>
      <c r="J6" s="67" t="str">
        <f>_xlfn.CONCAT("Overall Totals (", IF(ISBLANK($S$6),"",$S$6), ")")</f>
        <v>Overall Totals (SF)</v>
      </c>
      <c r="K6" s="67"/>
      <c r="L6" s="67"/>
      <c r="M6" s="67"/>
      <c r="N6" s="35" t="str">
        <f>$R$7</f>
        <v>Schedule Run Date:</v>
      </c>
      <c r="O6" s="36" t="e">
        <f>#REF!</f>
        <v>#REF!</v>
      </c>
      <c r="R6" s="24" t="s">
        <v>64</v>
      </c>
      <c r="S6" s="26" t="s">
        <v>65</v>
      </c>
      <c r="T6" s="24" t="s">
        <v>76</v>
      </c>
      <c r="U6" s="34" t="b">
        <v>1</v>
      </c>
    </row>
    <row r="7" spans="2:39" ht="15" x14ac:dyDescent="0.3">
      <c r="B7" s="28" t="s">
        <v>56</v>
      </c>
      <c r="C7" s="74" t="str">
        <f>RIGHT(Main!B13, LEN(Main!B13) - 4)</f>
        <v>Foundation Walls</v>
      </c>
      <c r="D7" s="74"/>
      <c r="E7" s="74"/>
      <c r="F7" s="74"/>
      <c r="G7" s="74"/>
      <c r="H7" s="74"/>
      <c r="I7" s="74"/>
      <c r="J7" s="67" t="str">
        <f>_xlfn.CONCAT("Overall Completed Totals (", IF(ISBLANK($S$6),"",$S$6), ")")</f>
        <v>Overall Completed Totals (SF)</v>
      </c>
      <c r="K7" s="67"/>
      <c r="L7" s="67"/>
      <c r="M7" s="67"/>
      <c r="N7" s="35" t="str">
        <f>$T$16</f>
        <v>A3</v>
      </c>
      <c r="O7" s="36">
        <f>$U$16</f>
        <v>44027</v>
      </c>
      <c r="R7" s="24" t="s">
        <v>79</v>
      </c>
      <c r="S7" s="31">
        <f>Schedule_Run_Date</f>
        <v>44652</v>
      </c>
      <c r="T7" s="24" t="s">
        <v>77</v>
      </c>
      <c r="U7" s="34" t="b">
        <v>0</v>
      </c>
    </row>
    <row r="8" spans="2:39" ht="15" x14ac:dyDescent="0.3">
      <c r="B8" s="37"/>
      <c r="C8" s="38"/>
      <c r="D8" s="38"/>
      <c r="E8" s="38"/>
      <c r="F8" s="38"/>
      <c r="G8" s="38"/>
      <c r="H8" s="38"/>
      <c r="I8" s="38"/>
      <c r="J8" s="67" t="str">
        <f>_xlfn.CONCAT("This Week's Production (", IF(ISBLANK($S$6),"",$S$6), ")")</f>
        <v>This Week's Production (SF)</v>
      </c>
      <c r="K8" s="67"/>
      <c r="L8" s="67"/>
      <c r="M8" s="67"/>
      <c r="N8" s="35" t="str">
        <f>$R$16</f>
        <v>L6</v>
      </c>
      <c r="O8" s="36">
        <f>$S$16</f>
        <v>0</v>
      </c>
      <c r="R8" s="24" t="s">
        <v>63</v>
      </c>
      <c r="S8" s="26" t="s">
        <v>62</v>
      </c>
      <c r="T8" s="24" t="s">
        <v>78</v>
      </c>
      <c r="U8" s="34" t="b">
        <v>0</v>
      </c>
    </row>
    <row r="9" spans="2:39" ht="15" x14ac:dyDescent="0.3">
      <c r="B9" s="37"/>
      <c r="C9" s="38"/>
      <c r="D9" s="38"/>
      <c r="E9" s="38"/>
      <c r="F9" s="38"/>
      <c r="G9" s="38"/>
      <c r="H9" s="38"/>
      <c r="I9" s="38"/>
      <c r="J9" s="67" t="str">
        <f>_xlfn.CONCAT("Weekly Average (", IF(ISBLANK($S$6),"",$S$6), ")")</f>
        <v>Weekly Average (SF)</v>
      </c>
      <c r="K9" s="67"/>
      <c r="L9" s="67"/>
      <c r="M9" s="67"/>
      <c r="N9" s="39" t="e">
        <f ca="1">AVERAGE(INDIRECT("Main_"&amp;$R$2&amp;"[Weekly Plan]"))</f>
        <v>#REF!</v>
      </c>
      <c r="O9" s="40" t="e">
        <f ca="1">AVERAGE(INDIRECT("Main_"&amp;$R$2&amp;"[Weekly Actual]"))</f>
        <v>#REF!</v>
      </c>
    </row>
    <row r="10" spans="2:39" ht="15" x14ac:dyDescent="0.3">
      <c r="B10" s="37"/>
      <c r="C10" s="38"/>
      <c r="D10" s="38"/>
      <c r="E10" s="38"/>
      <c r="F10" s="38"/>
      <c r="G10" s="38"/>
      <c r="H10" s="38"/>
      <c r="I10" s="38"/>
      <c r="J10" s="67" t="str">
        <f>_xlfn.CONCAT("Average Past 4 Weeks (", IF(ISBLANK($S$6),"",$S$6), ")")</f>
        <v>Average Past 4 Weeks (SF)</v>
      </c>
      <c r="K10" s="67"/>
      <c r="L10" s="67"/>
      <c r="M10" s="67"/>
      <c r="N10" s="39" t="e">
        <f ca="1">(VLOOKUP($R$3,INDIRECT("Main_"&amp;$R$2), 2)+VLOOKUP($R$3-7,INDIRECT("Main_"&amp;$R$2), 2)+VLOOKUP($R$3-14,INDIRECT("Main_"&amp;$R$2), 2)+VLOOKUP($R$3-21,INDIRECT("Main_"&amp;$R$2), 2))/4</f>
        <v>#REF!</v>
      </c>
      <c r="O10" s="40" t="e">
        <f ca="1">(VLOOKUP($R$3,INDIRECT("Main_"&amp;$R$2), 3)+VLOOKUP($R$3-7,INDIRECT("Main_"&amp;$R$2), 3)+VLOOKUP($R$3-14,INDIRECT("Main_"&amp;$R$2), 3)+VLOOKUP($R$3-21,INDIRECT("Main_"&amp;$R$2), 3))/4</f>
        <v>#REF!</v>
      </c>
    </row>
    <row r="11" spans="2:39" ht="15" x14ac:dyDescent="0.3">
      <c r="B11" s="37"/>
      <c r="C11" s="38"/>
      <c r="D11" s="38"/>
      <c r="E11" s="38"/>
      <c r="F11" s="38"/>
      <c r="G11" s="38"/>
      <c r="H11" s="38"/>
      <c r="I11" s="38"/>
      <c r="J11" s="67" t="str">
        <f>_xlfn.CONCAT("On Schedule Average (", IF(ISBLANK($S$6),"",$S$6), ")")</f>
        <v>On Schedule Average (SF)</v>
      </c>
      <c r="K11" s="67"/>
      <c r="L11" s="67"/>
      <c r="M11" s="67"/>
      <c r="N11" s="39" t="e">
        <f ca="1">AVERAGE(INDIRECT("Main_"&amp;$R$2&amp;"[Weekly Plan]"))</f>
        <v>#REF!</v>
      </c>
      <c r="O11" s="40" t="e">
        <f>IF(($T$2-$R$3)&gt;0,($R$7-$R$5)/(CEILING(($T$2-$R$3),7)/7),"N/A")</f>
        <v>#VALUE!</v>
      </c>
    </row>
    <row r="12" spans="2:39" ht="15" x14ac:dyDescent="0.3">
      <c r="B12" s="37"/>
      <c r="C12" s="38"/>
      <c r="D12" s="38"/>
      <c r="E12" s="38"/>
      <c r="F12" s="38"/>
      <c r="G12" s="38"/>
      <c r="H12" s="38"/>
      <c r="I12" s="38"/>
      <c r="J12" s="59" t="s">
        <v>57</v>
      </c>
      <c r="K12" s="59"/>
      <c r="L12" s="59"/>
      <c r="M12" s="59"/>
      <c r="N12" s="60" t="str">
        <f>$T$2</f>
        <v>Works Monday:</v>
      </c>
      <c r="O12" s="61"/>
    </row>
    <row r="13" spans="2:39" ht="15.5" x14ac:dyDescent="0.35">
      <c r="B13" s="37"/>
      <c r="C13" s="38"/>
      <c r="D13" s="38"/>
      <c r="E13" s="38"/>
      <c r="F13" s="38"/>
      <c r="G13" s="38"/>
      <c r="H13" s="38"/>
      <c r="I13" s="38"/>
      <c r="J13" s="59" t="s">
        <v>58</v>
      </c>
      <c r="K13" s="59"/>
      <c r="L13" s="59"/>
      <c r="M13" s="59"/>
      <c r="N13" s="60" t="e">
        <f ca="1">$R$3+ROUNDUP(($R$7-$R$5)/($O$10/IF($T$4="NO", 5,6)),0)+(TRUNC(ROUNDUP(($R$7-$R$5)/($O$10/IF($T$4="NO", 5,6)),0)/7)*IF($T$4="NO",2,1))</f>
        <v>#VALUE!</v>
      </c>
      <c r="O13" s="62"/>
      <c r="R13" s="41" t="s">
        <v>66</v>
      </c>
      <c r="S13" s="41" t="s">
        <v>50</v>
      </c>
      <c r="T13" s="41" t="s">
        <v>67</v>
      </c>
      <c r="U13" s="41" t="s">
        <v>68</v>
      </c>
      <c r="V13" s="41" t="s">
        <v>69</v>
      </c>
      <c r="W13" s="41" t="s">
        <v>70</v>
      </c>
      <c r="X13" s="41" t="s">
        <v>71</v>
      </c>
      <c r="AA13" t="s">
        <v>80</v>
      </c>
      <c r="AB13" s="57" t="s">
        <v>85</v>
      </c>
      <c r="AC13" t="s">
        <v>81</v>
      </c>
      <c r="AD13" t="s">
        <v>82</v>
      </c>
      <c r="AE13" t="s">
        <v>83</v>
      </c>
      <c r="AF13" t="s">
        <v>84</v>
      </c>
      <c r="AG13" s="56" t="s">
        <v>89</v>
      </c>
      <c r="AH13" s="56" t="s">
        <v>91</v>
      </c>
      <c r="AI13" s="56" t="s">
        <v>90</v>
      </c>
      <c r="AJ13" s="56" t="s">
        <v>92</v>
      </c>
      <c r="AK13" s="56" t="s">
        <v>93</v>
      </c>
      <c r="AL13" s="56" t="s">
        <v>94</v>
      </c>
      <c r="AM13" s="55"/>
    </row>
    <row r="14" spans="2:39" ht="15.5" x14ac:dyDescent="0.35">
      <c r="B14" s="37"/>
      <c r="C14" s="38"/>
      <c r="D14" s="38"/>
      <c r="E14" s="38"/>
      <c r="F14" s="38"/>
      <c r="G14" s="38"/>
      <c r="H14" s="38"/>
      <c r="I14" s="38"/>
      <c r="J14" s="42"/>
      <c r="K14" s="42"/>
      <c r="L14" s="63" t="str">
        <f>_xlfn.CONCAT("Values were calculated using the attached takeoff sheets and Westland's project schedule with a run date of ", TEXT($S$7, "mm/dd/yyyy"), ".")</f>
        <v>Values were calculated using the attached takeoff sheets and Westland's project schedule with a run date of 04/01/2022.</v>
      </c>
      <c r="M14" s="63"/>
      <c r="N14" s="63"/>
      <c r="O14" s="64"/>
      <c r="R14" s="43" t="s">
        <v>95</v>
      </c>
      <c r="S14" s="44"/>
      <c r="T14" s="44" t="s">
        <v>86</v>
      </c>
      <c r="U14" s="45">
        <v>43905</v>
      </c>
      <c r="V14" s="45">
        <v>43983</v>
      </c>
      <c r="W14" s="8">
        <v>300</v>
      </c>
      <c r="AA14" s="54">
        <f>IF(AA13 = "Date", $S$4, AA13+7)</f>
        <v>43907</v>
      </c>
      <c r="AB14" s="57" t="str">
        <f ca="1">PrimaryAreas(3)</f>
        <v>A1</v>
      </c>
      <c r="AC14">
        <f>Output_Template[[#This Row],[WP_A1]]+Output_Template[[#This Row],[WP_A2]]+Output_Template[[#This Row],[WP_A3]]</f>
        <v>75</v>
      </c>
      <c r="AD14">
        <f>IF(AND(ISBLANK(Output_Template[[#This Row],[WA_A1]]),ISBLANK(Output_Template[[#This Row],[WA_A2]]),ISBLANK(Output_Template[[#This Row],[WA_A3]])), "", Output_Template[[#This Row],[WA_A1]]+Output_Template[[#This Row],[WA_A2]]+Output_Template[[#This Row],[WA_A3]])</f>
        <v>55</v>
      </c>
      <c r="AE14">
        <f>SUM($AC$14:AC14)</f>
        <v>75</v>
      </c>
      <c r="AF14">
        <f>IF(AD14="",NA(),SUM($AD$14:AD14))</f>
        <v>55</v>
      </c>
      <c r="AG14" s="19">
        <v>75</v>
      </c>
      <c r="AH14" s="19">
        <v>55</v>
      </c>
      <c r="AI14" s="19"/>
      <c r="AJ14" s="19"/>
      <c r="AK14" s="19"/>
      <c r="AL14" s="19"/>
    </row>
    <row r="15" spans="2:39" ht="16" thickBot="1" x14ac:dyDescent="0.4">
      <c r="B15" s="37"/>
      <c r="C15" s="38"/>
      <c r="D15" s="38"/>
      <c r="E15" s="38"/>
      <c r="F15" s="38"/>
      <c r="G15" s="38"/>
      <c r="H15" s="38"/>
      <c r="I15" s="38"/>
      <c r="J15" s="46"/>
      <c r="K15" s="46"/>
      <c r="L15" s="65"/>
      <c r="M15" s="65"/>
      <c r="N15" s="65"/>
      <c r="O15" s="66"/>
      <c r="R15" s="43" t="s">
        <v>96</v>
      </c>
      <c r="S15" s="44"/>
      <c r="T15" s="44" t="s">
        <v>87</v>
      </c>
      <c r="U15" s="45">
        <v>43966</v>
      </c>
      <c r="V15" s="45">
        <v>44044</v>
      </c>
      <c r="W15" s="8">
        <v>300</v>
      </c>
      <c r="AA15" s="54">
        <f>IF(AA14 = "Date", $S$4, AA14+7)</f>
        <v>43914</v>
      </c>
      <c r="AB15" s="57" t="str">
        <f ca="1">PrimaryAreas(3)</f>
        <v>A1</v>
      </c>
      <c r="AC15">
        <f>Output_Template[[#This Row],[WP_A1]]+Output_Template[[#This Row],[WP_A2]]+Output_Template[[#This Row],[WP_A3]]</f>
        <v>75</v>
      </c>
      <c r="AD15">
        <f>IF(AND(ISBLANK(Output_Template[[#This Row],[WA_A1]]),ISBLANK(Output_Template[[#This Row],[WA_A2]]),ISBLANK(Output_Template[[#This Row],[WA_A3]])), "", Output_Template[[#This Row],[WA_A1]]+Output_Template[[#This Row],[WA_A2]]+Output_Template[[#This Row],[WA_A3]])</f>
        <v>55</v>
      </c>
      <c r="AE15">
        <f>SUM($AC$14:AC15)</f>
        <v>150</v>
      </c>
      <c r="AF15">
        <f>IF(AD15="",NA(),SUM($AD$14:AD15))</f>
        <v>110</v>
      </c>
      <c r="AG15" s="19">
        <v>75</v>
      </c>
      <c r="AH15" s="19">
        <v>55</v>
      </c>
      <c r="AI15" s="19"/>
      <c r="AJ15" s="19"/>
      <c r="AK15" s="19"/>
      <c r="AL15" s="19"/>
    </row>
    <row r="16" spans="2:39" ht="15.5" x14ac:dyDescent="0.35">
      <c r="B16" s="47"/>
      <c r="C16" s="48"/>
      <c r="D16" s="48"/>
      <c r="E16" s="48"/>
      <c r="F16" s="48"/>
      <c r="G16" s="48"/>
      <c r="H16" s="48"/>
      <c r="I16" s="48"/>
      <c r="J16" s="48"/>
      <c r="K16" s="48"/>
      <c r="L16" s="48"/>
      <c r="M16" s="48"/>
      <c r="N16" s="48"/>
      <c r="O16" s="49"/>
      <c r="R16" s="43" t="s">
        <v>97</v>
      </c>
      <c r="S16" s="44"/>
      <c r="T16" s="44" t="s">
        <v>88</v>
      </c>
      <c r="U16" s="45">
        <v>44027</v>
      </c>
      <c r="V16" s="45">
        <v>44105</v>
      </c>
      <c r="W16" s="8">
        <v>300</v>
      </c>
      <c r="AA16" s="54">
        <f>IF(AA15 = "Date", $S$4, AA15+7)</f>
        <v>43921</v>
      </c>
      <c r="AB16" s="57" t="str">
        <f ca="1">PrimaryAreas(3)</f>
        <v>A1</v>
      </c>
      <c r="AC16">
        <f>Output_Template[[#This Row],[WP_A1]]+Output_Template[[#This Row],[WP_A2]]+Output_Template[[#This Row],[WP_A3]]</f>
        <v>75</v>
      </c>
      <c r="AD16">
        <f>IF(AND(ISBLANK(Output_Template[[#This Row],[WA_A1]]),ISBLANK(Output_Template[[#This Row],[WA_A2]]),ISBLANK(Output_Template[[#This Row],[WA_A3]])), "", Output_Template[[#This Row],[WA_A1]]+Output_Template[[#This Row],[WA_A2]]+Output_Template[[#This Row],[WA_A3]])</f>
        <v>55</v>
      </c>
      <c r="AE16">
        <f>SUM($AC$14:AC16)</f>
        <v>225</v>
      </c>
      <c r="AF16">
        <f>IF(AD16="",NA(),SUM($AD$14:AD16))</f>
        <v>165</v>
      </c>
      <c r="AG16" s="19">
        <v>75</v>
      </c>
      <c r="AH16" s="19">
        <v>55</v>
      </c>
      <c r="AI16" s="19"/>
      <c r="AJ16" s="19"/>
      <c r="AK16" s="19"/>
      <c r="AL16" s="19"/>
    </row>
    <row r="17" spans="2:38" ht="15.5" x14ac:dyDescent="0.35">
      <c r="B17" s="37"/>
      <c r="C17" s="38"/>
      <c r="D17" s="38"/>
      <c r="E17" s="38"/>
      <c r="F17" s="38"/>
      <c r="G17" s="38"/>
      <c r="H17" s="38"/>
      <c r="I17" s="38"/>
      <c r="J17" s="38"/>
      <c r="K17" s="38"/>
      <c r="L17" s="38"/>
      <c r="M17" s="38"/>
      <c r="N17" s="38"/>
      <c r="O17" s="50"/>
      <c r="R17" s="43"/>
      <c r="S17" s="44"/>
      <c r="T17" s="44"/>
      <c r="U17" s="45"/>
      <c r="V17" s="45"/>
      <c r="AA17" s="54">
        <f>IF(AA16 = "Date", $S$4, AA16+7)</f>
        <v>43928</v>
      </c>
      <c r="AB17" s="57" t="str">
        <f ca="1">PrimaryAreas(3)</f>
        <v>A1</v>
      </c>
      <c r="AC17">
        <f>Output_Template[[#This Row],[WP_A1]]+Output_Template[[#This Row],[WP_A2]]+Output_Template[[#This Row],[WP_A3]]</f>
        <v>75</v>
      </c>
      <c r="AD17">
        <f>IF(AND(ISBLANK(Output_Template[[#This Row],[WA_A1]]),ISBLANK(Output_Template[[#This Row],[WA_A2]]),ISBLANK(Output_Template[[#This Row],[WA_A3]])), "", Output_Template[[#This Row],[WA_A1]]+Output_Template[[#This Row],[WA_A2]]+Output_Template[[#This Row],[WA_A3]])</f>
        <v>55</v>
      </c>
      <c r="AE17">
        <f>SUM($AC$14:AC17)</f>
        <v>300</v>
      </c>
      <c r="AF17">
        <f>IF(AD17="",NA(),SUM($AD$14:AD17))</f>
        <v>220</v>
      </c>
      <c r="AG17" s="19">
        <v>75</v>
      </c>
      <c r="AH17" s="19">
        <v>55</v>
      </c>
      <c r="AI17" s="19"/>
      <c r="AJ17" s="19"/>
      <c r="AK17" s="19"/>
      <c r="AL17" s="19"/>
    </row>
    <row r="18" spans="2:38" ht="15.5" x14ac:dyDescent="0.35">
      <c r="B18" s="37"/>
      <c r="C18" s="38"/>
      <c r="D18" s="38"/>
      <c r="E18" s="38"/>
      <c r="F18" s="38"/>
      <c r="G18" s="38"/>
      <c r="H18" s="38"/>
      <c r="I18" s="38"/>
      <c r="J18" s="38"/>
      <c r="K18" s="38"/>
      <c r="L18" s="38"/>
      <c r="M18" s="38"/>
      <c r="N18" s="38"/>
      <c r="O18" s="50"/>
      <c r="R18" s="43"/>
      <c r="S18" s="44"/>
      <c r="T18" s="44"/>
      <c r="U18" s="45"/>
      <c r="V18" s="45"/>
      <c r="AA18" s="54">
        <f>IF(AA17 = "Date", $S$4, AA17+7)</f>
        <v>43935</v>
      </c>
      <c r="AB18" s="57" t="str">
        <f ca="1">PrimaryAreas(3)</f>
        <v>A1</v>
      </c>
      <c r="AC18">
        <f>Output_Template[[#This Row],[WP_A1]]+Output_Template[[#This Row],[WP_A2]]+Output_Template[[#This Row],[WP_A3]]</f>
        <v>75</v>
      </c>
      <c r="AD18">
        <f>IF(AND(ISBLANK(Output_Template[[#This Row],[WA_A1]]),ISBLANK(Output_Template[[#This Row],[WA_A2]]),ISBLANK(Output_Template[[#This Row],[WA_A3]])), "", Output_Template[[#This Row],[WA_A1]]+Output_Template[[#This Row],[WA_A2]]+Output_Template[[#This Row],[WA_A3]])</f>
        <v>55</v>
      </c>
      <c r="AE18">
        <f>SUM($AC$14:AC18)</f>
        <v>375</v>
      </c>
      <c r="AF18">
        <f>IF(AD18="",NA(),SUM($AD$14:AD18))</f>
        <v>275</v>
      </c>
      <c r="AG18" s="19">
        <v>75</v>
      </c>
      <c r="AH18" s="19">
        <v>55</v>
      </c>
      <c r="AI18" s="19"/>
      <c r="AJ18" s="19"/>
      <c r="AK18" s="19"/>
      <c r="AL18" s="19"/>
    </row>
    <row r="19" spans="2:38" ht="15.5" x14ac:dyDescent="0.35">
      <c r="B19" s="37"/>
      <c r="C19" s="38"/>
      <c r="D19" s="38"/>
      <c r="E19" s="38"/>
      <c r="F19" s="38"/>
      <c r="G19" s="38"/>
      <c r="H19" s="38"/>
      <c r="I19" s="38"/>
      <c r="J19" s="38"/>
      <c r="K19" s="38"/>
      <c r="L19" s="38"/>
      <c r="M19" s="38"/>
      <c r="N19" s="38"/>
      <c r="O19" s="50"/>
      <c r="AA19" s="54">
        <f>IF(AA18 = "Date", $S$4, AA18+7)</f>
        <v>43942</v>
      </c>
      <c r="AB19" s="57" t="str">
        <f ca="1">PrimaryAreas(3)</f>
        <v>A1</v>
      </c>
      <c r="AC19">
        <f>Output_Template[[#This Row],[WP_A1]]+Output_Template[[#This Row],[WP_A2]]+Output_Template[[#This Row],[WP_A3]]</f>
        <v>75</v>
      </c>
      <c r="AD19">
        <f>IF(AND(ISBLANK(Output_Template[[#This Row],[WA_A1]]),ISBLANK(Output_Template[[#This Row],[WA_A2]]),ISBLANK(Output_Template[[#This Row],[WA_A3]])), "", Output_Template[[#This Row],[WA_A1]]+Output_Template[[#This Row],[WA_A2]]+Output_Template[[#This Row],[WA_A3]])</f>
        <v>55</v>
      </c>
      <c r="AE19">
        <f>SUM($AC$14:AC19)</f>
        <v>450</v>
      </c>
      <c r="AF19">
        <f>IF(AD19="",NA(),SUM($AD$14:AD19))</f>
        <v>330</v>
      </c>
      <c r="AG19" s="19">
        <v>75</v>
      </c>
      <c r="AH19" s="19">
        <v>55</v>
      </c>
      <c r="AI19" s="19"/>
      <c r="AJ19" s="19"/>
      <c r="AK19" s="19"/>
      <c r="AL19" s="19"/>
    </row>
    <row r="20" spans="2:38" ht="15.5" x14ac:dyDescent="0.35">
      <c r="B20" s="37"/>
      <c r="C20" s="38"/>
      <c r="D20" s="38"/>
      <c r="E20" s="38"/>
      <c r="F20" s="38"/>
      <c r="G20" s="38"/>
      <c r="H20" s="38"/>
      <c r="I20" s="38"/>
      <c r="J20" s="38"/>
      <c r="K20" s="38"/>
      <c r="L20" s="38"/>
      <c r="M20" s="38"/>
      <c r="N20" s="38"/>
      <c r="O20" s="50"/>
      <c r="AA20" s="54">
        <f>IF(AA19 = "Date", $S$4, AA19+7)</f>
        <v>43949</v>
      </c>
      <c r="AB20" s="57" t="str">
        <f ca="1">PrimaryAreas(3)</f>
        <v>A1</v>
      </c>
      <c r="AC20">
        <f>Output_Template[[#This Row],[WP_A1]]+Output_Template[[#This Row],[WP_A2]]+Output_Template[[#This Row],[WP_A3]]</f>
        <v>75</v>
      </c>
      <c r="AD20">
        <f>IF(AND(ISBLANK(Output_Template[[#This Row],[WA_A1]]),ISBLANK(Output_Template[[#This Row],[WA_A2]]),ISBLANK(Output_Template[[#This Row],[WA_A3]])), "", Output_Template[[#This Row],[WA_A1]]+Output_Template[[#This Row],[WA_A2]]+Output_Template[[#This Row],[WA_A3]])</f>
        <v>55</v>
      </c>
      <c r="AE20">
        <f>SUM($AC$14:AC20)</f>
        <v>525</v>
      </c>
      <c r="AF20">
        <f>IF(AD20="",NA(),SUM($AD$14:AD20))</f>
        <v>385</v>
      </c>
      <c r="AG20" s="19">
        <v>75</v>
      </c>
      <c r="AH20" s="19">
        <v>55</v>
      </c>
      <c r="AI20" s="19"/>
      <c r="AJ20" s="19"/>
      <c r="AK20" s="19"/>
      <c r="AL20" s="19"/>
    </row>
    <row r="21" spans="2:38" ht="15.5" x14ac:dyDescent="0.35">
      <c r="B21" s="37"/>
      <c r="C21" s="38"/>
      <c r="D21" s="38"/>
      <c r="E21" s="38"/>
      <c r="F21" s="38"/>
      <c r="G21" s="38"/>
      <c r="H21" s="38"/>
      <c r="I21" s="38"/>
      <c r="J21" s="38"/>
      <c r="K21" s="38"/>
      <c r="L21" s="38"/>
      <c r="M21" s="38"/>
      <c r="N21" s="38"/>
      <c r="O21" s="50"/>
      <c r="AA21" s="54">
        <f>IF(AA20 = "Date", $S$4, AA20+7)</f>
        <v>43956</v>
      </c>
      <c r="AB21" s="57" t="str">
        <f ca="1">PrimaryAreas(3)</f>
        <v>A1</v>
      </c>
      <c r="AC21">
        <f>Output_Template[[#This Row],[WP_A1]]+Output_Template[[#This Row],[WP_A2]]+Output_Template[[#This Row],[WP_A3]]</f>
        <v>75</v>
      </c>
      <c r="AD21">
        <f>IF(AND(ISBLANK(Output_Template[[#This Row],[WA_A1]]),ISBLANK(Output_Template[[#This Row],[WA_A2]]),ISBLANK(Output_Template[[#This Row],[WA_A3]])), "", Output_Template[[#This Row],[WA_A1]]+Output_Template[[#This Row],[WA_A2]]+Output_Template[[#This Row],[WA_A3]])</f>
        <v>55</v>
      </c>
      <c r="AE21">
        <f>SUM($AC$14:AC21)</f>
        <v>600</v>
      </c>
      <c r="AF21">
        <f>IF(AD21="",NA(),SUM($AD$14:AD21))</f>
        <v>440</v>
      </c>
      <c r="AG21" s="19">
        <v>75</v>
      </c>
      <c r="AH21" s="19">
        <v>55</v>
      </c>
      <c r="AI21" s="19"/>
      <c r="AJ21" s="19"/>
      <c r="AK21" s="19"/>
      <c r="AL21" s="19"/>
    </row>
    <row r="22" spans="2:38" ht="15.5" x14ac:dyDescent="0.35">
      <c r="B22" s="37"/>
      <c r="C22" s="38"/>
      <c r="D22" s="38"/>
      <c r="E22" s="38"/>
      <c r="F22" s="38"/>
      <c r="G22" s="38"/>
      <c r="H22" s="38"/>
      <c r="I22" s="38"/>
      <c r="J22" s="38"/>
      <c r="K22" s="38"/>
      <c r="L22" s="38"/>
      <c r="M22" s="38"/>
      <c r="N22" s="38"/>
      <c r="O22" s="50"/>
      <c r="AA22" s="54">
        <f>IF(AA21 = "Date", $S$4, AA21+7)</f>
        <v>43963</v>
      </c>
      <c r="AB22" s="57" t="str">
        <f ca="1">PrimaryAreas(3)</f>
        <v>A1</v>
      </c>
      <c r="AC22">
        <f>Output_Template[[#This Row],[WP_A1]]+Output_Template[[#This Row],[WP_A2]]+Output_Template[[#This Row],[WP_A3]]</f>
        <v>75</v>
      </c>
      <c r="AD22">
        <f>IF(AND(ISBLANK(Output_Template[[#This Row],[WA_A1]]),ISBLANK(Output_Template[[#This Row],[WA_A2]]),ISBLANK(Output_Template[[#This Row],[WA_A3]])), "", Output_Template[[#This Row],[WA_A1]]+Output_Template[[#This Row],[WA_A2]]+Output_Template[[#This Row],[WA_A3]])</f>
        <v>55</v>
      </c>
      <c r="AE22">
        <f>SUM($AC$14:AC22)</f>
        <v>675</v>
      </c>
      <c r="AF22">
        <f>IF(AD22="",NA(),SUM($AD$14:AD22))</f>
        <v>495</v>
      </c>
      <c r="AG22" s="19">
        <v>75</v>
      </c>
      <c r="AH22" s="19">
        <v>55</v>
      </c>
      <c r="AI22" s="19"/>
      <c r="AJ22" s="19"/>
      <c r="AK22" s="19"/>
      <c r="AL22" s="19"/>
    </row>
    <row r="23" spans="2:38" ht="15.5" x14ac:dyDescent="0.35">
      <c r="B23" s="37"/>
      <c r="C23" s="38"/>
      <c r="D23" s="38"/>
      <c r="E23" s="38"/>
      <c r="F23" s="38"/>
      <c r="G23" s="38"/>
      <c r="H23" s="38"/>
      <c r="I23" s="38"/>
      <c r="J23" s="38"/>
      <c r="K23" s="38"/>
      <c r="L23" s="38"/>
      <c r="M23" s="38"/>
      <c r="N23" s="38"/>
      <c r="O23" s="50"/>
      <c r="AA23" s="54">
        <f>IF(AA22 = "Date", $S$4, AA22+7)</f>
        <v>43970</v>
      </c>
      <c r="AB23" s="57" t="str">
        <f ca="1">PrimaryAreas(3)</f>
        <v>A1, A2</v>
      </c>
      <c r="AC23">
        <f>Output_Template[[#This Row],[WP_A1]]+Output_Template[[#This Row],[WP_A2]]+Output_Template[[#This Row],[WP_A3]]</f>
        <v>150</v>
      </c>
      <c r="AD23">
        <f>IF(AND(ISBLANK(Output_Template[[#This Row],[WA_A1]]),ISBLANK(Output_Template[[#This Row],[WA_A2]]),ISBLANK(Output_Template[[#This Row],[WA_A3]])), "", Output_Template[[#This Row],[WA_A1]]+Output_Template[[#This Row],[WA_A2]]+Output_Template[[#This Row],[WA_A3]])</f>
        <v>110</v>
      </c>
      <c r="AE23">
        <f>SUM($AC$14:AC23)</f>
        <v>825</v>
      </c>
      <c r="AF23">
        <f>IF(AD23="",NA(),SUM($AD$14:AD23))</f>
        <v>605</v>
      </c>
      <c r="AG23" s="19">
        <v>75</v>
      </c>
      <c r="AH23" s="19">
        <v>55</v>
      </c>
      <c r="AI23" s="19">
        <v>75</v>
      </c>
      <c r="AJ23" s="19">
        <v>55</v>
      </c>
      <c r="AK23" s="19"/>
      <c r="AL23" s="19"/>
    </row>
    <row r="24" spans="2:38" ht="15.5" x14ac:dyDescent="0.35">
      <c r="B24" s="37"/>
      <c r="C24" s="38" t="s">
        <v>59</v>
      </c>
      <c r="D24" s="38"/>
      <c r="E24" s="38"/>
      <c r="F24" s="38"/>
      <c r="G24" s="38"/>
      <c r="H24" s="38"/>
      <c r="I24" s="38"/>
      <c r="J24" s="38"/>
      <c r="K24" s="38"/>
      <c r="L24" s="38"/>
      <c r="M24" s="38"/>
      <c r="N24" s="38"/>
      <c r="O24" s="50"/>
      <c r="AA24" s="54">
        <f>IF(AA23 = "Date", $S$4, AA23+7)</f>
        <v>43977</v>
      </c>
      <c r="AB24" s="57" t="str">
        <f ca="1">PrimaryAreas(3)</f>
        <v>A1, A2</v>
      </c>
      <c r="AC24">
        <f>Output_Template[[#This Row],[WP_A1]]+Output_Template[[#This Row],[WP_A2]]+Output_Template[[#This Row],[WP_A3]]</f>
        <v>150</v>
      </c>
      <c r="AD24">
        <f>IF(AND(ISBLANK(Output_Template[[#This Row],[WA_A1]]),ISBLANK(Output_Template[[#This Row],[WA_A2]]),ISBLANK(Output_Template[[#This Row],[WA_A3]])), "", Output_Template[[#This Row],[WA_A1]]+Output_Template[[#This Row],[WA_A2]]+Output_Template[[#This Row],[WA_A3]])</f>
        <v>110</v>
      </c>
      <c r="AE24">
        <f>SUM($AC$14:AC24)</f>
        <v>975</v>
      </c>
      <c r="AF24">
        <f>IF(AD24="",NA(),SUM($AD$14:AD24))</f>
        <v>715</v>
      </c>
      <c r="AG24" s="19">
        <v>75</v>
      </c>
      <c r="AH24" s="19">
        <v>55</v>
      </c>
      <c r="AI24" s="19">
        <v>75</v>
      </c>
      <c r="AJ24" s="19">
        <v>55</v>
      </c>
      <c r="AK24" s="19"/>
      <c r="AL24" s="19"/>
    </row>
    <row r="25" spans="2:38" ht="15.5" x14ac:dyDescent="0.35">
      <c r="B25" s="37"/>
      <c r="C25" s="38"/>
      <c r="D25" s="38"/>
      <c r="E25" s="38"/>
      <c r="F25" s="38"/>
      <c r="G25" s="38"/>
      <c r="H25" s="38"/>
      <c r="I25" s="38"/>
      <c r="J25" s="38"/>
      <c r="K25" s="38"/>
      <c r="L25" s="38"/>
      <c r="M25" s="38"/>
      <c r="N25" s="38"/>
      <c r="O25" s="50"/>
      <c r="AA25" s="54">
        <f>IF(AA24 = "Date", $S$4, AA24+7)</f>
        <v>43984</v>
      </c>
      <c r="AB25" s="57" t="str">
        <f ca="1">PrimaryAreas(3)</f>
        <v>A1, A2</v>
      </c>
      <c r="AC25">
        <f>Output_Template[[#This Row],[WP_A1]]+Output_Template[[#This Row],[WP_A2]]+Output_Template[[#This Row],[WP_A3]]</f>
        <v>150</v>
      </c>
      <c r="AD25">
        <f>IF(AND(ISBLANK(Output_Template[[#This Row],[WA_A1]]),ISBLANK(Output_Template[[#This Row],[WA_A2]]),ISBLANK(Output_Template[[#This Row],[WA_A3]])), "", Output_Template[[#This Row],[WA_A1]]+Output_Template[[#This Row],[WA_A2]]+Output_Template[[#This Row],[WA_A3]])</f>
        <v>110</v>
      </c>
      <c r="AE25">
        <f>SUM($AC$14:AC25)</f>
        <v>1125</v>
      </c>
      <c r="AF25">
        <f>IF(AD25="",NA(),SUM($AD$14:AD25))</f>
        <v>825</v>
      </c>
      <c r="AG25" s="19">
        <v>75</v>
      </c>
      <c r="AH25" s="19">
        <v>55</v>
      </c>
      <c r="AI25" s="19">
        <v>75</v>
      </c>
      <c r="AJ25" s="19">
        <v>55</v>
      </c>
      <c r="AK25" s="19"/>
      <c r="AL25" s="19"/>
    </row>
    <row r="26" spans="2:38" ht="15.5" x14ac:dyDescent="0.35">
      <c r="B26" s="37"/>
      <c r="C26" s="38"/>
      <c r="D26" s="38"/>
      <c r="E26" s="38"/>
      <c r="F26" s="38"/>
      <c r="G26" s="38"/>
      <c r="H26" s="38"/>
      <c r="I26" s="38"/>
      <c r="J26" s="38"/>
      <c r="K26" s="38"/>
      <c r="L26" s="38"/>
      <c r="M26" s="38"/>
      <c r="N26" s="38"/>
      <c r="O26" s="50"/>
      <c r="AA26" s="54">
        <f>IF(AA25 = "Date", $S$4, AA25+7)</f>
        <v>43991</v>
      </c>
      <c r="AB26" s="57" t="str">
        <f ca="1">PrimaryAreas(3)</f>
        <v>A2</v>
      </c>
      <c r="AC26">
        <f>Output_Template[[#This Row],[WP_A1]]+Output_Template[[#This Row],[WP_A2]]+Output_Template[[#This Row],[WP_A3]]</f>
        <v>75</v>
      </c>
      <c r="AD26" s="19">
        <f>IF(AND(ISBLANK(Output_Template[[#This Row],[WA_A1]]),ISBLANK(Output_Template[[#This Row],[WA_A2]]),ISBLANK(Output_Template[[#This Row],[WA_A3]])), "", Output_Template[[#This Row],[WA_A1]]+Output_Template[[#This Row],[WA_A2]]+Output_Template[[#This Row],[WA_A3]])</f>
        <v>110</v>
      </c>
      <c r="AE26">
        <f>SUM($AC$14:AC26)</f>
        <v>1200</v>
      </c>
      <c r="AF26">
        <f>IF(AD26="",NA(),SUM($AD$14:AD26))</f>
        <v>935</v>
      </c>
      <c r="AG26" s="19"/>
      <c r="AH26" s="19">
        <v>55</v>
      </c>
      <c r="AI26" s="19">
        <v>75</v>
      </c>
      <c r="AJ26" s="19">
        <v>55</v>
      </c>
      <c r="AK26" s="19"/>
      <c r="AL26" s="19"/>
    </row>
    <row r="27" spans="2:38" ht="15.5" x14ac:dyDescent="0.35">
      <c r="B27" s="37"/>
      <c r="C27" s="38"/>
      <c r="D27" s="38"/>
      <c r="E27" s="38"/>
      <c r="F27" s="38"/>
      <c r="G27" s="38"/>
      <c r="H27" s="38"/>
      <c r="I27" s="38"/>
      <c r="J27" s="38"/>
      <c r="K27" s="38"/>
      <c r="L27" s="38"/>
      <c r="M27" s="38"/>
      <c r="N27" s="38"/>
      <c r="O27" s="50"/>
      <c r="AA27" s="54">
        <f>IF(AA26 = "Date", $S$4, AA26+7)</f>
        <v>43998</v>
      </c>
      <c r="AB27" s="57" t="str">
        <f ca="1">PrimaryAreas(3)</f>
        <v>A2</v>
      </c>
      <c r="AC27">
        <f>Output_Template[[#This Row],[WP_A1]]+Output_Template[[#This Row],[WP_A2]]+Output_Template[[#This Row],[WP_A3]]</f>
        <v>75</v>
      </c>
      <c r="AD27" s="19">
        <f>IF(AND(ISBLANK(Output_Template[[#This Row],[WA_A1]]),ISBLANK(Output_Template[[#This Row],[WA_A2]]),ISBLANK(Output_Template[[#This Row],[WA_A3]])), "", Output_Template[[#This Row],[WA_A1]]+Output_Template[[#This Row],[WA_A2]]+Output_Template[[#This Row],[WA_A3]])</f>
        <v>110</v>
      </c>
      <c r="AE27">
        <f>SUM($AC$14:AC27)</f>
        <v>1275</v>
      </c>
      <c r="AF27">
        <f>IF(AD27="",NA(),SUM($AD$14:AD27))</f>
        <v>1045</v>
      </c>
      <c r="AG27" s="19"/>
      <c r="AH27" s="19">
        <v>55</v>
      </c>
      <c r="AI27" s="19">
        <v>75</v>
      </c>
      <c r="AJ27" s="19">
        <v>55</v>
      </c>
      <c r="AK27" s="19"/>
      <c r="AL27" s="19"/>
    </row>
    <row r="28" spans="2:38" ht="15.5" x14ac:dyDescent="0.35">
      <c r="B28" s="37"/>
      <c r="C28" s="38"/>
      <c r="D28" s="38"/>
      <c r="E28" s="38"/>
      <c r="F28" s="38"/>
      <c r="G28" s="38"/>
      <c r="H28" s="38"/>
      <c r="I28" s="38"/>
      <c r="J28" s="38"/>
      <c r="K28" s="38"/>
      <c r="L28" s="38"/>
      <c r="M28" s="38"/>
      <c r="N28" s="38"/>
      <c r="O28" s="50"/>
      <c r="AA28" s="54">
        <f>IF(AA27 = "Date", $S$4, AA27+7)</f>
        <v>44005</v>
      </c>
      <c r="AB28" s="57" t="str">
        <f ca="1">PrimaryAreas(3)</f>
        <v>A2</v>
      </c>
      <c r="AC28">
        <f>Output_Template[[#This Row],[WP_A1]]+Output_Template[[#This Row],[WP_A2]]+Output_Template[[#This Row],[WP_A3]]</f>
        <v>75</v>
      </c>
      <c r="AD28" s="19">
        <f>IF(AND(ISBLANK(Output_Template[[#This Row],[WA_A1]]),ISBLANK(Output_Template[[#This Row],[WA_A2]]),ISBLANK(Output_Template[[#This Row],[WA_A3]])), "", Output_Template[[#This Row],[WA_A1]]+Output_Template[[#This Row],[WA_A2]]+Output_Template[[#This Row],[WA_A3]])</f>
        <v>55</v>
      </c>
      <c r="AE28">
        <f>SUM($AC$14:AC28)</f>
        <v>1350</v>
      </c>
      <c r="AF28">
        <f>IF(AD28="",NA(),SUM($AD$14:AD28))</f>
        <v>1100</v>
      </c>
      <c r="AG28" s="19"/>
      <c r="AH28" s="19"/>
      <c r="AI28" s="19">
        <v>75</v>
      </c>
      <c r="AJ28" s="19">
        <v>55</v>
      </c>
      <c r="AK28" s="19"/>
      <c r="AL28" s="19"/>
    </row>
    <row r="29" spans="2:38" ht="15.5" x14ac:dyDescent="0.35">
      <c r="B29" s="37"/>
      <c r="C29" s="38"/>
      <c r="D29" s="38"/>
      <c r="E29" s="38"/>
      <c r="F29" s="38"/>
      <c r="G29" s="38"/>
      <c r="H29" s="38"/>
      <c r="I29" s="38"/>
      <c r="J29" s="38"/>
      <c r="K29" s="38"/>
      <c r="L29" s="38"/>
      <c r="M29" s="38"/>
      <c r="N29" s="38"/>
      <c r="O29" s="50"/>
      <c r="AA29" s="54">
        <f>IF(AA28 = "Date", $S$4, AA28+7)</f>
        <v>44012</v>
      </c>
      <c r="AB29" s="57" t="str">
        <f ca="1">PrimaryAreas(3)</f>
        <v>A2</v>
      </c>
      <c r="AC29">
        <f>Output_Template[[#This Row],[WP_A1]]+Output_Template[[#This Row],[WP_A2]]+Output_Template[[#This Row],[WP_A3]]</f>
        <v>75</v>
      </c>
      <c r="AD29" s="19">
        <f>IF(AND(ISBLANK(Output_Template[[#This Row],[WA_A1]]),ISBLANK(Output_Template[[#This Row],[WA_A2]]),ISBLANK(Output_Template[[#This Row],[WA_A3]])), "", Output_Template[[#This Row],[WA_A1]]+Output_Template[[#This Row],[WA_A2]]+Output_Template[[#This Row],[WA_A3]])</f>
        <v>55</v>
      </c>
      <c r="AE29">
        <f>SUM($AC$14:AC29)</f>
        <v>1425</v>
      </c>
      <c r="AF29">
        <f>IF(AD29="",NA(),SUM($AD$14:AD29))</f>
        <v>1155</v>
      </c>
      <c r="AG29" s="19"/>
      <c r="AH29" s="19"/>
      <c r="AI29" s="19">
        <v>75</v>
      </c>
      <c r="AJ29" s="19">
        <v>55</v>
      </c>
      <c r="AK29" s="19"/>
      <c r="AL29" s="19"/>
    </row>
    <row r="30" spans="2:38" ht="15.5" x14ac:dyDescent="0.35">
      <c r="B30" s="37"/>
      <c r="C30" s="38"/>
      <c r="D30" s="38"/>
      <c r="E30" s="38"/>
      <c r="F30" s="38"/>
      <c r="G30" s="38"/>
      <c r="H30" s="38"/>
      <c r="I30" s="38"/>
      <c r="J30" s="38"/>
      <c r="K30" s="38"/>
      <c r="L30" s="38"/>
      <c r="M30" s="38"/>
      <c r="N30" s="38"/>
      <c r="O30" s="50"/>
      <c r="AA30" s="54">
        <f>IF(AA29 = "Date", $S$4, AA29+7)</f>
        <v>44019</v>
      </c>
      <c r="AB30" s="57" t="str">
        <f ca="1">PrimaryAreas(3)</f>
        <v>A2</v>
      </c>
      <c r="AC30">
        <f>Output_Template[[#This Row],[WP_A1]]+Output_Template[[#This Row],[WP_A2]]+Output_Template[[#This Row],[WP_A3]]</f>
        <v>75</v>
      </c>
      <c r="AD30" s="19">
        <f>IF(AND(ISBLANK(Output_Template[[#This Row],[WA_A1]]),ISBLANK(Output_Template[[#This Row],[WA_A2]]),ISBLANK(Output_Template[[#This Row],[WA_A3]])), "", Output_Template[[#This Row],[WA_A1]]+Output_Template[[#This Row],[WA_A2]]+Output_Template[[#This Row],[WA_A3]])</f>
        <v>55</v>
      </c>
      <c r="AE30">
        <f>SUM($AC$14:AC30)</f>
        <v>1500</v>
      </c>
      <c r="AF30">
        <f>IF(AD30="",NA(),SUM($AD$14:AD30))</f>
        <v>1210</v>
      </c>
      <c r="AG30" s="19"/>
      <c r="AH30" s="19"/>
      <c r="AI30" s="19">
        <v>75</v>
      </c>
      <c r="AJ30" s="19">
        <v>55</v>
      </c>
      <c r="AK30" s="19"/>
      <c r="AL30" s="19"/>
    </row>
    <row r="31" spans="2:38" ht="15.5" x14ac:dyDescent="0.35">
      <c r="B31" s="37"/>
      <c r="C31" s="38"/>
      <c r="D31" s="38"/>
      <c r="E31" s="38"/>
      <c r="F31" s="38"/>
      <c r="G31" s="38"/>
      <c r="H31" s="38"/>
      <c r="I31" s="38"/>
      <c r="J31" s="38"/>
      <c r="K31" s="38"/>
      <c r="L31" s="38"/>
      <c r="M31" s="38"/>
      <c r="N31" s="38"/>
      <c r="O31" s="50"/>
      <c r="AA31" s="54">
        <f>IF(AA30 = "Date", $S$4, AA30+7)</f>
        <v>44026</v>
      </c>
      <c r="AB31" s="57" t="str">
        <f ca="1">PrimaryAreas(3)</f>
        <v>A2</v>
      </c>
      <c r="AC31">
        <f>Output_Template[[#This Row],[WP_A1]]+Output_Template[[#This Row],[WP_A2]]+Output_Template[[#This Row],[WP_A3]]</f>
        <v>75</v>
      </c>
      <c r="AD31" s="19">
        <f>IF(AND(ISBLANK(Output_Template[[#This Row],[WA_A1]]),ISBLANK(Output_Template[[#This Row],[WA_A2]]),ISBLANK(Output_Template[[#This Row],[WA_A3]])), "", Output_Template[[#This Row],[WA_A1]]+Output_Template[[#This Row],[WA_A2]]+Output_Template[[#This Row],[WA_A3]])</f>
        <v>55</v>
      </c>
      <c r="AE31">
        <f>SUM($AC$14:AC31)</f>
        <v>1575</v>
      </c>
      <c r="AF31">
        <f>IF(AD31="",NA(),SUM($AD$14:AD31))</f>
        <v>1265</v>
      </c>
      <c r="AG31" s="19"/>
      <c r="AH31" s="19"/>
      <c r="AI31" s="19">
        <v>75</v>
      </c>
      <c r="AJ31" s="19">
        <v>55</v>
      </c>
      <c r="AK31" s="19"/>
      <c r="AL31" s="19"/>
    </row>
    <row r="32" spans="2:38" ht="15.5" x14ac:dyDescent="0.35">
      <c r="B32" s="37"/>
      <c r="C32" s="38"/>
      <c r="D32" s="38"/>
      <c r="E32" s="38"/>
      <c r="F32" s="38"/>
      <c r="G32" s="38"/>
      <c r="H32" s="38"/>
      <c r="I32" s="38"/>
      <c r="J32" s="38"/>
      <c r="K32" s="38"/>
      <c r="L32" s="38"/>
      <c r="M32" s="38"/>
      <c r="N32" s="38"/>
      <c r="O32" s="50"/>
      <c r="AA32" s="54">
        <f>IF(AA31 = "Date", $S$4, AA31+7)</f>
        <v>44033</v>
      </c>
      <c r="AB32" s="57" t="str">
        <f ca="1">PrimaryAreas(3)</f>
        <v>A2</v>
      </c>
      <c r="AC32">
        <f>Output_Template[[#This Row],[WP_A1]]+Output_Template[[#This Row],[WP_A2]]+Output_Template[[#This Row],[WP_A3]]</f>
        <v>75</v>
      </c>
      <c r="AD32" s="19">
        <f>IF(AND(ISBLANK(Output_Template[[#This Row],[WA_A1]]),ISBLANK(Output_Template[[#This Row],[WA_A2]]),ISBLANK(Output_Template[[#This Row],[WA_A3]])), "", Output_Template[[#This Row],[WA_A1]]+Output_Template[[#This Row],[WA_A2]]+Output_Template[[#This Row],[WA_A3]])</f>
        <v>55</v>
      </c>
      <c r="AE32">
        <f>SUM($AC$14:AC32)</f>
        <v>1650</v>
      </c>
      <c r="AF32">
        <f>IF(AD32="",NA(),SUM($AD$14:AD32))</f>
        <v>1320</v>
      </c>
      <c r="AG32" s="19"/>
      <c r="AH32" s="19"/>
      <c r="AI32" s="19">
        <v>75</v>
      </c>
      <c r="AJ32" s="19">
        <v>55</v>
      </c>
      <c r="AK32" s="19"/>
      <c r="AL32" s="19"/>
    </row>
    <row r="33" spans="2:38" ht="15.5" x14ac:dyDescent="0.35">
      <c r="B33" s="37"/>
      <c r="C33" s="38"/>
      <c r="D33" s="38"/>
      <c r="E33" s="38"/>
      <c r="F33" s="38"/>
      <c r="G33" s="38"/>
      <c r="H33" s="38"/>
      <c r="I33" s="38"/>
      <c r="J33" s="38"/>
      <c r="K33" s="38"/>
      <c r="L33" s="38"/>
      <c r="M33" s="38"/>
      <c r="N33" s="38"/>
      <c r="O33" s="50"/>
      <c r="AA33" s="54">
        <f>IF(AA32 = "Date", $S$4, AA32+7)</f>
        <v>44040</v>
      </c>
      <c r="AB33" s="57" t="str">
        <f ca="1">PrimaryAreas(3)</f>
        <v>A2</v>
      </c>
      <c r="AC33">
        <f>Output_Template[[#This Row],[WP_A1]]+Output_Template[[#This Row],[WP_A2]]+Output_Template[[#This Row],[WP_A3]]</f>
        <v>75</v>
      </c>
      <c r="AD33" s="19">
        <f>IF(AND(ISBLANK(Output_Template[[#This Row],[WA_A1]]),ISBLANK(Output_Template[[#This Row],[WA_A2]]),ISBLANK(Output_Template[[#This Row],[WA_A3]])), "", Output_Template[[#This Row],[WA_A1]]+Output_Template[[#This Row],[WA_A2]]+Output_Template[[#This Row],[WA_A3]])</f>
        <v>55</v>
      </c>
      <c r="AE33">
        <f>SUM($AC$14:AC33)</f>
        <v>1725</v>
      </c>
      <c r="AF33">
        <f>IF(AD33="",NA(),SUM($AD$14:AD33))</f>
        <v>1375</v>
      </c>
      <c r="AG33" s="19"/>
      <c r="AH33" s="19"/>
      <c r="AI33" s="19">
        <v>75</v>
      </c>
      <c r="AJ33" s="19">
        <v>55</v>
      </c>
      <c r="AK33" s="19"/>
      <c r="AL33" s="19"/>
    </row>
    <row r="34" spans="2:38" ht="15.5" x14ac:dyDescent="0.35">
      <c r="B34" s="37"/>
      <c r="C34" s="38"/>
      <c r="D34" s="38"/>
      <c r="E34" s="38"/>
      <c r="F34" s="38"/>
      <c r="G34" s="38"/>
      <c r="H34" s="38"/>
      <c r="I34" s="38"/>
      <c r="J34" s="38"/>
      <c r="K34" s="38"/>
      <c r="L34" s="38"/>
      <c r="M34" s="38"/>
      <c r="N34" s="38"/>
      <c r="O34" s="50"/>
      <c r="AA34" s="54">
        <f>IF(AA33 = "Date", $S$4, AA33+7)</f>
        <v>44047</v>
      </c>
      <c r="AB34" s="57" t="str">
        <f ca="1">PrimaryAreas(3)</f>
        <v>A2, A3</v>
      </c>
      <c r="AC34">
        <f>Output_Template[[#This Row],[WP_A1]]+Output_Template[[#This Row],[WP_A2]]+Output_Template[[#This Row],[WP_A3]]</f>
        <v>150</v>
      </c>
      <c r="AD34" s="19">
        <f>IF(AND(ISBLANK(Output_Template[[#This Row],[WA_A1]]),ISBLANK(Output_Template[[#This Row],[WA_A2]]),ISBLANK(Output_Template[[#This Row],[WA_A3]])), "", Output_Template[[#This Row],[WA_A1]]+Output_Template[[#This Row],[WA_A2]]+Output_Template[[#This Row],[WA_A3]])</f>
        <v>110</v>
      </c>
      <c r="AE34">
        <f>SUM($AC$14:AC34)</f>
        <v>1875</v>
      </c>
      <c r="AF34">
        <f>IF(AD34="",NA(),SUM($AD$14:AD34))</f>
        <v>1485</v>
      </c>
      <c r="AG34" s="19"/>
      <c r="AH34" s="19"/>
      <c r="AI34" s="19">
        <v>75</v>
      </c>
      <c r="AJ34" s="19">
        <v>55</v>
      </c>
      <c r="AK34" s="19">
        <v>75</v>
      </c>
      <c r="AL34" s="19">
        <v>55</v>
      </c>
    </row>
    <row r="35" spans="2:38" ht="15.5" x14ac:dyDescent="0.35">
      <c r="B35" s="37"/>
      <c r="C35" s="38"/>
      <c r="D35" s="38"/>
      <c r="E35" s="38"/>
      <c r="F35" s="38"/>
      <c r="G35" s="38"/>
      <c r="H35" s="38"/>
      <c r="I35" s="38"/>
      <c r="J35" s="38"/>
      <c r="K35" s="38"/>
      <c r="L35" s="38"/>
      <c r="M35" s="38"/>
      <c r="N35" s="38"/>
      <c r="O35" s="50"/>
      <c r="AA35" s="54">
        <f>IF(AA34 = "Date", $S$4, AA34+7)</f>
        <v>44054</v>
      </c>
      <c r="AB35" s="57" t="str">
        <f ca="1">PrimaryAreas(3)</f>
        <v>A2, A3</v>
      </c>
      <c r="AC35">
        <f>Output_Template[[#This Row],[WP_A1]]+Output_Template[[#This Row],[WP_A2]]+Output_Template[[#This Row],[WP_A3]]</f>
        <v>150</v>
      </c>
      <c r="AD35" s="19">
        <f>IF(AND(ISBLANK(Output_Template[[#This Row],[WA_A1]]),ISBLANK(Output_Template[[#This Row],[WA_A2]]),ISBLANK(Output_Template[[#This Row],[WA_A3]])), "", Output_Template[[#This Row],[WA_A1]]+Output_Template[[#This Row],[WA_A2]]+Output_Template[[#This Row],[WA_A3]])</f>
        <v>110</v>
      </c>
      <c r="AE35">
        <f>SUM($AC$14:AC35)</f>
        <v>2025</v>
      </c>
      <c r="AF35">
        <f>IF(AD35="",NA(),SUM($AD$14:AD35))</f>
        <v>1595</v>
      </c>
      <c r="AG35" s="19"/>
      <c r="AH35" s="19"/>
      <c r="AI35" s="19">
        <v>75</v>
      </c>
      <c r="AJ35" s="19">
        <v>55</v>
      </c>
      <c r="AK35" s="19">
        <v>75</v>
      </c>
      <c r="AL35" s="19">
        <v>55</v>
      </c>
    </row>
    <row r="36" spans="2:38" ht="15.5" x14ac:dyDescent="0.35">
      <c r="B36" s="37"/>
      <c r="C36" s="38"/>
      <c r="D36" s="38"/>
      <c r="E36" s="38"/>
      <c r="F36" s="38"/>
      <c r="G36" s="38"/>
      <c r="H36" s="38"/>
      <c r="I36" s="38"/>
      <c r="J36" s="38"/>
      <c r="K36" s="38"/>
      <c r="L36" s="38"/>
      <c r="M36" s="38"/>
      <c r="N36" s="38"/>
      <c r="O36" s="50"/>
      <c r="AA36" s="54">
        <f>IF(AA35 = "Date", $S$4, AA35+7)</f>
        <v>44061</v>
      </c>
      <c r="AB36" s="57" t="str">
        <f ca="1">PrimaryAreas(3)</f>
        <v>A3</v>
      </c>
      <c r="AC36">
        <f>Output_Template[[#This Row],[WP_A1]]+Output_Template[[#This Row],[WP_A2]]+Output_Template[[#This Row],[WP_A3]]</f>
        <v>75</v>
      </c>
      <c r="AD36" s="19">
        <f>IF(AND(ISBLANK(Output_Template[[#This Row],[WA_A1]]),ISBLANK(Output_Template[[#This Row],[WA_A2]]),ISBLANK(Output_Template[[#This Row],[WA_A3]])), "", Output_Template[[#This Row],[WA_A1]]+Output_Template[[#This Row],[WA_A2]]+Output_Template[[#This Row],[WA_A3]])</f>
        <v>55</v>
      </c>
      <c r="AE36">
        <f>SUM($AC$14:AC36)</f>
        <v>2100</v>
      </c>
      <c r="AF36">
        <f>IF(AD36="",NA(),SUM($AD$14:AD36))</f>
        <v>1650</v>
      </c>
      <c r="AG36" s="19"/>
      <c r="AH36" s="19"/>
      <c r="AI36" s="19"/>
      <c r="AJ36" s="19"/>
      <c r="AK36" s="19">
        <v>75</v>
      </c>
      <c r="AL36" s="19">
        <v>55</v>
      </c>
    </row>
    <row r="37" spans="2:38" ht="15.5" x14ac:dyDescent="0.35">
      <c r="B37" s="37"/>
      <c r="C37" s="38"/>
      <c r="D37" s="38"/>
      <c r="E37" s="38"/>
      <c r="F37" s="38"/>
      <c r="G37" s="38"/>
      <c r="H37" s="38"/>
      <c r="I37" s="38"/>
      <c r="J37" s="38"/>
      <c r="K37" s="38"/>
      <c r="L37" s="38"/>
      <c r="M37" s="38"/>
      <c r="N37" s="38"/>
      <c r="O37" s="50"/>
      <c r="AA37" s="54">
        <f>IF(AA36 = "Date", $S$4, AA36+7)</f>
        <v>44068</v>
      </c>
      <c r="AB37" s="57" t="str">
        <f ca="1">PrimaryAreas(3)</f>
        <v>A3</v>
      </c>
      <c r="AC37">
        <f>Output_Template[[#This Row],[WP_A1]]+Output_Template[[#This Row],[WP_A2]]+Output_Template[[#This Row],[WP_A3]]</f>
        <v>75</v>
      </c>
      <c r="AD37" s="19">
        <f>IF(AND(ISBLANK(Output_Template[[#This Row],[WA_A1]]),ISBLANK(Output_Template[[#This Row],[WA_A2]]),ISBLANK(Output_Template[[#This Row],[WA_A3]])), "", Output_Template[[#This Row],[WA_A1]]+Output_Template[[#This Row],[WA_A2]]+Output_Template[[#This Row],[WA_A3]])</f>
        <v>55</v>
      </c>
      <c r="AE37">
        <f>SUM($AC$14:AC37)</f>
        <v>2175</v>
      </c>
      <c r="AF37">
        <f>IF(AD37="",NA(),SUM($AD$14:AD37))</f>
        <v>1705</v>
      </c>
      <c r="AG37" s="19"/>
      <c r="AH37" s="19"/>
      <c r="AI37" s="19"/>
      <c r="AJ37" s="19"/>
      <c r="AK37" s="19">
        <v>75</v>
      </c>
      <c r="AL37" s="19">
        <v>55</v>
      </c>
    </row>
    <row r="38" spans="2:38" ht="15.5" x14ac:dyDescent="0.35">
      <c r="B38" s="37"/>
      <c r="C38" s="38"/>
      <c r="D38" s="38"/>
      <c r="E38" s="38"/>
      <c r="F38" s="38"/>
      <c r="G38" s="38"/>
      <c r="H38" s="38"/>
      <c r="I38" s="38"/>
      <c r="J38" s="38"/>
      <c r="K38" s="38"/>
      <c r="L38" s="38"/>
      <c r="M38" s="38"/>
      <c r="N38" s="38"/>
      <c r="O38" s="50"/>
      <c r="AA38" s="54">
        <f>IF(AA37 = "Date", $S$4, AA37+7)</f>
        <v>44075</v>
      </c>
      <c r="AB38" s="57" t="str">
        <f ca="1">PrimaryAreas(3)</f>
        <v>A3</v>
      </c>
      <c r="AC38">
        <f>Output_Template[[#This Row],[WP_A1]]+Output_Template[[#This Row],[WP_A2]]+Output_Template[[#This Row],[WP_A3]]</f>
        <v>75</v>
      </c>
      <c r="AD38" s="19">
        <f>IF(AND(ISBLANK(Output_Template[[#This Row],[WA_A1]]),ISBLANK(Output_Template[[#This Row],[WA_A2]]),ISBLANK(Output_Template[[#This Row],[WA_A3]])), "", Output_Template[[#This Row],[WA_A1]]+Output_Template[[#This Row],[WA_A2]]+Output_Template[[#This Row],[WA_A3]])</f>
        <v>55</v>
      </c>
      <c r="AE38">
        <f>SUM($AC$14:AC38)</f>
        <v>2250</v>
      </c>
      <c r="AF38">
        <f>IF(AD38="",NA(),SUM($AD$14:AD38))</f>
        <v>1760</v>
      </c>
      <c r="AG38" s="19"/>
      <c r="AH38" s="19"/>
      <c r="AI38" s="19"/>
      <c r="AJ38" s="19"/>
      <c r="AK38" s="19">
        <v>75</v>
      </c>
      <c r="AL38" s="19">
        <v>55</v>
      </c>
    </row>
    <row r="39" spans="2:38" ht="15.5" x14ac:dyDescent="0.35">
      <c r="B39" s="37"/>
      <c r="C39" s="38"/>
      <c r="D39" s="38"/>
      <c r="E39" s="38"/>
      <c r="F39" s="38"/>
      <c r="G39" s="38"/>
      <c r="H39" s="38"/>
      <c r="I39" s="38"/>
      <c r="J39" s="38"/>
      <c r="K39" s="38"/>
      <c r="L39" s="38"/>
      <c r="M39" s="38"/>
      <c r="N39" s="38"/>
      <c r="O39" s="50"/>
      <c r="AA39" s="54">
        <f>IF(AA38 = "Date", $S$4, AA38+7)</f>
        <v>44082</v>
      </c>
      <c r="AB39" s="57" t="str">
        <f ca="1">PrimaryAreas(3)</f>
        <v>A3</v>
      </c>
      <c r="AC39">
        <f>Output_Template[[#This Row],[WP_A1]]+Output_Template[[#This Row],[WP_A2]]+Output_Template[[#This Row],[WP_A3]]</f>
        <v>75</v>
      </c>
      <c r="AD39" s="19">
        <f>IF(AND(ISBLANK(Output_Template[[#This Row],[WA_A1]]),ISBLANK(Output_Template[[#This Row],[WA_A2]]),ISBLANK(Output_Template[[#This Row],[WA_A3]])), "", Output_Template[[#This Row],[WA_A1]]+Output_Template[[#This Row],[WA_A2]]+Output_Template[[#This Row],[WA_A3]])</f>
        <v>55</v>
      </c>
      <c r="AE39">
        <f>SUM($AC$14:AC39)</f>
        <v>2325</v>
      </c>
      <c r="AF39">
        <f>IF(AD39="",NA(),SUM($AD$14:AD39))</f>
        <v>1815</v>
      </c>
      <c r="AG39" s="19"/>
      <c r="AH39" s="19"/>
      <c r="AI39" s="19"/>
      <c r="AJ39" s="19"/>
      <c r="AK39" s="19">
        <v>75</v>
      </c>
      <c r="AL39" s="19">
        <v>55</v>
      </c>
    </row>
    <row r="40" spans="2:38" ht="16" thickBot="1" x14ac:dyDescent="0.4">
      <c r="B40" s="51"/>
      <c r="C40" s="52"/>
      <c r="D40" s="52"/>
      <c r="E40" s="52"/>
      <c r="F40" s="52"/>
      <c r="G40" s="52"/>
      <c r="H40" s="52"/>
      <c r="I40" s="52"/>
      <c r="J40" s="52"/>
      <c r="K40" s="52"/>
      <c r="L40" s="52"/>
      <c r="M40" s="52"/>
      <c r="N40" s="52"/>
      <c r="O40" s="53"/>
      <c r="AA40" s="54">
        <f>IF(AA39 = "Date", $S$4, AA39+7)</f>
        <v>44089</v>
      </c>
      <c r="AB40" s="57" t="str">
        <f t="shared" ref="AB40:AB43" ca="1" si="0">PrimaryAreas(3)</f>
        <v>A3</v>
      </c>
      <c r="AC40">
        <f>Output_Template[[#This Row],[WP_A1]]+Output_Template[[#This Row],[WP_A2]]+Output_Template[[#This Row],[WP_A3]]</f>
        <v>75</v>
      </c>
      <c r="AD40" s="19">
        <f>IF(AND(ISBLANK(Output_Template[[#This Row],[WA_A1]]),ISBLANK(Output_Template[[#This Row],[WA_A2]]),ISBLANK(Output_Template[[#This Row],[WA_A3]])), "", Output_Template[[#This Row],[WA_A1]]+Output_Template[[#This Row],[WA_A2]]+Output_Template[[#This Row],[WA_A3]])</f>
        <v>55</v>
      </c>
      <c r="AE40">
        <f>SUM($AC$14:AC40)</f>
        <v>2400</v>
      </c>
      <c r="AF40">
        <f>IF(AD40="",NA(),SUM($AD$14:AD40))</f>
        <v>1870</v>
      </c>
      <c r="AG40" s="19"/>
      <c r="AH40" s="19"/>
      <c r="AI40" s="19"/>
      <c r="AJ40" s="19"/>
      <c r="AK40" s="19">
        <v>75</v>
      </c>
      <c r="AL40" s="19">
        <v>55</v>
      </c>
    </row>
    <row r="41" spans="2:38" ht="14.5" x14ac:dyDescent="0.35">
      <c r="AA41" s="54">
        <f>IF(AA40 = "Date", $S$4, AA40+7)</f>
        <v>44096</v>
      </c>
      <c r="AB41" s="57" t="str">
        <f t="shared" ca="1" si="0"/>
        <v>A3</v>
      </c>
      <c r="AC41">
        <f>Output_Template[[#This Row],[WP_A1]]+Output_Template[[#This Row],[WP_A2]]+Output_Template[[#This Row],[WP_A3]]</f>
        <v>77</v>
      </c>
      <c r="AD41" s="19">
        <f>IF(AND(ISBLANK(Output_Template[[#This Row],[WA_A1]]),ISBLANK(Output_Template[[#This Row],[WA_A2]]),ISBLANK(Output_Template[[#This Row],[WA_A3]])), "", Output_Template[[#This Row],[WA_A1]]+Output_Template[[#This Row],[WA_A2]]+Output_Template[[#This Row],[WA_A3]])</f>
        <v>75</v>
      </c>
      <c r="AE41">
        <f>SUM($AC$14:AC41)</f>
        <v>2477</v>
      </c>
      <c r="AF41">
        <f>IF(AD41="",NA(),SUM($AD$14:AD41))</f>
        <v>1945</v>
      </c>
      <c r="AG41" s="19"/>
      <c r="AH41" s="19"/>
      <c r="AI41" s="19"/>
      <c r="AJ41" s="19"/>
      <c r="AK41" s="19">
        <v>77</v>
      </c>
      <c r="AL41" s="19">
        <v>75</v>
      </c>
    </row>
    <row r="42" spans="2:38" ht="14.5" x14ac:dyDescent="0.35">
      <c r="AA42" s="54">
        <f>IF(AA41 = "Date", $S$4, AA41+7)</f>
        <v>44103</v>
      </c>
      <c r="AB42" s="57" t="str">
        <f t="shared" ca="1" si="0"/>
        <v>A3</v>
      </c>
      <c r="AC42">
        <f>Output_Template[[#This Row],[WP_A1]]+Output_Template[[#This Row],[WP_A2]]+Output_Template[[#This Row],[WP_A3]]</f>
        <v>55</v>
      </c>
      <c r="AD42" s="19">
        <f>IF(AND(ISBLANK(Output_Template[[#This Row],[WA_A1]]),ISBLANK(Output_Template[[#This Row],[WA_A2]]),ISBLANK(Output_Template[[#This Row],[WA_A3]])), "", Output_Template[[#This Row],[WA_A1]]+Output_Template[[#This Row],[WA_A2]]+Output_Template[[#This Row],[WA_A3]])</f>
        <v>75</v>
      </c>
      <c r="AE42">
        <f>SUM($AC$14:AC42)</f>
        <v>2532</v>
      </c>
      <c r="AF42">
        <f>IF(AD42="",NA(),SUM($AD$14:AD42))</f>
        <v>2020</v>
      </c>
      <c r="AG42" s="19"/>
      <c r="AH42" s="19"/>
      <c r="AI42" s="19"/>
      <c r="AJ42" s="19"/>
      <c r="AK42" s="19">
        <v>55</v>
      </c>
      <c r="AL42" s="19">
        <v>75</v>
      </c>
    </row>
    <row r="43" spans="2:38" ht="14.5" x14ac:dyDescent="0.35">
      <c r="AA43" s="54">
        <f>IF(AA42 = "Date", $S$4, AA42+7)</f>
        <v>44110</v>
      </c>
      <c r="AB43" s="57" t="str">
        <f t="shared" ca="1" si="0"/>
        <v>A3</v>
      </c>
      <c r="AC43">
        <f>Output_Template[[#This Row],[WP_A1]]+Output_Template[[#This Row],[WP_A2]]+Output_Template[[#This Row],[WP_A3]]</f>
        <v>75</v>
      </c>
      <c r="AD43" s="19">
        <f>IF(AND(ISBLANK(Output_Template[[#This Row],[WA_A1]]),ISBLANK(Output_Template[[#This Row],[WA_A2]]),ISBLANK(Output_Template[[#This Row],[WA_A3]])), "", Output_Template[[#This Row],[WA_A1]]+Output_Template[[#This Row],[WA_A2]]+Output_Template[[#This Row],[WA_A3]])</f>
        <v>75</v>
      </c>
      <c r="AE43">
        <f>SUM($AC$14:AC43)</f>
        <v>2607</v>
      </c>
      <c r="AF43">
        <f>IF(AD43="",NA(),SUM($AD$14:AD43))</f>
        <v>2095</v>
      </c>
      <c r="AG43" s="19"/>
      <c r="AH43" s="19"/>
      <c r="AI43" s="19"/>
      <c r="AJ43" s="19"/>
      <c r="AK43" s="19">
        <v>75</v>
      </c>
      <c r="AL43" s="19">
        <v>75</v>
      </c>
    </row>
  </sheetData>
  <mergeCells count="18">
    <mergeCell ref="J11:M11"/>
    <mergeCell ref="B2:O3"/>
    <mergeCell ref="C4:I4"/>
    <mergeCell ref="J4:M4"/>
    <mergeCell ref="C5:I5"/>
    <mergeCell ref="J5:M5"/>
    <mergeCell ref="C6:I6"/>
    <mergeCell ref="J6:M6"/>
    <mergeCell ref="C7:I7"/>
    <mergeCell ref="J7:M7"/>
    <mergeCell ref="J8:M8"/>
    <mergeCell ref="J9:M9"/>
    <mergeCell ref="J10:M10"/>
    <mergeCell ref="J12:M12"/>
    <mergeCell ref="N12:O12"/>
    <mergeCell ref="J13:M13"/>
    <mergeCell ref="N13:O13"/>
    <mergeCell ref="L14:O15"/>
  </mergeCells>
  <phoneticPr fontId="6" type="noConversion"/>
  <conditionalFormatting sqref="AF14:AL43">
    <cfRule type="containsErrors" dxfId="2" priority="1">
      <formula>ISERROR(AF14)</formula>
    </cfRule>
  </conditionalFormatting>
  <dataValidations count="2">
    <dataValidation type="list" showInputMessage="1" showErrorMessage="1" sqref="S8" xr:uid="{87A05692-0E71-429C-8F5D-6A6BF79ADEFF}">
      <formula1>"Manual, Assemble Addin, Bluebeam QL"</formula1>
    </dataValidation>
    <dataValidation type="list" showInputMessage="1" showErrorMessage="1" sqref="U2:U8" xr:uid="{BC675DFB-B567-499A-B2C6-ACEA7CB3A9A7}">
      <formula1>"TRUE, FALSE"</formula1>
    </dataValidation>
  </dataValidations>
  <pageMargins left="0.7" right="0.7" top="0.75" bottom="0.75" header="0.3" footer="0.3"/>
  <pageSetup paperSize="256" scale="85" orientation="landscape" horizontalDpi="1200" verticalDpi="1200" r:id="rId1"/>
  <drawing r:id="rId2"/>
  <legacyDrawing r:id="rId3"/>
  <tableParts count="2">
    <tablePart r:id="rId4"/>
    <tablePart r:id="rId5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05CF69-3F71-4E0F-B512-CF0040394787}">
  <sheetPr codeName="Sheet1"/>
  <dimension ref="B1:L18"/>
  <sheetViews>
    <sheetView workbookViewId="0">
      <selection activeCell="C7" sqref="C7"/>
    </sheetView>
  </sheetViews>
  <sheetFormatPr defaultRowHeight="14.5" x14ac:dyDescent="0.35"/>
  <cols>
    <col min="1" max="1" width="2.6328125" customWidth="1"/>
    <col min="2" max="2" width="18.36328125" bestFit="1" customWidth="1"/>
    <col min="3" max="3" width="35.54296875" customWidth="1"/>
    <col min="4" max="4" width="2.36328125" customWidth="1"/>
    <col min="5" max="5" width="17.81640625" bestFit="1" customWidth="1"/>
    <col min="6" max="6" width="14.36328125" customWidth="1"/>
    <col min="7" max="7" width="2.6328125" customWidth="1"/>
    <col min="8" max="8" width="17.453125" customWidth="1"/>
    <col min="9" max="10" width="2.6328125" customWidth="1"/>
    <col min="11" max="11" width="23.08984375" bestFit="1" customWidth="1"/>
    <col min="12" max="12" width="86.6328125" bestFit="1" customWidth="1"/>
  </cols>
  <sheetData>
    <row r="1" spans="2:12" ht="15.5" x14ac:dyDescent="0.35">
      <c r="E1" s="76" t="s">
        <v>5</v>
      </c>
      <c r="F1" s="76"/>
      <c r="H1" s="2" t="s">
        <v>9</v>
      </c>
      <c r="K1" s="5" t="s">
        <v>12</v>
      </c>
      <c r="L1" s="5" t="s">
        <v>17</v>
      </c>
    </row>
    <row r="2" spans="2:12" ht="15.5" x14ac:dyDescent="0.35">
      <c r="B2" s="77" t="s">
        <v>6</v>
      </c>
      <c r="C2" s="77"/>
      <c r="E2" t="s">
        <v>0</v>
      </c>
      <c r="F2" t="s">
        <v>7</v>
      </c>
      <c r="H2" t="s">
        <v>3</v>
      </c>
    </row>
    <row r="3" spans="2:12" x14ac:dyDescent="0.35">
      <c r="B3" s="3" t="s">
        <v>10</v>
      </c>
      <c r="C3" s="4" t="s">
        <v>16</v>
      </c>
      <c r="E3" t="s">
        <v>1</v>
      </c>
      <c r="F3" t="b">
        <v>1</v>
      </c>
      <c r="H3" s="1">
        <v>43976</v>
      </c>
    </row>
    <row r="4" spans="2:12" x14ac:dyDescent="0.35">
      <c r="B4" s="3" t="s">
        <v>13</v>
      </c>
      <c r="C4" s="4" t="s">
        <v>15</v>
      </c>
      <c r="E4" t="s">
        <v>2</v>
      </c>
      <c r="F4" t="b">
        <v>1</v>
      </c>
      <c r="H4" s="1">
        <v>44190</v>
      </c>
    </row>
    <row r="5" spans="2:12" x14ac:dyDescent="0.35">
      <c r="B5" t="s">
        <v>8</v>
      </c>
      <c r="C5" s="6">
        <v>44652</v>
      </c>
      <c r="E5" t="s">
        <v>4</v>
      </c>
      <c r="F5" t="b">
        <v>1</v>
      </c>
      <c r="H5" s="1">
        <v>44197</v>
      </c>
    </row>
    <row r="6" spans="2:12" x14ac:dyDescent="0.35">
      <c r="B6" t="s">
        <v>14</v>
      </c>
      <c r="C6" s="4" t="str">
        <f>C4&amp;" Power BI Export.xlsx"</f>
        <v>S000 Power BI Export.xlsx</v>
      </c>
      <c r="E6" t="s">
        <v>11</v>
      </c>
      <c r="F6" t="b">
        <v>0</v>
      </c>
      <c r="H6" s="1"/>
    </row>
    <row r="7" spans="2:12" x14ac:dyDescent="0.35">
      <c r="B7" t="s">
        <v>19</v>
      </c>
      <c r="C7" s="4" t="s">
        <v>98</v>
      </c>
      <c r="H7" s="1"/>
    </row>
    <row r="8" spans="2:12" x14ac:dyDescent="0.35">
      <c r="B8" t="s">
        <v>21</v>
      </c>
      <c r="C8" s="4" t="s">
        <v>23</v>
      </c>
      <c r="H8" s="1"/>
    </row>
    <row r="9" spans="2:12" x14ac:dyDescent="0.35">
      <c r="B9" t="s">
        <v>22</v>
      </c>
      <c r="C9" s="4" t="s">
        <v>24</v>
      </c>
      <c r="H9" s="1"/>
    </row>
    <row r="10" spans="2:12" x14ac:dyDescent="0.35">
      <c r="B10" t="s">
        <v>26</v>
      </c>
      <c r="C10" s="4" t="s">
        <v>25</v>
      </c>
      <c r="H10" s="1"/>
    </row>
    <row r="11" spans="2:12" x14ac:dyDescent="0.35">
      <c r="H11" s="1"/>
    </row>
    <row r="12" spans="2:12" x14ac:dyDescent="0.35">
      <c r="H12" s="1"/>
    </row>
    <row r="13" spans="2:12" x14ac:dyDescent="0.35">
      <c r="H13" s="1"/>
    </row>
    <row r="14" spans="2:12" x14ac:dyDescent="0.35">
      <c r="H14" s="1"/>
    </row>
    <row r="15" spans="2:12" x14ac:dyDescent="0.35">
      <c r="H15" s="1"/>
    </row>
    <row r="16" spans="2:12" x14ac:dyDescent="0.35">
      <c r="H16" s="1"/>
    </row>
    <row r="17" spans="8:8" x14ac:dyDescent="0.35">
      <c r="H17" s="1"/>
    </row>
    <row r="18" spans="8:8" x14ac:dyDescent="0.35">
      <c r="H18" s="1"/>
    </row>
  </sheetData>
  <mergeCells count="2">
    <mergeCell ref="E1:F1"/>
    <mergeCell ref="B2:C2"/>
  </mergeCells>
  <phoneticPr fontId="6" type="noConversion"/>
  <dataValidations count="5">
    <dataValidation type="list" showInputMessage="1" showErrorMessage="1" promptTitle="Power BI Live Update" prompt="Don't have the option of enabeling this yet because I haven't developed it yet. It's on the roadmap." sqref="F6" xr:uid="{1A6F5007-0837-4215-8932-09323C5525EA}">
      <formula1>"FALSE"</formula1>
    </dataValidation>
    <dataValidation type="list" allowBlank="1" showInputMessage="1" showErrorMessage="1" sqref="C7" xr:uid="{0C185D3D-BBC3-4BF2-B9C7-ACC667595C41}">
      <formula1>"Sunday, Monday, Tuesday, Wednesday, Thursday, Friday, Saturday"</formula1>
    </dataValidation>
    <dataValidation type="list" showInputMessage="1" showErrorMessage="1" promptTitle="Dev Mode" prompt="Some added logging and such but should be False on any release version." sqref="F3" xr:uid="{E98BB627-451F-433A-9A4D-EA6E1964D7F8}">
      <formula1>"TRUE, FALSE"</formula1>
    </dataValidation>
    <dataValidation type="list" showInputMessage="1" showErrorMessage="1" promptTitle="Logging" prompt="Recommend keeping this true.  Adds a log file named the same as the filename in the same folder. I need this file to help debug any problems." sqref="F4" xr:uid="{3C80C55E-79CC-4934-AACA-E7A1DBBB3FEA}">
      <formula1>"TRUE, FALSE"</formula1>
    </dataValidation>
    <dataValidation type="list" showInputMessage="1" showErrorMessage="1" promptTitle="Half Production After Holiday" prompt="This setting adds half production for the day after a holiday on the schedule. (Also half production for the week of Christmas)" sqref="F5" xr:uid="{99DB0BEB-D9A3-46F5-B50F-0AEE7303E4ED}">
      <formula1>"TRUE, FALSE"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1" r:id="rId4" name="Button 7">
              <controlPr defaultSize="0" print="0" autoFill="0" autoPict="0" macro="[0]!UpdatePowerBIExportFolderPath">
                <anchor moveWithCells="1" sizeWithCells="1">
                  <from>
                    <xdr:col>10</xdr:col>
                    <xdr:colOff>19050</xdr:colOff>
                    <xdr:row>1</xdr:row>
                    <xdr:rowOff>19050</xdr:rowOff>
                  </from>
                  <to>
                    <xdr:col>10</xdr:col>
                    <xdr:colOff>1644650</xdr:colOff>
                    <xdr:row>2</xdr:row>
                    <xdr:rowOff>165100</xdr:rowOff>
                  </to>
                </anchor>
              </controlPr>
            </control>
          </mc:Choice>
        </mc:AlternateContent>
      </controls>
    </mc:Choice>
  </mc:AlternateContent>
  <tableParts count="2">
    <tablePart r:id="rId5"/>
    <tablePart r:id="rId6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09646A-0D28-4BAA-8E28-B92023747369}">
  <sheetPr codeName="Sheet2">
    <pageSetUpPr fitToPage="1"/>
  </sheetPr>
  <dimension ref="B2:K707"/>
  <sheetViews>
    <sheetView zoomScale="115" zoomScaleNormal="115" workbookViewId="0">
      <selection activeCell="H10" sqref="H10"/>
    </sheetView>
  </sheetViews>
  <sheetFormatPr defaultRowHeight="14.5" x14ac:dyDescent="0.35"/>
  <cols>
    <col min="1" max="1" width="2.1796875" customWidth="1"/>
    <col min="2" max="2" width="45.08984375" style="8" customWidth="1"/>
    <col min="3" max="3" width="27.453125" style="8" customWidth="1"/>
    <col min="4" max="5" width="10.90625" style="10" customWidth="1"/>
    <col min="6" max="6" width="2.26953125" customWidth="1"/>
    <col min="7" max="7" width="21.6328125" style="19" bestFit="1" customWidth="1"/>
    <col min="8" max="8" width="15.1796875" customWidth="1"/>
    <col min="9" max="10" width="14.1796875" customWidth="1"/>
  </cols>
  <sheetData>
    <row r="2" spans="2:11" ht="28" customHeight="1" x14ac:dyDescent="0.35">
      <c r="B2" s="79" t="str">
        <f>"PROGRESS REPORT "&amp; TEXT(Report_Date, "mm/dd/yyy")</f>
        <v>PROGRESS REPORT 05/20/2020</v>
      </c>
      <c r="C2" s="79"/>
      <c r="D2" s="79"/>
      <c r="E2" s="79"/>
    </row>
    <row r="3" spans="2:11" ht="8" customHeight="1" x14ac:dyDescent="0.35"/>
    <row r="4" spans="2:11" ht="17.5" x14ac:dyDescent="0.35">
      <c r="B4" s="7" t="str">
        <f>Project_Number &amp; " - " &amp; Project_Name</f>
        <v>S000 - Westland Super Cool Project</v>
      </c>
    </row>
    <row r="5" spans="2:11" ht="6" customHeight="1" x14ac:dyDescent="0.35"/>
    <row r="6" spans="2:11" x14ac:dyDescent="0.35">
      <c r="B6" s="8" t="str">
        <f>"Project Manager(s): " &amp; Project_Manager</f>
        <v>Project Manager(s): Default 1</v>
      </c>
      <c r="G6" s="20" t="s">
        <v>18</v>
      </c>
      <c r="H6" s="14">
        <v>43971</v>
      </c>
    </row>
    <row r="7" spans="2:11" x14ac:dyDescent="0.35">
      <c r="B7" s="8" t="str">
        <f>"Project Engineer(s): " &amp; Project_Engineer</f>
        <v>Project Engineer(s): Default 2</v>
      </c>
      <c r="G7" s="20" t="s">
        <v>36</v>
      </c>
      <c r="H7" s="15" t="s">
        <v>20</v>
      </c>
    </row>
    <row r="8" spans="2:11" x14ac:dyDescent="0.35">
      <c r="B8" s="8" t="str">
        <f>"Superintendent(s):  " &amp; Superintendent</f>
        <v>Superintendent(s):  Default 3</v>
      </c>
      <c r="G8" s="20" t="s">
        <v>39</v>
      </c>
      <c r="H8" s="16">
        <v>0.06</v>
      </c>
    </row>
    <row r="9" spans="2:11" ht="10" customHeight="1" x14ac:dyDescent="0.35"/>
    <row r="10" spans="2:11" ht="16.5" x14ac:dyDescent="0.35">
      <c r="B10" s="11" t="s">
        <v>27</v>
      </c>
      <c r="C10" s="11" t="s">
        <v>28</v>
      </c>
      <c r="D10" s="12" t="s">
        <v>29</v>
      </c>
      <c r="E10" s="12" t="s">
        <v>30</v>
      </c>
      <c r="F10" s="21"/>
      <c r="G10" s="21" t="s">
        <v>46</v>
      </c>
      <c r="H10" s="18" t="s">
        <v>42</v>
      </c>
      <c r="I10" s="12" t="s">
        <v>45</v>
      </c>
      <c r="J10" s="12" t="s">
        <v>44</v>
      </c>
    </row>
    <row r="11" spans="2:11" ht="15" x14ac:dyDescent="0.35">
      <c r="B11" s="78" t="s">
        <v>31</v>
      </c>
      <c r="C11" s="78"/>
      <c r="D11" s="78"/>
      <c r="E11" s="78"/>
      <c r="F11" s="23"/>
      <c r="G11" s="23"/>
      <c r="H11" s="23"/>
      <c r="I11" s="23"/>
      <c r="J11" s="23"/>
      <c r="K11" t="s">
        <v>48</v>
      </c>
    </row>
    <row r="12" spans="2:11" x14ac:dyDescent="0.35">
      <c r="B12" s="9" t="s">
        <v>40</v>
      </c>
      <c r="C12" s="8" t="s">
        <v>37</v>
      </c>
      <c r="D12" s="10">
        <v>0.5</v>
      </c>
      <c r="E12" s="10">
        <v>0.45</v>
      </c>
      <c r="G12" s="22"/>
      <c r="H12" s="17" t="s">
        <v>43</v>
      </c>
    </row>
    <row r="13" spans="2:11" x14ac:dyDescent="0.35">
      <c r="B13" s="9" t="s">
        <v>41</v>
      </c>
      <c r="C13" s="8" t="s">
        <v>38</v>
      </c>
      <c r="D13" s="10">
        <v>0.34</v>
      </c>
      <c r="E13" s="10">
        <v>0.4</v>
      </c>
      <c r="G13" s="1"/>
      <c r="H13" s="17" t="s">
        <v>47</v>
      </c>
    </row>
    <row r="14" spans="2:11" x14ac:dyDescent="0.35">
      <c r="B14" s="13"/>
      <c r="G14" s="1"/>
      <c r="H14" s="17"/>
    </row>
    <row r="15" spans="2:11" ht="15" x14ac:dyDescent="0.35">
      <c r="B15" s="78" t="s">
        <v>32</v>
      </c>
      <c r="C15" s="78"/>
      <c r="D15" s="78"/>
      <c r="E15" s="78"/>
      <c r="F15" s="23"/>
      <c r="G15" s="23"/>
      <c r="H15" s="23"/>
      <c r="I15" s="23"/>
      <c r="J15" s="23"/>
    </row>
    <row r="16" spans="2:11" x14ac:dyDescent="0.35">
      <c r="G16" s="1"/>
      <c r="H16" s="17"/>
    </row>
    <row r="17" spans="2:10" x14ac:dyDescent="0.35">
      <c r="G17" s="1"/>
      <c r="H17" s="17"/>
    </row>
    <row r="18" spans="2:10" ht="15" x14ac:dyDescent="0.35">
      <c r="B18" s="78" t="s">
        <v>33</v>
      </c>
      <c r="C18" s="78"/>
      <c r="D18" s="78"/>
      <c r="E18" s="78"/>
      <c r="F18" s="23"/>
      <c r="G18" s="23"/>
      <c r="H18" s="23"/>
      <c r="I18" s="23"/>
      <c r="J18" s="23"/>
    </row>
    <row r="19" spans="2:10" x14ac:dyDescent="0.35">
      <c r="G19" s="1"/>
      <c r="H19" s="17"/>
    </row>
    <row r="20" spans="2:10" x14ac:dyDescent="0.35">
      <c r="G20" s="1"/>
      <c r="H20" s="17"/>
    </row>
    <row r="21" spans="2:10" ht="15" x14ac:dyDescent="0.35">
      <c r="B21" s="78" t="s">
        <v>34</v>
      </c>
      <c r="C21" s="78"/>
      <c r="D21" s="78"/>
      <c r="E21" s="78"/>
      <c r="F21" s="23"/>
      <c r="G21" s="23"/>
      <c r="H21" s="23"/>
      <c r="I21" s="23"/>
      <c r="J21" s="23"/>
    </row>
    <row r="22" spans="2:10" x14ac:dyDescent="0.35">
      <c r="G22" s="1"/>
      <c r="H22" s="17"/>
    </row>
    <row r="23" spans="2:10" x14ac:dyDescent="0.35">
      <c r="G23" s="1"/>
      <c r="H23" s="17"/>
    </row>
    <row r="24" spans="2:10" ht="15" x14ac:dyDescent="0.35">
      <c r="B24" s="78" t="s">
        <v>35</v>
      </c>
      <c r="C24" s="78"/>
      <c r="D24" s="78"/>
      <c r="E24" s="78"/>
      <c r="F24" s="23"/>
      <c r="G24" s="23"/>
      <c r="H24" s="23"/>
      <c r="I24" s="23"/>
      <c r="J24" s="23"/>
    </row>
    <row r="25" spans="2:10" x14ac:dyDescent="0.35">
      <c r="G25" s="1"/>
      <c r="H25" s="17"/>
    </row>
    <row r="26" spans="2:10" x14ac:dyDescent="0.35">
      <c r="G26" s="1"/>
      <c r="H26" s="17"/>
    </row>
    <row r="27" spans="2:10" x14ac:dyDescent="0.35">
      <c r="G27" s="1"/>
      <c r="H27" s="17"/>
    </row>
    <row r="28" spans="2:10" x14ac:dyDescent="0.35">
      <c r="G28" s="1"/>
      <c r="H28" s="17"/>
    </row>
    <row r="29" spans="2:10" x14ac:dyDescent="0.35">
      <c r="G29" s="1"/>
      <c r="H29" s="17"/>
    </row>
    <row r="30" spans="2:10" x14ac:dyDescent="0.35">
      <c r="G30" s="1"/>
      <c r="H30" s="17"/>
    </row>
    <row r="31" spans="2:10" x14ac:dyDescent="0.35">
      <c r="G31" s="1"/>
      <c r="H31" s="17"/>
    </row>
    <row r="32" spans="2:10" x14ac:dyDescent="0.35">
      <c r="G32" s="1"/>
      <c r="H32" s="17"/>
    </row>
    <row r="33" spans="7:8" x14ac:dyDescent="0.35">
      <c r="G33" s="1"/>
      <c r="H33" s="17"/>
    </row>
    <row r="34" spans="7:8" x14ac:dyDescent="0.35">
      <c r="G34" s="1"/>
      <c r="H34" s="17"/>
    </row>
    <row r="35" spans="7:8" x14ac:dyDescent="0.35">
      <c r="G35" s="1"/>
      <c r="H35" s="17"/>
    </row>
    <row r="36" spans="7:8" x14ac:dyDescent="0.35">
      <c r="G36" s="1"/>
      <c r="H36" s="17"/>
    </row>
    <row r="37" spans="7:8" x14ac:dyDescent="0.35">
      <c r="G37" s="1"/>
      <c r="H37" s="17"/>
    </row>
    <row r="38" spans="7:8" x14ac:dyDescent="0.35">
      <c r="G38" s="1"/>
      <c r="H38" s="17"/>
    </row>
    <row r="39" spans="7:8" x14ac:dyDescent="0.35">
      <c r="G39" s="1"/>
      <c r="H39" s="17"/>
    </row>
    <row r="40" spans="7:8" x14ac:dyDescent="0.35">
      <c r="G40" s="1"/>
      <c r="H40" s="17"/>
    </row>
    <row r="41" spans="7:8" x14ac:dyDescent="0.35">
      <c r="G41" s="1"/>
      <c r="H41" s="17"/>
    </row>
    <row r="42" spans="7:8" x14ac:dyDescent="0.35">
      <c r="G42" s="1"/>
      <c r="H42" s="17"/>
    </row>
    <row r="43" spans="7:8" x14ac:dyDescent="0.35">
      <c r="G43" s="1"/>
      <c r="H43" s="17"/>
    </row>
    <row r="44" spans="7:8" x14ac:dyDescent="0.35">
      <c r="G44" s="1"/>
      <c r="H44" s="17"/>
    </row>
    <row r="45" spans="7:8" x14ac:dyDescent="0.35">
      <c r="G45" s="1"/>
      <c r="H45" s="17"/>
    </row>
    <row r="46" spans="7:8" x14ac:dyDescent="0.35">
      <c r="G46" s="1"/>
      <c r="H46" s="17"/>
    </row>
    <row r="47" spans="7:8" x14ac:dyDescent="0.35">
      <c r="G47" s="1"/>
      <c r="H47" s="17"/>
    </row>
    <row r="48" spans="7:8" x14ac:dyDescent="0.35">
      <c r="G48" s="1"/>
      <c r="H48" s="17"/>
    </row>
    <row r="49" spans="7:8" x14ac:dyDescent="0.35">
      <c r="G49" s="1"/>
      <c r="H49" s="17"/>
    </row>
    <row r="50" spans="7:8" x14ac:dyDescent="0.35">
      <c r="G50" s="1"/>
      <c r="H50" s="17"/>
    </row>
    <row r="51" spans="7:8" x14ac:dyDescent="0.35">
      <c r="G51" s="1"/>
      <c r="H51" s="17"/>
    </row>
    <row r="52" spans="7:8" x14ac:dyDescent="0.35">
      <c r="G52" s="1"/>
      <c r="H52" s="17"/>
    </row>
    <row r="53" spans="7:8" x14ac:dyDescent="0.35">
      <c r="G53" s="1"/>
      <c r="H53" s="17"/>
    </row>
    <row r="54" spans="7:8" x14ac:dyDescent="0.35">
      <c r="G54" s="1"/>
      <c r="H54" s="17"/>
    </row>
    <row r="55" spans="7:8" x14ac:dyDescent="0.35">
      <c r="G55" s="1"/>
      <c r="H55" s="17"/>
    </row>
    <row r="56" spans="7:8" x14ac:dyDescent="0.35">
      <c r="G56" s="1"/>
      <c r="H56" s="17"/>
    </row>
    <row r="57" spans="7:8" x14ac:dyDescent="0.35">
      <c r="G57" s="1"/>
      <c r="H57" s="17"/>
    </row>
    <row r="58" spans="7:8" x14ac:dyDescent="0.35">
      <c r="G58" s="1"/>
      <c r="H58" s="17"/>
    </row>
    <row r="59" spans="7:8" x14ac:dyDescent="0.35">
      <c r="G59" s="1"/>
      <c r="H59" s="17"/>
    </row>
    <row r="60" spans="7:8" x14ac:dyDescent="0.35">
      <c r="G60" s="1"/>
      <c r="H60" s="17"/>
    </row>
    <row r="61" spans="7:8" x14ac:dyDescent="0.35">
      <c r="G61" s="1"/>
      <c r="H61" s="17"/>
    </row>
    <row r="62" spans="7:8" x14ac:dyDescent="0.35">
      <c r="G62" s="1"/>
      <c r="H62" s="17"/>
    </row>
    <row r="63" spans="7:8" x14ac:dyDescent="0.35">
      <c r="G63" s="1"/>
      <c r="H63" s="17"/>
    </row>
    <row r="64" spans="7:8" x14ac:dyDescent="0.35">
      <c r="G64" s="1"/>
      <c r="H64" s="17"/>
    </row>
    <row r="65" spans="7:8" x14ac:dyDescent="0.35">
      <c r="G65" s="1"/>
      <c r="H65" s="17"/>
    </row>
    <row r="66" spans="7:8" x14ac:dyDescent="0.35">
      <c r="G66" s="1"/>
      <c r="H66" s="17"/>
    </row>
    <row r="67" spans="7:8" x14ac:dyDescent="0.35">
      <c r="G67" s="1"/>
      <c r="H67" s="17"/>
    </row>
    <row r="68" spans="7:8" x14ac:dyDescent="0.35">
      <c r="G68" s="1"/>
      <c r="H68" s="17"/>
    </row>
    <row r="69" spans="7:8" x14ac:dyDescent="0.35">
      <c r="G69" s="1"/>
      <c r="H69" s="17"/>
    </row>
    <row r="70" spans="7:8" x14ac:dyDescent="0.35">
      <c r="G70" s="1"/>
      <c r="H70" s="17"/>
    </row>
    <row r="71" spans="7:8" x14ac:dyDescent="0.35">
      <c r="G71" s="1"/>
      <c r="H71" s="17"/>
    </row>
    <row r="72" spans="7:8" x14ac:dyDescent="0.35">
      <c r="G72" s="1"/>
      <c r="H72" s="17"/>
    </row>
    <row r="73" spans="7:8" x14ac:dyDescent="0.35">
      <c r="G73" s="1"/>
      <c r="H73" s="17"/>
    </row>
    <row r="74" spans="7:8" x14ac:dyDescent="0.35">
      <c r="G74" s="1"/>
      <c r="H74" s="17"/>
    </row>
    <row r="75" spans="7:8" x14ac:dyDescent="0.35">
      <c r="G75" s="1"/>
      <c r="H75" s="17"/>
    </row>
    <row r="76" spans="7:8" x14ac:dyDescent="0.35">
      <c r="G76" s="1"/>
      <c r="H76" s="17"/>
    </row>
    <row r="77" spans="7:8" x14ac:dyDescent="0.35">
      <c r="G77" s="1"/>
      <c r="H77" s="17"/>
    </row>
    <row r="78" spans="7:8" x14ac:dyDescent="0.35">
      <c r="G78" s="1"/>
      <c r="H78" s="17"/>
    </row>
    <row r="79" spans="7:8" x14ac:dyDescent="0.35">
      <c r="G79" s="1"/>
      <c r="H79" s="17"/>
    </row>
    <row r="80" spans="7:8" x14ac:dyDescent="0.35">
      <c r="G80" s="1"/>
      <c r="H80" s="17"/>
    </row>
    <row r="81" spans="7:8" x14ac:dyDescent="0.35">
      <c r="G81" s="1"/>
      <c r="H81" s="17"/>
    </row>
    <row r="82" spans="7:8" x14ac:dyDescent="0.35">
      <c r="G82" s="1"/>
      <c r="H82" s="17"/>
    </row>
    <row r="83" spans="7:8" x14ac:dyDescent="0.35">
      <c r="G83" s="1"/>
      <c r="H83" s="17"/>
    </row>
    <row r="84" spans="7:8" x14ac:dyDescent="0.35">
      <c r="G84" s="1"/>
      <c r="H84" s="17"/>
    </row>
    <row r="85" spans="7:8" x14ac:dyDescent="0.35">
      <c r="G85" s="1"/>
      <c r="H85" s="17"/>
    </row>
    <row r="86" spans="7:8" x14ac:dyDescent="0.35">
      <c r="G86" s="1"/>
      <c r="H86" s="17"/>
    </row>
    <row r="87" spans="7:8" x14ac:dyDescent="0.35">
      <c r="G87" s="1"/>
      <c r="H87" s="17"/>
    </row>
    <row r="88" spans="7:8" x14ac:dyDescent="0.35">
      <c r="G88" s="1"/>
      <c r="H88" s="17"/>
    </row>
    <row r="89" spans="7:8" x14ac:dyDescent="0.35">
      <c r="G89" s="1"/>
      <c r="H89" s="17"/>
    </row>
    <row r="90" spans="7:8" x14ac:dyDescent="0.35">
      <c r="G90" s="1"/>
      <c r="H90" s="17"/>
    </row>
    <row r="91" spans="7:8" x14ac:dyDescent="0.35">
      <c r="G91" s="1"/>
      <c r="H91" s="17"/>
    </row>
    <row r="92" spans="7:8" x14ac:dyDescent="0.35">
      <c r="G92" s="1"/>
      <c r="H92" s="17"/>
    </row>
    <row r="93" spans="7:8" x14ac:dyDescent="0.35">
      <c r="G93" s="1"/>
      <c r="H93" s="17"/>
    </row>
    <row r="94" spans="7:8" x14ac:dyDescent="0.35">
      <c r="G94" s="1"/>
      <c r="H94" s="17"/>
    </row>
    <row r="95" spans="7:8" x14ac:dyDescent="0.35">
      <c r="G95" s="1"/>
      <c r="H95" s="17"/>
    </row>
    <row r="96" spans="7:8" x14ac:dyDescent="0.35">
      <c r="G96" s="1"/>
      <c r="H96" s="17"/>
    </row>
    <row r="97" spans="7:8" x14ac:dyDescent="0.35">
      <c r="G97" s="1"/>
      <c r="H97" s="17"/>
    </row>
    <row r="98" spans="7:8" x14ac:dyDescent="0.35">
      <c r="G98" s="1"/>
      <c r="H98" s="17"/>
    </row>
    <row r="99" spans="7:8" x14ac:dyDescent="0.35">
      <c r="G99" s="1"/>
      <c r="H99" s="17"/>
    </row>
    <row r="100" spans="7:8" x14ac:dyDescent="0.35">
      <c r="G100" s="1"/>
      <c r="H100" s="17"/>
    </row>
    <row r="101" spans="7:8" x14ac:dyDescent="0.35">
      <c r="G101" s="1"/>
      <c r="H101" s="17"/>
    </row>
    <row r="102" spans="7:8" x14ac:dyDescent="0.35">
      <c r="G102" s="1"/>
      <c r="H102" s="17"/>
    </row>
    <row r="103" spans="7:8" x14ac:dyDescent="0.35">
      <c r="G103" s="1"/>
      <c r="H103" s="17"/>
    </row>
    <row r="104" spans="7:8" x14ac:dyDescent="0.35">
      <c r="G104" s="1"/>
      <c r="H104" s="17"/>
    </row>
    <row r="105" spans="7:8" x14ac:dyDescent="0.35">
      <c r="G105" s="1"/>
      <c r="H105" s="17"/>
    </row>
    <row r="106" spans="7:8" x14ac:dyDescent="0.35">
      <c r="G106" s="1"/>
      <c r="H106" s="17"/>
    </row>
    <row r="107" spans="7:8" x14ac:dyDescent="0.35">
      <c r="G107" s="1"/>
      <c r="H107" s="17"/>
    </row>
    <row r="108" spans="7:8" x14ac:dyDescent="0.35">
      <c r="G108" s="1"/>
      <c r="H108" s="17"/>
    </row>
    <row r="109" spans="7:8" x14ac:dyDescent="0.35">
      <c r="G109" s="1"/>
      <c r="H109" s="17"/>
    </row>
    <row r="110" spans="7:8" x14ac:dyDescent="0.35">
      <c r="G110" s="1"/>
      <c r="H110" s="17"/>
    </row>
    <row r="111" spans="7:8" x14ac:dyDescent="0.35">
      <c r="G111" s="1"/>
      <c r="H111" s="17"/>
    </row>
    <row r="112" spans="7:8" x14ac:dyDescent="0.35">
      <c r="G112" s="1"/>
      <c r="H112" s="17"/>
    </row>
    <row r="113" spans="7:8" x14ac:dyDescent="0.35">
      <c r="G113" s="1"/>
      <c r="H113" s="17"/>
    </row>
    <row r="114" spans="7:8" x14ac:dyDescent="0.35">
      <c r="G114" s="1"/>
      <c r="H114" s="17"/>
    </row>
    <row r="115" spans="7:8" x14ac:dyDescent="0.35">
      <c r="G115" s="1"/>
      <c r="H115" s="17"/>
    </row>
    <row r="116" spans="7:8" x14ac:dyDescent="0.35">
      <c r="G116" s="1"/>
      <c r="H116" s="17"/>
    </row>
    <row r="117" spans="7:8" x14ac:dyDescent="0.35">
      <c r="G117" s="1"/>
      <c r="H117" s="17"/>
    </row>
    <row r="118" spans="7:8" x14ac:dyDescent="0.35">
      <c r="G118" s="1"/>
      <c r="H118" s="17"/>
    </row>
    <row r="119" spans="7:8" x14ac:dyDescent="0.35">
      <c r="G119" s="1"/>
      <c r="H119" s="17"/>
    </row>
    <row r="120" spans="7:8" x14ac:dyDescent="0.35">
      <c r="G120" s="1"/>
      <c r="H120" s="17"/>
    </row>
    <row r="121" spans="7:8" x14ac:dyDescent="0.35">
      <c r="G121" s="1"/>
      <c r="H121" s="17"/>
    </row>
    <row r="122" spans="7:8" x14ac:dyDescent="0.35">
      <c r="G122" s="1"/>
      <c r="H122" s="17"/>
    </row>
    <row r="123" spans="7:8" x14ac:dyDescent="0.35">
      <c r="G123" s="1"/>
      <c r="H123" s="17"/>
    </row>
    <row r="124" spans="7:8" x14ac:dyDescent="0.35">
      <c r="G124" s="1"/>
      <c r="H124" s="17"/>
    </row>
    <row r="125" spans="7:8" x14ac:dyDescent="0.35">
      <c r="G125" s="1"/>
      <c r="H125" s="17"/>
    </row>
    <row r="126" spans="7:8" x14ac:dyDescent="0.35">
      <c r="G126" s="1"/>
      <c r="H126" s="17"/>
    </row>
    <row r="127" spans="7:8" x14ac:dyDescent="0.35">
      <c r="G127" s="1"/>
      <c r="H127" s="17"/>
    </row>
    <row r="128" spans="7:8" x14ac:dyDescent="0.35">
      <c r="G128" s="1"/>
      <c r="H128" s="17"/>
    </row>
    <row r="129" spans="7:8" x14ac:dyDescent="0.35">
      <c r="G129" s="1"/>
      <c r="H129" s="17"/>
    </row>
    <row r="130" spans="7:8" x14ac:dyDescent="0.35">
      <c r="G130" s="1"/>
      <c r="H130" s="17"/>
    </row>
    <row r="131" spans="7:8" x14ac:dyDescent="0.35">
      <c r="G131" s="1"/>
      <c r="H131" s="17"/>
    </row>
    <row r="132" spans="7:8" x14ac:dyDescent="0.35">
      <c r="G132" s="1"/>
      <c r="H132" s="17"/>
    </row>
    <row r="133" spans="7:8" x14ac:dyDescent="0.35">
      <c r="G133" s="1"/>
      <c r="H133" s="17"/>
    </row>
    <row r="134" spans="7:8" x14ac:dyDescent="0.35">
      <c r="G134" s="1"/>
      <c r="H134" s="17"/>
    </row>
    <row r="135" spans="7:8" x14ac:dyDescent="0.35">
      <c r="G135" s="1"/>
      <c r="H135" s="17"/>
    </row>
    <row r="136" spans="7:8" x14ac:dyDescent="0.35">
      <c r="G136" s="1"/>
      <c r="H136" s="17"/>
    </row>
    <row r="137" spans="7:8" x14ac:dyDescent="0.35">
      <c r="G137" s="1"/>
      <c r="H137" s="17"/>
    </row>
    <row r="138" spans="7:8" x14ac:dyDescent="0.35">
      <c r="G138" s="1"/>
      <c r="H138" s="17"/>
    </row>
    <row r="139" spans="7:8" x14ac:dyDescent="0.35">
      <c r="G139" s="1"/>
      <c r="H139" s="17"/>
    </row>
    <row r="140" spans="7:8" x14ac:dyDescent="0.35">
      <c r="G140" s="1"/>
      <c r="H140" s="17"/>
    </row>
    <row r="141" spans="7:8" x14ac:dyDescent="0.35">
      <c r="G141" s="1"/>
      <c r="H141" s="17"/>
    </row>
    <row r="142" spans="7:8" x14ac:dyDescent="0.35">
      <c r="G142" s="1"/>
      <c r="H142" s="17"/>
    </row>
    <row r="143" spans="7:8" x14ac:dyDescent="0.35">
      <c r="G143" s="1"/>
      <c r="H143" s="17"/>
    </row>
    <row r="144" spans="7:8" x14ac:dyDescent="0.35">
      <c r="G144" s="1"/>
      <c r="H144" s="17"/>
    </row>
    <row r="145" spans="7:8" x14ac:dyDescent="0.35">
      <c r="G145" s="1"/>
      <c r="H145" s="17"/>
    </row>
    <row r="146" spans="7:8" x14ac:dyDescent="0.35">
      <c r="G146" s="1"/>
      <c r="H146" s="17"/>
    </row>
    <row r="147" spans="7:8" x14ac:dyDescent="0.35">
      <c r="G147" s="1"/>
      <c r="H147" s="17"/>
    </row>
    <row r="148" spans="7:8" x14ac:dyDescent="0.35">
      <c r="G148" s="1"/>
      <c r="H148" s="17"/>
    </row>
    <row r="149" spans="7:8" x14ac:dyDescent="0.35">
      <c r="G149" s="1"/>
      <c r="H149" s="17"/>
    </row>
    <row r="150" spans="7:8" x14ac:dyDescent="0.35">
      <c r="G150" s="1"/>
      <c r="H150" s="17"/>
    </row>
    <row r="151" spans="7:8" x14ac:dyDescent="0.35">
      <c r="G151" s="1"/>
      <c r="H151" s="17"/>
    </row>
    <row r="152" spans="7:8" x14ac:dyDescent="0.35">
      <c r="G152" s="1"/>
      <c r="H152" s="17"/>
    </row>
    <row r="153" spans="7:8" x14ac:dyDescent="0.35">
      <c r="G153" s="1"/>
      <c r="H153" s="17"/>
    </row>
    <row r="154" spans="7:8" x14ac:dyDescent="0.35">
      <c r="G154" s="1"/>
      <c r="H154" s="17"/>
    </row>
    <row r="155" spans="7:8" x14ac:dyDescent="0.35">
      <c r="G155" s="1"/>
      <c r="H155" s="17"/>
    </row>
    <row r="156" spans="7:8" x14ac:dyDescent="0.35">
      <c r="G156" s="1"/>
      <c r="H156" s="17"/>
    </row>
    <row r="157" spans="7:8" x14ac:dyDescent="0.35">
      <c r="G157" s="1"/>
      <c r="H157" s="17"/>
    </row>
    <row r="158" spans="7:8" x14ac:dyDescent="0.35">
      <c r="G158" s="1"/>
      <c r="H158" s="17"/>
    </row>
    <row r="159" spans="7:8" x14ac:dyDescent="0.35">
      <c r="G159" s="1"/>
      <c r="H159" s="17"/>
    </row>
    <row r="160" spans="7:8" x14ac:dyDescent="0.35">
      <c r="G160" s="1"/>
      <c r="H160" s="17"/>
    </row>
    <row r="161" spans="7:8" x14ac:dyDescent="0.35">
      <c r="G161" s="1"/>
      <c r="H161" s="17"/>
    </row>
    <row r="162" spans="7:8" x14ac:dyDescent="0.35">
      <c r="G162" s="1"/>
      <c r="H162" s="17"/>
    </row>
    <row r="163" spans="7:8" x14ac:dyDescent="0.35">
      <c r="G163" s="1"/>
      <c r="H163" s="17"/>
    </row>
    <row r="164" spans="7:8" x14ac:dyDescent="0.35">
      <c r="G164" s="1"/>
      <c r="H164" s="17"/>
    </row>
    <row r="165" spans="7:8" x14ac:dyDescent="0.35">
      <c r="G165" s="1"/>
      <c r="H165" s="17"/>
    </row>
    <row r="166" spans="7:8" x14ac:dyDescent="0.35">
      <c r="G166" s="1"/>
      <c r="H166" s="17"/>
    </row>
    <row r="167" spans="7:8" x14ac:dyDescent="0.35">
      <c r="G167" s="1"/>
      <c r="H167" s="17"/>
    </row>
    <row r="168" spans="7:8" x14ac:dyDescent="0.35">
      <c r="G168" s="1"/>
      <c r="H168" s="17"/>
    </row>
    <row r="169" spans="7:8" x14ac:dyDescent="0.35">
      <c r="G169" s="1"/>
      <c r="H169" s="17"/>
    </row>
    <row r="170" spans="7:8" x14ac:dyDescent="0.35">
      <c r="G170" s="1"/>
      <c r="H170" s="17"/>
    </row>
    <row r="171" spans="7:8" x14ac:dyDescent="0.35">
      <c r="G171" s="1"/>
      <c r="H171" s="17"/>
    </row>
    <row r="172" spans="7:8" x14ac:dyDescent="0.35">
      <c r="G172" s="1"/>
      <c r="H172" s="17"/>
    </row>
    <row r="173" spans="7:8" x14ac:dyDescent="0.35">
      <c r="G173" s="1"/>
      <c r="H173" s="17"/>
    </row>
    <row r="174" spans="7:8" x14ac:dyDescent="0.35">
      <c r="G174" s="1"/>
      <c r="H174" s="17"/>
    </row>
    <row r="175" spans="7:8" x14ac:dyDescent="0.35">
      <c r="G175" s="1"/>
      <c r="H175" s="17"/>
    </row>
    <row r="176" spans="7:8" x14ac:dyDescent="0.35">
      <c r="G176" s="1"/>
      <c r="H176" s="17"/>
    </row>
    <row r="177" spans="7:8" x14ac:dyDescent="0.35">
      <c r="G177" s="1"/>
      <c r="H177" s="17"/>
    </row>
    <row r="178" spans="7:8" x14ac:dyDescent="0.35">
      <c r="G178" s="1"/>
      <c r="H178" s="17"/>
    </row>
    <row r="179" spans="7:8" x14ac:dyDescent="0.35">
      <c r="G179" s="1"/>
      <c r="H179" s="17"/>
    </row>
    <row r="180" spans="7:8" x14ac:dyDescent="0.35">
      <c r="G180" s="1"/>
      <c r="H180" s="17"/>
    </row>
    <row r="181" spans="7:8" x14ac:dyDescent="0.35">
      <c r="G181" s="1"/>
      <c r="H181" s="17"/>
    </row>
    <row r="182" spans="7:8" x14ac:dyDescent="0.35">
      <c r="G182" s="1"/>
      <c r="H182" s="17"/>
    </row>
    <row r="183" spans="7:8" x14ac:dyDescent="0.35">
      <c r="G183" s="1"/>
      <c r="H183" s="17"/>
    </row>
    <row r="184" spans="7:8" x14ac:dyDescent="0.35">
      <c r="G184" s="1"/>
      <c r="H184" s="17"/>
    </row>
    <row r="185" spans="7:8" x14ac:dyDescent="0.35">
      <c r="G185" s="1"/>
      <c r="H185" s="17"/>
    </row>
    <row r="186" spans="7:8" x14ac:dyDescent="0.35">
      <c r="G186" s="1"/>
      <c r="H186" s="17"/>
    </row>
    <row r="187" spans="7:8" x14ac:dyDescent="0.35">
      <c r="G187" s="1"/>
      <c r="H187" s="17"/>
    </row>
    <row r="188" spans="7:8" x14ac:dyDescent="0.35">
      <c r="G188" s="1"/>
      <c r="H188" s="17"/>
    </row>
    <row r="189" spans="7:8" x14ac:dyDescent="0.35">
      <c r="G189" s="1"/>
      <c r="H189" s="17"/>
    </row>
    <row r="190" spans="7:8" x14ac:dyDescent="0.35">
      <c r="G190" s="1"/>
      <c r="H190" s="17"/>
    </row>
    <row r="191" spans="7:8" x14ac:dyDescent="0.35">
      <c r="G191" s="1"/>
      <c r="H191" s="17"/>
    </row>
    <row r="192" spans="7:8" x14ac:dyDescent="0.35">
      <c r="G192" s="1"/>
      <c r="H192" s="17"/>
    </row>
    <row r="193" spans="7:8" x14ac:dyDescent="0.35">
      <c r="G193" s="1"/>
      <c r="H193" s="17"/>
    </row>
    <row r="194" spans="7:8" x14ac:dyDescent="0.35">
      <c r="G194" s="1"/>
      <c r="H194" s="17"/>
    </row>
    <row r="195" spans="7:8" x14ac:dyDescent="0.35">
      <c r="G195" s="1"/>
      <c r="H195" s="17"/>
    </row>
    <row r="196" spans="7:8" x14ac:dyDescent="0.35">
      <c r="G196" s="1"/>
      <c r="H196" s="17"/>
    </row>
    <row r="197" spans="7:8" x14ac:dyDescent="0.35">
      <c r="G197" s="1"/>
      <c r="H197" s="17"/>
    </row>
    <row r="198" spans="7:8" x14ac:dyDescent="0.35">
      <c r="G198" s="1"/>
      <c r="H198" s="17"/>
    </row>
    <row r="199" spans="7:8" x14ac:dyDescent="0.35">
      <c r="G199" s="1"/>
      <c r="H199" s="17"/>
    </row>
    <row r="200" spans="7:8" x14ac:dyDescent="0.35">
      <c r="G200" s="1"/>
      <c r="H200" s="17"/>
    </row>
    <row r="201" spans="7:8" x14ac:dyDescent="0.35">
      <c r="G201" s="1"/>
      <c r="H201" s="17"/>
    </row>
    <row r="202" spans="7:8" x14ac:dyDescent="0.35">
      <c r="G202" s="1"/>
      <c r="H202" s="17"/>
    </row>
    <row r="203" spans="7:8" x14ac:dyDescent="0.35">
      <c r="G203" s="1"/>
      <c r="H203" s="17"/>
    </row>
    <row r="204" spans="7:8" x14ac:dyDescent="0.35">
      <c r="G204" s="1"/>
      <c r="H204" s="17"/>
    </row>
    <row r="205" spans="7:8" x14ac:dyDescent="0.35">
      <c r="G205" s="1"/>
      <c r="H205" s="17"/>
    </row>
    <row r="206" spans="7:8" x14ac:dyDescent="0.35">
      <c r="G206" s="1"/>
      <c r="H206" s="17"/>
    </row>
    <row r="207" spans="7:8" x14ac:dyDescent="0.35">
      <c r="G207" s="1"/>
      <c r="H207" s="17"/>
    </row>
    <row r="208" spans="7:8" x14ac:dyDescent="0.35">
      <c r="G208" s="1"/>
      <c r="H208" s="17"/>
    </row>
    <row r="209" spans="7:8" x14ac:dyDescent="0.35">
      <c r="G209" s="1"/>
      <c r="H209" s="17"/>
    </row>
    <row r="210" spans="7:8" x14ac:dyDescent="0.35">
      <c r="G210" s="1"/>
      <c r="H210" s="17"/>
    </row>
    <row r="211" spans="7:8" x14ac:dyDescent="0.35">
      <c r="G211" s="1"/>
      <c r="H211" s="17"/>
    </row>
    <row r="212" spans="7:8" x14ac:dyDescent="0.35">
      <c r="G212" s="1"/>
      <c r="H212" s="17"/>
    </row>
    <row r="213" spans="7:8" x14ac:dyDescent="0.35">
      <c r="G213" s="1"/>
      <c r="H213" s="17"/>
    </row>
    <row r="214" spans="7:8" x14ac:dyDescent="0.35">
      <c r="G214" s="1"/>
      <c r="H214" s="17"/>
    </row>
    <row r="215" spans="7:8" x14ac:dyDescent="0.35">
      <c r="G215" s="1"/>
      <c r="H215" s="17"/>
    </row>
    <row r="216" spans="7:8" x14ac:dyDescent="0.35">
      <c r="G216" s="1"/>
      <c r="H216" s="17"/>
    </row>
    <row r="217" spans="7:8" x14ac:dyDescent="0.35">
      <c r="G217" s="1"/>
      <c r="H217" s="17"/>
    </row>
    <row r="218" spans="7:8" x14ac:dyDescent="0.35">
      <c r="G218" s="1"/>
      <c r="H218" s="17"/>
    </row>
    <row r="219" spans="7:8" x14ac:dyDescent="0.35">
      <c r="G219" s="1"/>
      <c r="H219" s="17"/>
    </row>
    <row r="220" spans="7:8" x14ac:dyDescent="0.35">
      <c r="G220" s="1"/>
      <c r="H220" s="17"/>
    </row>
    <row r="221" spans="7:8" x14ac:dyDescent="0.35">
      <c r="G221" s="1"/>
      <c r="H221" s="17"/>
    </row>
    <row r="222" spans="7:8" x14ac:dyDescent="0.35">
      <c r="G222" s="1"/>
      <c r="H222" s="17"/>
    </row>
    <row r="223" spans="7:8" x14ac:dyDescent="0.35">
      <c r="G223" s="1"/>
      <c r="H223" s="17"/>
    </row>
    <row r="224" spans="7:8" x14ac:dyDescent="0.35">
      <c r="G224" s="1"/>
      <c r="H224" s="17"/>
    </row>
    <row r="225" spans="7:8" x14ac:dyDescent="0.35">
      <c r="G225" s="1"/>
      <c r="H225" s="17"/>
    </row>
    <row r="226" spans="7:8" x14ac:dyDescent="0.35">
      <c r="G226" s="1"/>
      <c r="H226" s="17"/>
    </row>
    <row r="227" spans="7:8" x14ac:dyDescent="0.35">
      <c r="G227" s="1"/>
      <c r="H227" s="17"/>
    </row>
    <row r="228" spans="7:8" x14ac:dyDescent="0.35">
      <c r="G228" s="1"/>
      <c r="H228" s="17"/>
    </row>
    <row r="229" spans="7:8" x14ac:dyDescent="0.35">
      <c r="G229" s="1"/>
      <c r="H229" s="17"/>
    </row>
    <row r="230" spans="7:8" x14ac:dyDescent="0.35">
      <c r="G230" s="1"/>
      <c r="H230" s="17"/>
    </row>
    <row r="231" spans="7:8" x14ac:dyDescent="0.35">
      <c r="G231" s="1"/>
      <c r="H231" s="17"/>
    </row>
    <row r="232" spans="7:8" x14ac:dyDescent="0.35">
      <c r="G232" s="1"/>
      <c r="H232" s="17"/>
    </row>
    <row r="233" spans="7:8" x14ac:dyDescent="0.35">
      <c r="G233" s="1"/>
      <c r="H233" s="17"/>
    </row>
    <row r="234" spans="7:8" x14ac:dyDescent="0.35">
      <c r="G234" s="1"/>
      <c r="H234" s="17"/>
    </row>
    <row r="235" spans="7:8" x14ac:dyDescent="0.35">
      <c r="G235" s="1"/>
      <c r="H235" s="17"/>
    </row>
    <row r="236" spans="7:8" x14ac:dyDescent="0.35">
      <c r="G236" s="1"/>
      <c r="H236" s="17"/>
    </row>
    <row r="237" spans="7:8" x14ac:dyDescent="0.35">
      <c r="G237" s="1"/>
      <c r="H237" s="17"/>
    </row>
    <row r="238" spans="7:8" x14ac:dyDescent="0.35">
      <c r="G238" s="1"/>
      <c r="H238" s="17"/>
    </row>
    <row r="239" spans="7:8" x14ac:dyDescent="0.35">
      <c r="G239" s="1"/>
      <c r="H239" s="17"/>
    </row>
    <row r="240" spans="7:8" x14ac:dyDescent="0.35">
      <c r="G240" s="1"/>
      <c r="H240" s="17"/>
    </row>
    <row r="241" spans="7:8" x14ac:dyDescent="0.35">
      <c r="G241" s="1"/>
      <c r="H241" s="17"/>
    </row>
    <row r="242" spans="7:8" x14ac:dyDescent="0.35">
      <c r="G242" s="1"/>
      <c r="H242" s="17"/>
    </row>
    <row r="243" spans="7:8" x14ac:dyDescent="0.35">
      <c r="G243" s="1"/>
      <c r="H243" s="17"/>
    </row>
    <row r="244" spans="7:8" x14ac:dyDescent="0.35">
      <c r="G244" s="1"/>
      <c r="H244" s="17"/>
    </row>
    <row r="245" spans="7:8" x14ac:dyDescent="0.35">
      <c r="G245" s="1"/>
      <c r="H245" s="17"/>
    </row>
    <row r="246" spans="7:8" x14ac:dyDescent="0.35">
      <c r="G246" s="1"/>
      <c r="H246" s="17"/>
    </row>
    <row r="247" spans="7:8" x14ac:dyDescent="0.35">
      <c r="G247" s="1"/>
      <c r="H247" s="17"/>
    </row>
    <row r="248" spans="7:8" x14ac:dyDescent="0.35">
      <c r="G248" s="1"/>
      <c r="H248" s="17"/>
    </row>
    <row r="249" spans="7:8" x14ac:dyDescent="0.35">
      <c r="G249" s="1"/>
      <c r="H249" s="17"/>
    </row>
    <row r="250" spans="7:8" x14ac:dyDescent="0.35">
      <c r="G250" s="1"/>
      <c r="H250" s="17"/>
    </row>
    <row r="251" spans="7:8" x14ac:dyDescent="0.35">
      <c r="G251" s="1"/>
      <c r="H251" s="17"/>
    </row>
    <row r="252" spans="7:8" x14ac:dyDescent="0.35">
      <c r="G252" s="1"/>
      <c r="H252" s="17"/>
    </row>
    <row r="253" spans="7:8" x14ac:dyDescent="0.35">
      <c r="G253" s="1"/>
      <c r="H253" s="17"/>
    </row>
    <row r="254" spans="7:8" x14ac:dyDescent="0.35">
      <c r="G254" s="1"/>
      <c r="H254" s="17"/>
    </row>
    <row r="255" spans="7:8" x14ac:dyDescent="0.35">
      <c r="G255" s="1"/>
      <c r="H255" s="17"/>
    </row>
    <row r="256" spans="7:8" x14ac:dyDescent="0.35">
      <c r="G256" s="1"/>
      <c r="H256" s="17"/>
    </row>
    <row r="257" spans="7:8" x14ac:dyDescent="0.35">
      <c r="G257" s="1"/>
      <c r="H257" s="17"/>
    </row>
    <row r="258" spans="7:8" x14ac:dyDescent="0.35">
      <c r="G258" s="1"/>
      <c r="H258" s="17"/>
    </row>
    <row r="259" spans="7:8" x14ac:dyDescent="0.35">
      <c r="G259" s="1"/>
      <c r="H259" s="17"/>
    </row>
    <row r="260" spans="7:8" x14ac:dyDescent="0.35">
      <c r="G260" s="1"/>
      <c r="H260" s="17"/>
    </row>
    <row r="261" spans="7:8" x14ac:dyDescent="0.35">
      <c r="G261" s="1"/>
      <c r="H261" s="17"/>
    </row>
    <row r="262" spans="7:8" x14ac:dyDescent="0.35">
      <c r="G262" s="1"/>
      <c r="H262" s="17"/>
    </row>
    <row r="263" spans="7:8" x14ac:dyDescent="0.35">
      <c r="G263" s="1"/>
      <c r="H263" s="17"/>
    </row>
    <row r="264" spans="7:8" x14ac:dyDescent="0.35">
      <c r="G264" s="1"/>
      <c r="H264" s="17"/>
    </row>
    <row r="265" spans="7:8" x14ac:dyDescent="0.35">
      <c r="G265" s="1"/>
      <c r="H265" s="17"/>
    </row>
    <row r="266" spans="7:8" x14ac:dyDescent="0.35">
      <c r="G266" s="1"/>
      <c r="H266" s="17"/>
    </row>
    <row r="267" spans="7:8" x14ac:dyDescent="0.35">
      <c r="G267" s="1"/>
      <c r="H267" s="17"/>
    </row>
    <row r="268" spans="7:8" x14ac:dyDescent="0.35">
      <c r="G268" s="1"/>
      <c r="H268" s="17"/>
    </row>
    <row r="269" spans="7:8" x14ac:dyDescent="0.35">
      <c r="G269" s="1"/>
      <c r="H269" s="17"/>
    </row>
    <row r="270" spans="7:8" x14ac:dyDescent="0.35">
      <c r="G270" s="1"/>
      <c r="H270" s="17"/>
    </row>
    <row r="271" spans="7:8" x14ac:dyDescent="0.35">
      <c r="G271" s="1"/>
      <c r="H271" s="17"/>
    </row>
    <row r="272" spans="7:8" x14ac:dyDescent="0.35">
      <c r="G272" s="1"/>
      <c r="H272" s="17"/>
    </row>
    <row r="273" spans="7:8" x14ac:dyDescent="0.35">
      <c r="G273" s="1"/>
      <c r="H273" s="17"/>
    </row>
    <row r="274" spans="7:8" x14ac:dyDescent="0.35">
      <c r="G274" s="1"/>
      <c r="H274" s="17"/>
    </row>
    <row r="275" spans="7:8" x14ac:dyDescent="0.35">
      <c r="G275" s="1"/>
      <c r="H275" s="17"/>
    </row>
    <row r="276" spans="7:8" x14ac:dyDescent="0.35">
      <c r="G276" s="1"/>
      <c r="H276" s="17"/>
    </row>
    <row r="277" spans="7:8" x14ac:dyDescent="0.35">
      <c r="G277" s="1"/>
      <c r="H277" s="17"/>
    </row>
    <row r="278" spans="7:8" x14ac:dyDescent="0.35">
      <c r="G278" s="1"/>
      <c r="H278" s="17"/>
    </row>
    <row r="279" spans="7:8" x14ac:dyDescent="0.35">
      <c r="H279" s="17"/>
    </row>
    <row r="280" spans="7:8" x14ac:dyDescent="0.35">
      <c r="H280" s="17"/>
    </row>
    <row r="281" spans="7:8" x14ac:dyDescent="0.35">
      <c r="H281" s="17"/>
    </row>
    <row r="282" spans="7:8" x14ac:dyDescent="0.35">
      <c r="H282" s="17"/>
    </row>
    <row r="283" spans="7:8" x14ac:dyDescent="0.35">
      <c r="H283" s="17"/>
    </row>
    <row r="284" spans="7:8" x14ac:dyDescent="0.35">
      <c r="H284" s="17"/>
    </row>
    <row r="285" spans="7:8" x14ac:dyDescent="0.35">
      <c r="H285" s="17"/>
    </row>
    <row r="286" spans="7:8" x14ac:dyDescent="0.35">
      <c r="H286" s="17"/>
    </row>
    <row r="287" spans="7:8" x14ac:dyDescent="0.35">
      <c r="H287" s="17"/>
    </row>
    <row r="288" spans="7:8" x14ac:dyDescent="0.35">
      <c r="H288" s="17"/>
    </row>
    <row r="289" spans="8:8" x14ac:dyDescent="0.35">
      <c r="H289" s="17"/>
    </row>
    <row r="290" spans="8:8" x14ac:dyDescent="0.35">
      <c r="H290" s="17"/>
    </row>
    <row r="291" spans="8:8" x14ac:dyDescent="0.35">
      <c r="H291" s="17"/>
    </row>
    <row r="292" spans="8:8" x14ac:dyDescent="0.35">
      <c r="H292" s="17"/>
    </row>
    <row r="293" spans="8:8" x14ac:dyDescent="0.35">
      <c r="H293" s="17"/>
    </row>
    <row r="294" spans="8:8" x14ac:dyDescent="0.35">
      <c r="H294" s="17"/>
    </row>
    <row r="295" spans="8:8" x14ac:dyDescent="0.35">
      <c r="H295" s="17"/>
    </row>
    <row r="296" spans="8:8" x14ac:dyDescent="0.35">
      <c r="H296" s="17"/>
    </row>
    <row r="297" spans="8:8" x14ac:dyDescent="0.35">
      <c r="H297" s="17"/>
    </row>
    <row r="298" spans="8:8" x14ac:dyDescent="0.35">
      <c r="H298" s="17"/>
    </row>
    <row r="299" spans="8:8" x14ac:dyDescent="0.35">
      <c r="H299" s="17"/>
    </row>
    <row r="300" spans="8:8" x14ac:dyDescent="0.35">
      <c r="H300" s="17"/>
    </row>
    <row r="301" spans="8:8" x14ac:dyDescent="0.35">
      <c r="H301" s="17"/>
    </row>
    <row r="302" spans="8:8" x14ac:dyDescent="0.35">
      <c r="H302" s="17"/>
    </row>
    <row r="303" spans="8:8" x14ac:dyDescent="0.35">
      <c r="H303" s="17"/>
    </row>
    <row r="304" spans="8:8" x14ac:dyDescent="0.35">
      <c r="H304" s="17"/>
    </row>
    <row r="305" spans="8:8" x14ac:dyDescent="0.35">
      <c r="H305" s="17"/>
    </row>
    <row r="306" spans="8:8" x14ac:dyDescent="0.35">
      <c r="H306" s="17"/>
    </row>
    <row r="307" spans="8:8" x14ac:dyDescent="0.35">
      <c r="H307" s="17"/>
    </row>
    <row r="308" spans="8:8" x14ac:dyDescent="0.35">
      <c r="H308" s="17"/>
    </row>
    <row r="309" spans="8:8" x14ac:dyDescent="0.35">
      <c r="H309" s="17"/>
    </row>
    <row r="310" spans="8:8" x14ac:dyDescent="0.35">
      <c r="H310" s="17"/>
    </row>
    <row r="311" spans="8:8" x14ac:dyDescent="0.35">
      <c r="H311" s="17"/>
    </row>
    <row r="312" spans="8:8" x14ac:dyDescent="0.35">
      <c r="H312" s="17"/>
    </row>
    <row r="313" spans="8:8" x14ac:dyDescent="0.35">
      <c r="H313" s="17"/>
    </row>
    <row r="314" spans="8:8" x14ac:dyDescent="0.35">
      <c r="H314" s="17"/>
    </row>
    <row r="315" spans="8:8" x14ac:dyDescent="0.35">
      <c r="H315" s="17"/>
    </row>
    <row r="316" spans="8:8" x14ac:dyDescent="0.35">
      <c r="H316" s="17"/>
    </row>
    <row r="317" spans="8:8" x14ac:dyDescent="0.35">
      <c r="H317" s="17"/>
    </row>
    <row r="318" spans="8:8" x14ac:dyDescent="0.35">
      <c r="H318" s="17"/>
    </row>
    <row r="319" spans="8:8" x14ac:dyDescent="0.35">
      <c r="H319" s="17"/>
    </row>
    <row r="320" spans="8:8" x14ac:dyDescent="0.35">
      <c r="H320" s="17"/>
    </row>
    <row r="321" spans="8:8" x14ac:dyDescent="0.35">
      <c r="H321" s="17"/>
    </row>
    <row r="322" spans="8:8" x14ac:dyDescent="0.35">
      <c r="H322" s="17"/>
    </row>
    <row r="323" spans="8:8" x14ac:dyDescent="0.35">
      <c r="H323" s="17"/>
    </row>
    <row r="324" spans="8:8" x14ac:dyDescent="0.35">
      <c r="H324" s="17"/>
    </row>
    <row r="325" spans="8:8" x14ac:dyDescent="0.35">
      <c r="H325" s="17"/>
    </row>
    <row r="326" spans="8:8" x14ac:dyDescent="0.35">
      <c r="H326" s="17"/>
    </row>
    <row r="327" spans="8:8" x14ac:dyDescent="0.35">
      <c r="H327" s="17"/>
    </row>
    <row r="328" spans="8:8" x14ac:dyDescent="0.35">
      <c r="H328" s="17"/>
    </row>
    <row r="329" spans="8:8" x14ac:dyDescent="0.35">
      <c r="H329" s="17"/>
    </row>
    <row r="330" spans="8:8" x14ac:dyDescent="0.35">
      <c r="H330" s="17"/>
    </row>
    <row r="331" spans="8:8" x14ac:dyDescent="0.35">
      <c r="H331" s="17"/>
    </row>
    <row r="332" spans="8:8" x14ac:dyDescent="0.35">
      <c r="H332" s="17"/>
    </row>
    <row r="333" spans="8:8" x14ac:dyDescent="0.35">
      <c r="H333" s="17"/>
    </row>
    <row r="334" spans="8:8" x14ac:dyDescent="0.35">
      <c r="H334" s="17"/>
    </row>
    <row r="335" spans="8:8" x14ac:dyDescent="0.35">
      <c r="H335" s="17"/>
    </row>
    <row r="336" spans="8:8" x14ac:dyDescent="0.35">
      <c r="H336" s="17"/>
    </row>
    <row r="337" spans="8:8" x14ac:dyDescent="0.35">
      <c r="H337" s="17"/>
    </row>
    <row r="338" spans="8:8" x14ac:dyDescent="0.35">
      <c r="H338" s="17"/>
    </row>
    <row r="339" spans="8:8" x14ac:dyDescent="0.35">
      <c r="H339" s="17"/>
    </row>
    <row r="340" spans="8:8" x14ac:dyDescent="0.35">
      <c r="H340" s="17"/>
    </row>
    <row r="341" spans="8:8" x14ac:dyDescent="0.35">
      <c r="H341" s="17"/>
    </row>
    <row r="342" spans="8:8" x14ac:dyDescent="0.35">
      <c r="H342" s="17"/>
    </row>
    <row r="343" spans="8:8" x14ac:dyDescent="0.35">
      <c r="H343" s="17"/>
    </row>
    <row r="344" spans="8:8" x14ac:dyDescent="0.35">
      <c r="H344" s="17"/>
    </row>
    <row r="345" spans="8:8" x14ac:dyDescent="0.35">
      <c r="H345" s="17"/>
    </row>
    <row r="346" spans="8:8" x14ac:dyDescent="0.35">
      <c r="H346" s="17"/>
    </row>
    <row r="347" spans="8:8" x14ac:dyDescent="0.35">
      <c r="H347" s="17"/>
    </row>
    <row r="348" spans="8:8" x14ac:dyDescent="0.35">
      <c r="H348" s="17"/>
    </row>
    <row r="349" spans="8:8" x14ac:dyDescent="0.35">
      <c r="H349" s="17"/>
    </row>
    <row r="350" spans="8:8" x14ac:dyDescent="0.35">
      <c r="H350" s="17"/>
    </row>
    <row r="351" spans="8:8" x14ac:dyDescent="0.35">
      <c r="H351" s="17"/>
    </row>
    <row r="352" spans="8:8" x14ac:dyDescent="0.35">
      <c r="H352" s="17"/>
    </row>
    <row r="353" spans="8:8" x14ac:dyDescent="0.35">
      <c r="H353" s="17"/>
    </row>
    <row r="354" spans="8:8" x14ac:dyDescent="0.35">
      <c r="H354" s="17"/>
    </row>
    <row r="355" spans="8:8" x14ac:dyDescent="0.35">
      <c r="H355" s="17"/>
    </row>
    <row r="356" spans="8:8" x14ac:dyDescent="0.35">
      <c r="H356" s="17"/>
    </row>
    <row r="357" spans="8:8" x14ac:dyDescent="0.35">
      <c r="H357" s="17"/>
    </row>
    <row r="358" spans="8:8" x14ac:dyDescent="0.35">
      <c r="H358" s="17"/>
    </row>
    <row r="359" spans="8:8" x14ac:dyDescent="0.35">
      <c r="H359" s="17"/>
    </row>
    <row r="360" spans="8:8" x14ac:dyDescent="0.35">
      <c r="H360" s="17"/>
    </row>
    <row r="361" spans="8:8" x14ac:dyDescent="0.35">
      <c r="H361" s="17"/>
    </row>
    <row r="362" spans="8:8" x14ac:dyDescent="0.35">
      <c r="H362" s="17"/>
    </row>
    <row r="363" spans="8:8" x14ac:dyDescent="0.35">
      <c r="H363" s="17"/>
    </row>
    <row r="364" spans="8:8" x14ac:dyDescent="0.35">
      <c r="H364" s="17"/>
    </row>
    <row r="365" spans="8:8" x14ac:dyDescent="0.35">
      <c r="H365" s="17"/>
    </row>
    <row r="366" spans="8:8" x14ac:dyDescent="0.35">
      <c r="H366" s="17"/>
    </row>
    <row r="367" spans="8:8" x14ac:dyDescent="0.35">
      <c r="H367" s="17"/>
    </row>
    <row r="368" spans="8:8" x14ac:dyDescent="0.35">
      <c r="H368" s="17"/>
    </row>
    <row r="369" spans="8:8" x14ac:dyDescent="0.35">
      <c r="H369" s="17"/>
    </row>
    <row r="370" spans="8:8" x14ac:dyDescent="0.35">
      <c r="H370" s="17"/>
    </row>
    <row r="371" spans="8:8" x14ac:dyDescent="0.35">
      <c r="H371" s="17"/>
    </row>
    <row r="372" spans="8:8" x14ac:dyDescent="0.35">
      <c r="H372" s="17"/>
    </row>
    <row r="373" spans="8:8" x14ac:dyDescent="0.35">
      <c r="H373" s="17"/>
    </row>
    <row r="374" spans="8:8" x14ac:dyDescent="0.35">
      <c r="H374" s="17"/>
    </row>
    <row r="375" spans="8:8" x14ac:dyDescent="0.35">
      <c r="H375" s="17"/>
    </row>
    <row r="376" spans="8:8" x14ac:dyDescent="0.35">
      <c r="H376" s="17"/>
    </row>
    <row r="377" spans="8:8" x14ac:dyDescent="0.35">
      <c r="H377" s="17"/>
    </row>
    <row r="378" spans="8:8" x14ac:dyDescent="0.35">
      <c r="H378" s="17"/>
    </row>
    <row r="379" spans="8:8" x14ac:dyDescent="0.35">
      <c r="H379" s="17"/>
    </row>
    <row r="380" spans="8:8" x14ac:dyDescent="0.35">
      <c r="H380" s="17"/>
    </row>
    <row r="381" spans="8:8" x14ac:dyDescent="0.35">
      <c r="H381" s="17"/>
    </row>
    <row r="382" spans="8:8" x14ac:dyDescent="0.35">
      <c r="H382" s="17"/>
    </row>
    <row r="383" spans="8:8" x14ac:dyDescent="0.35">
      <c r="H383" s="17"/>
    </row>
    <row r="384" spans="8:8" x14ac:dyDescent="0.35">
      <c r="H384" s="17"/>
    </row>
    <row r="385" spans="8:8" x14ac:dyDescent="0.35">
      <c r="H385" s="17"/>
    </row>
    <row r="386" spans="8:8" x14ac:dyDescent="0.35">
      <c r="H386" s="17"/>
    </row>
    <row r="387" spans="8:8" x14ac:dyDescent="0.35">
      <c r="H387" s="17"/>
    </row>
    <row r="388" spans="8:8" x14ac:dyDescent="0.35">
      <c r="H388" s="17"/>
    </row>
    <row r="389" spans="8:8" x14ac:dyDescent="0.35">
      <c r="H389" s="17"/>
    </row>
    <row r="390" spans="8:8" x14ac:dyDescent="0.35">
      <c r="H390" s="17"/>
    </row>
    <row r="391" spans="8:8" x14ac:dyDescent="0.35">
      <c r="H391" s="17"/>
    </row>
    <row r="392" spans="8:8" x14ac:dyDescent="0.35">
      <c r="H392" s="17"/>
    </row>
    <row r="393" spans="8:8" x14ac:dyDescent="0.35">
      <c r="H393" s="17"/>
    </row>
    <row r="394" spans="8:8" x14ac:dyDescent="0.35">
      <c r="H394" s="17"/>
    </row>
    <row r="395" spans="8:8" x14ac:dyDescent="0.35">
      <c r="H395" s="17"/>
    </row>
    <row r="396" spans="8:8" x14ac:dyDescent="0.35">
      <c r="H396" s="17"/>
    </row>
    <row r="397" spans="8:8" x14ac:dyDescent="0.35">
      <c r="H397" s="17"/>
    </row>
    <row r="398" spans="8:8" x14ac:dyDescent="0.35">
      <c r="H398" s="17"/>
    </row>
    <row r="399" spans="8:8" x14ac:dyDescent="0.35">
      <c r="H399" s="17"/>
    </row>
    <row r="400" spans="8:8" x14ac:dyDescent="0.35">
      <c r="H400" s="17"/>
    </row>
    <row r="401" spans="8:8" x14ac:dyDescent="0.35">
      <c r="H401" s="17"/>
    </row>
    <row r="402" spans="8:8" x14ac:dyDescent="0.35">
      <c r="H402" s="17"/>
    </row>
    <row r="403" spans="8:8" x14ac:dyDescent="0.35">
      <c r="H403" s="17"/>
    </row>
    <row r="404" spans="8:8" x14ac:dyDescent="0.35">
      <c r="H404" s="17"/>
    </row>
    <row r="405" spans="8:8" x14ac:dyDescent="0.35">
      <c r="H405" s="17"/>
    </row>
    <row r="406" spans="8:8" x14ac:dyDescent="0.35">
      <c r="H406" s="17"/>
    </row>
    <row r="407" spans="8:8" x14ac:dyDescent="0.35">
      <c r="H407" s="17"/>
    </row>
    <row r="408" spans="8:8" x14ac:dyDescent="0.35">
      <c r="H408" s="17"/>
    </row>
    <row r="409" spans="8:8" x14ac:dyDescent="0.35">
      <c r="H409" s="17"/>
    </row>
    <row r="410" spans="8:8" x14ac:dyDescent="0.35">
      <c r="H410" s="17"/>
    </row>
    <row r="411" spans="8:8" x14ac:dyDescent="0.35">
      <c r="H411" s="17"/>
    </row>
    <row r="412" spans="8:8" x14ac:dyDescent="0.35">
      <c r="H412" s="17"/>
    </row>
    <row r="413" spans="8:8" x14ac:dyDescent="0.35">
      <c r="H413" s="17"/>
    </row>
    <row r="414" spans="8:8" x14ac:dyDescent="0.35">
      <c r="H414" s="17"/>
    </row>
    <row r="415" spans="8:8" x14ac:dyDescent="0.35">
      <c r="H415" s="17"/>
    </row>
    <row r="416" spans="8:8" x14ac:dyDescent="0.35">
      <c r="H416" s="17"/>
    </row>
    <row r="417" spans="8:8" x14ac:dyDescent="0.35">
      <c r="H417" s="17"/>
    </row>
    <row r="418" spans="8:8" x14ac:dyDescent="0.35">
      <c r="H418" s="17"/>
    </row>
    <row r="419" spans="8:8" x14ac:dyDescent="0.35">
      <c r="H419" s="17"/>
    </row>
    <row r="420" spans="8:8" x14ac:dyDescent="0.35">
      <c r="H420" s="17"/>
    </row>
    <row r="421" spans="8:8" x14ac:dyDescent="0.35">
      <c r="H421" s="17"/>
    </row>
    <row r="422" spans="8:8" x14ac:dyDescent="0.35">
      <c r="H422" s="17"/>
    </row>
    <row r="423" spans="8:8" x14ac:dyDescent="0.35">
      <c r="H423" s="17"/>
    </row>
    <row r="424" spans="8:8" x14ac:dyDescent="0.35">
      <c r="H424" s="17"/>
    </row>
    <row r="425" spans="8:8" x14ac:dyDescent="0.35">
      <c r="H425" s="17"/>
    </row>
    <row r="426" spans="8:8" x14ac:dyDescent="0.35">
      <c r="H426" s="17"/>
    </row>
    <row r="427" spans="8:8" x14ac:dyDescent="0.35">
      <c r="H427" s="17"/>
    </row>
    <row r="428" spans="8:8" x14ac:dyDescent="0.35">
      <c r="H428" s="17"/>
    </row>
    <row r="429" spans="8:8" x14ac:dyDescent="0.35">
      <c r="H429" s="17"/>
    </row>
    <row r="430" spans="8:8" x14ac:dyDescent="0.35">
      <c r="H430" s="17"/>
    </row>
    <row r="431" spans="8:8" x14ac:dyDescent="0.35">
      <c r="H431" s="17"/>
    </row>
    <row r="432" spans="8:8" x14ac:dyDescent="0.35">
      <c r="H432" s="17"/>
    </row>
    <row r="433" spans="8:8" x14ac:dyDescent="0.35">
      <c r="H433" s="17"/>
    </row>
    <row r="434" spans="8:8" x14ac:dyDescent="0.35">
      <c r="H434" s="17"/>
    </row>
    <row r="435" spans="8:8" x14ac:dyDescent="0.35">
      <c r="H435" s="17"/>
    </row>
    <row r="436" spans="8:8" x14ac:dyDescent="0.35">
      <c r="H436" s="17"/>
    </row>
    <row r="437" spans="8:8" x14ac:dyDescent="0.35">
      <c r="H437" s="17"/>
    </row>
    <row r="438" spans="8:8" x14ac:dyDescent="0.35">
      <c r="H438" s="17"/>
    </row>
    <row r="439" spans="8:8" x14ac:dyDescent="0.35">
      <c r="H439" s="17"/>
    </row>
    <row r="440" spans="8:8" x14ac:dyDescent="0.35">
      <c r="H440" s="17"/>
    </row>
    <row r="441" spans="8:8" x14ac:dyDescent="0.35">
      <c r="H441" s="17"/>
    </row>
    <row r="442" spans="8:8" x14ac:dyDescent="0.35">
      <c r="H442" s="17"/>
    </row>
    <row r="443" spans="8:8" x14ac:dyDescent="0.35">
      <c r="H443" s="17"/>
    </row>
    <row r="444" spans="8:8" x14ac:dyDescent="0.35">
      <c r="H444" s="17"/>
    </row>
    <row r="445" spans="8:8" x14ac:dyDescent="0.35">
      <c r="H445" s="17"/>
    </row>
    <row r="446" spans="8:8" x14ac:dyDescent="0.35">
      <c r="H446" s="17"/>
    </row>
    <row r="447" spans="8:8" x14ac:dyDescent="0.35">
      <c r="H447" s="17"/>
    </row>
    <row r="448" spans="8:8" x14ac:dyDescent="0.35">
      <c r="H448" s="17"/>
    </row>
    <row r="449" spans="8:8" x14ac:dyDescent="0.35">
      <c r="H449" s="17"/>
    </row>
    <row r="450" spans="8:8" x14ac:dyDescent="0.35">
      <c r="H450" s="17"/>
    </row>
    <row r="451" spans="8:8" x14ac:dyDescent="0.35">
      <c r="H451" s="17"/>
    </row>
    <row r="452" spans="8:8" x14ac:dyDescent="0.35">
      <c r="H452" s="17"/>
    </row>
    <row r="453" spans="8:8" x14ac:dyDescent="0.35">
      <c r="H453" s="17"/>
    </row>
    <row r="454" spans="8:8" x14ac:dyDescent="0.35">
      <c r="H454" s="17"/>
    </row>
    <row r="455" spans="8:8" x14ac:dyDescent="0.35">
      <c r="H455" s="17"/>
    </row>
    <row r="456" spans="8:8" x14ac:dyDescent="0.35">
      <c r="H456" s="17"/>
    </row>
    <row r="457" spans="8:8" x14ac:dyDescent="0.35">
      <c r="H457" s="17"/>
    </row>
    <row r="458" spans="8:8" x14ac:dyDescent="0.35">
      <c r="H458" s="17"/>
    </row>
    <row r="459" spans="8:8" x14ac:dyDescent="0.35">
      <c r="H459" s="17"/>
    </row>
    <row r="460" spans="8:8" x14ac:dyDescent="0.35">
      <c r="H460" s="17"/>
    </row>
    <row r="461" spans="8:8" x14ac:dyDescent="0.35">
      <c r="H461" s="17"/>
    </row>
    <row r="462" spans="8:8" x14ac:dyDescent="0.35">
      <c r="H462" s="17"/>
    </row>
    <row r="463" spans="8:8" x14ac:dyDescent="0.35">
      <c r="H463" s="17"/>
    </row>
    <row r="464" spans="8:8" x14ac:dyDescent="0.35">
      <c r="H464" s="17"/>
    </row>
    <row r="465" spans="8:8" x14ac:dyDescent="0.35">
      <c r="H465" s="17"/>
    </row>
    <row r="466" spans="8:8" x14ac:dyDescent="0.35">
      <c r="H466" s="17"/>
    </row>
    <row r="467" spans="8:8" x14ac:dyDescent="0.35">
      <c r="H467" s="17"/>
    </row>
    <row r="468" spans="8:8" x14ac:dyDescent="0.35">
      <c r="H468" s="17"/>
    </row>
    <row r="469" spans="8:8" x14ac:dyDescent="0.35">
      <c r="H469" s="17"/>
    </row>
    <row r="470" spans="8:8" x14ac:dyDescent="0.35">
      <c r="H470" s="17"/>
    </row>
    <row r="471" spans="8:8" x14ac:dyDescent="0.35">
      <c r="H471" s="17"/>
    </row>
    <row r="472" spans="8:8" x14ac:dyDescent="0.35">
      <c r="H472" s="17"/>
    </row>
    <row r="473" spans="8:8" x14ac:dyDescent="0.35">
      <c r="H473" s="17"/>
    </row>
    <row r="474" spans="8:8" x14ac:dyDescent="0.35">
      <c r="H474" s="17"/>
    </row>
    <row r="475" spans="8:8" x14ac:dyDescent="0.35">
      <c r="H475" s="17"/>
    </row>
    <row r="476" spans="8:8" x14ac:dyDescent="0.35">
      <c r="H476" s="17"/>
    </row>
    <row r="477" spans="8:8" x14ac:dyDescent="0.35">
      <c r="H477" s="17"/>
    </row>
    <row r="478" spans="8:8" x14ac:dyDescent="0.35">
      <c r="H478" s="17"/>
    </row>
    <row r="479" spans="8:8" x14ac:dyDescent="0.35">
      <c r="H479" s="17"/>
    </row>
    <row r="480" spans="8:8" x14ac:dyDescent="0.35">
      <c r="H480" s="17"/>
    </row>
    <row r="481" spans="8:8" x14ac:dyDescent="0.35">
      <c r="H481" s="17"/>
    </row>
    <row r="482" spans="8:8" x14ac:dyDescent="0.35">
      <c r="H482" s="17"/>
    </row>
    <row r="483" spans="8:8" x14ac:dyDescent="0.35">
      <c r="H483" s="17"/>
    </row>
    <row r="484" spans="8:8" x14ac:dyDescent="0.35">
      <c r="H484" s="17"/>
    </row>
    <row r="485" spans="8:8" x14ac:dyDescent="0.35">
      <c r="H485" s="17"/>
    </row>
    <row r="486" spans="8:8" x14ac:dyDescent="0.35">
      <c r="H486" s="17"/>
    </row>
    <row r="487" spans="8:8" x14ac:dyDescent="0.35">
      <c r="H487" s="17"/>
    </row>
    <row r="488" spans="8:8" x14ac:dyDescent="0.35">
      <c r="H488" s="17"/>
    </row>
    <row r="489" spans="8:8" x14ac:dyDescent="0.35">
      <c r="H489" s="17"/>
    </row>
    <row r="490" spans="8:8" x14ac:dyDescent="0.35">
      <c r="H490" s="17"/>
    </row>
    <row r="491" spans="8:8" x14ac:dyDescent="0.35">
      <c r="H491" s="17"/>
    </row>
    <row r="492" spans="8:8" x14ac:dyDescent="0.35">
      <c r="H492" s="17"/>
    </row>
    <row r="493" spans="8:8" x14ac:dyDescent="0.35">
      <c r="H493" s="17"/>
    </row>
    <row r="494" spans="8:8" x14ac:dyDescent="0.35">
      <c r="H494" s="17"/>
    </row>
    <row r="495" spans="8:8" x14ac:dyDescent="0.35">
      <c r="H495" s="17"/>
    </row>
    <row r="496" spans="8:8" x14ac:dyDescent="0.35">
      <c r="H496" s="17"/>
    </row>
    <row r="497" spans="8:8" x14ac:dyDescent="0.35">
      <c r="H497" s="17"/>
    </row>
    <row r="498" spans="8:8" x14ac:dyDescent="0.35">
      <c r="H498" s="17"/>
    </row>
    <row r="499" spans="8:8" x14ac:dyDescent="0.35">
      <c r="H499" s="17"/>
    </row>
    <row r="500" spans="8:8" x14ac:dyDescent="0.35">
      <c r="H500" s="17"/>
    </row>
    <row r="501" spans="8:8" x14ac:dyDescent="0.35">
      <c r="H501" s="17"/>
    </row>
    <row r="502" spans="8:8" x14ac:dyDescent="0.35">
      <c r="H502" s="17"/>
    </row>
    <row r="503" spans="8:8" x14ac:dyDescent="0.35">
      <c r="H503" s="17"/>
    </row>
    <row r="504" spans="8:8" x14ac:dyDescent="0.35">
      <c r="H504" s="17"/>
    </row>
    <row r="505" spans="8:8" x14ac:dyDescent="0.35">
      <c r="H505" s="17"/>
    </row>
    <row r="506" spans="8:8" x14ac:dyDescent="0.35">
      <c r="H506" s="17"/>
    </row>
    <row r="507" spans="8:8" x14ac:dyDescent="0.35">
      <c r="H507" s="17"/>
    </row>
    <row r="508" spans="8:8" x14ac:dyDescent="0.35">
      <c r="H508" s="17"/>
    </row>
    <row r="509" spans="8:8" x14ac:dyDescent="0.35">
      <c r="H509" s="17"/>
    </row>
    <row r="510" spans="8:8" x14ac:dyDescent="0.35">
      <c r="H510" s="17"/>
    </row>
    <row r="511" spans="8:8" x14ac:dyDescent="0.35">
      <c r="H511" s="17"/>
    </row>
    <row r="512" spans="8:8" x14ac:dyDescent="0.35">
      <c r="H512" s="17"/>
    </row>
    <row r="513" spans="8:8" x14ac:dyDescent="0.35">
      <c r="H513" s="17"/>
    </row>
    <row r="514" spans="8:8" x14ac:dyDescent="0.35">
      <c r="H514" s="17"/>
    </row>
    <row r="515" spans="8:8" x14ac:dyDescent="0.35">
      <c r="H515" s="17"/>
    </row>
    <row r="516" spans="8:8" x14ac:dyDescent="0.35">
      <c r="H516" s="17"/>
    </row>
    <row r="517" spans="8:8" x14ac:dyDescent="0.35">
      <c r="H517" s="17"/>
    </row>
    <row r="518" spans="8:8" x14ac:dyDescent="0.35">
      <c r="H518" s="17"/>
    </row>
    <row r="519" spans="8:8" x14ac:dyDescent="0.35">
      <c r="H519" s="17"/>
    </row>
    <row r="520" spans="8:8" x14ac:dyDescent="0.35">
      <c r="H520" s="17"/>
    </row>
    <row r="521" spans="8:8" x14ac:dyDescent="0.35">
      <c r="H521" s="17"/>
    </row>
    <row r="522" spans="8:8" x14ac:dyDescent="0.35">
      <c r="H522" s="17"/>
    </row>
    <row r="523" spans="8:8" x14ac:dyDescent="0.35">
      <c r="H523" s="17"/>
    </row>
    <row r="524" spans="8:8" x14ac:dyDescent="0.35">
      <c r="H524" s="17"/>
    </row>
    <row r="525" spans="8:8" x14ac:dyDescent="0.35">
      <c r="H525" s="17"/>
    </row>
    <row r="526" spans="8:8" x14ac:dyDescent="0.35">
      <c r="H526" s="17"/>
    </row>
    <row r="527" spans="8:8" x14ac:dyDescent="0.35">
      <c r="H527" s="17"/>
    </row>
    <row r="528" spans="8:8" x14ac:dyDescent="0.35">
      <c r="H528" s="17"/>
    </row>
    <row r="529" spans="8:8" x14ac:dyDescent="0.35">
      <c r="H529" s="17"/>
    </row>
    <row r="530" spans="8:8" x14ac:dyDescent="0.35">
      <c r="H530" s="17"/>
    </row>
    <row r="531" spans="8:8" x14ac:dyDescent="0.35">
      <c r="H531" s="17"/>
    </row>
    <row r="532" spans="8:8" x14ac:dyDescent="0.35">
      <c r="H532" s="17"/>
    </row>
    <row r="533" spans="8:8" x14ac:dyDescent="0.35">
      <c r="H533" s="17"/>
    </row>
    <row r="534" spans="8:8" x14ac:dyDescent="0.35">
      <c r="H534" s="17"/>
    </row>
    <row r="535" spans="8:8" x14ac:dyDescent="0.35">
      <c r="H535" s="17"/>
    </row>
    <row r="536" spans="8:8" x14ac:dyDescent="0.35">
      <c r="H536" s="17"/>
    </row>
    <row r="537" spans="8:8" x14ac:dyDescent="0.35">
      <c r="H537" s="17"/>
    </row>
    <row r="538" spans="8:8" x14ac:dyDescent="0.35">
      <c r="H538" s="17"/>
    </row>
    <row r="539" spans="8:8" x14ac:dyDescent="0.35">
      <c r="H539" s="17"/>
    </row>
    <row r="540" spans="8:8" x14ac:dyDescent="0.35">
      <c r="H540" s="17"/>
    </row>
    <row r="541" spans="8:8" x14ac:dyDescent="0.35">
      <c r="H541" s="17"/>
    </row>
    <row r="542" spans="8:8" x14ac:dyDescent="0.35">
      <c r="H542" s="17"/>
    </row>
    <row r="543" spans="8:8" x14ac:dyDescent="0.35">
      <c r="H543" s="17"/>
    </row>
    <row r="544" spans="8:8" x14ac:dyDescent="0.35">
      <c r="H544" s="17"/>
    </row>
    <row r="545" spans="8:8" x14ac:dyDescent="0.35">
      <c r="H545" s="17"/>
    </row>
    <row r="546" spans="8:8" x14ac:dyDescent="0.35">
      <c r="H546" s="17"/>
    </row>
    <row r="547" spans="8:8" x14ac:dyDescent="0.35">
      <c r="H547" s="17"/>
    </row>
    <row r="548" spans="8:8" x14ac:dyDescent="0.35">
      <c r="H548" s="17"/>
    </row>
    <row r="549" spans="8:8" x14ac:dyDescent="0.35">
      <c r="H549" s="17"/>
    </row>
    <row r="550" spans="8:8" x14ac:dyDescent="0.35">
      <c r="H550" s="17"/>
    </row>
    <row r="551" spans="8:8" x14ac:dyDescent="0.35">
      <c r="H551" s="17"/>
    </row>
    <row r="552" spans="8:8" x14ac:dyDescent="0.35">
      <c r="H552" s="17"/>
    </row>
    <row r="553" spans="8:8" x14ac:dyDescent="0.35">
      <c r="H553" s="17"/>
    </row>
    <row r="554" spans="8:8" x14ac:dyDescent="0.35">
      <c r="H554" s="17"/>
    </row>
    <row r="555" spans="8:8" x14ac:dyDescent="0.35">
      <c r="H555" s="17"/>
    </row>
    <row r="556" spans="8:8" x14ac:dyDescent="0.35">
      <c r="H556" s="17"/>
    </row>
    <row r="557" spans="8:8" x14ac:dyDescent="0.35">
      <c r="H557" s="17"/>
    </row>
    <row r="558" spans="8:8" x14ac:dyDescent="0.35">
      <c r="H558" s="17"/>
    </row>
    <row r="559" spans="8:8" x14ac:dyDescent="0.35">
      <c r="H559" s="17"/>
    </row>
    <row r="560" spans="8:8" x14ac:dyDescent="0.35">
      <c r="H560" s="17"/>
    </row>
    <row r="561" spans="8:8" x14ac:dyDescent="0.35">
      <c r="H561" s="17"/>
    </row>
    <row r="562" spans="8:8" x14ac:dyDescent="0.35">
      <c r="H562" s="17"/>
    </row>
    <row r="563" spans="8:8" x14ac:dyDescent="0.35">
      <c r="H563" s="17"/>
    </row>
    <row r="564" spans="8:8" x14ac:dyDescent="0.35">
      <c r="H564" s="17"/>
    </row>
    <row r="565" spans="8:8" x14ac:dyDescent="0.35">
      <c r="H565" s="17"/>
    </row>
    <row r="566" spans="8:8" x14ac:dyDescent="0.35">
      <c r="H566" s="17"/>
    </row>
    <row r="567" spans="8:8" x14ac:dyDescent="0.35">
      <c r="H567" s="17"/>
    </row>
    <row r="568" spans="8:8" x14ac:dyDescent="0.35">
      <c r="H568" s="17"/>
    </row>
    <row r="569" spans="8:8" x14ac:dyDescent="0.35">
      <c r="H569" s="17"/>
    </row>
    <row r="570" spans="8:8" x14ac:dyDescent="0.35">
      <c r="H570" s="17"/>
    </row>
    <row r="571" spans="8:8" x14ac:dyDescent="0.35">
      <c r="H571" s="17"/>
    </row>
    <row r="572" spans="8:8" x14ac:dyDescent="0.35">
      <c r="H572" s="17"/>
    </row>
    <row r="573" spans="8:8" x14ac:dyDescent="0.35">
      <c r="H573" s="17"/>
    </row>
    <row r="574" spans="8:8" x14ac:dyDescent="0.35">
      <c r="H574" s="17"/>
    </row>
    <row r="575" spans="8:8" x14ac:dyDescent="0.35">
      <c r="H575" s="17"/>
    </row>
    <row r="576" spans="8:8" x14ac:dyDescent="0.35">
      <c r="H576" s="17"/>
    </row>
    <row r="577" spans="8:8" x14ac:dyDescent="0.35">
      <c r="H577" s="17"/>
    </row>
    <row r="578" spans="8:8" x14ac:dyDescent="0.35">
      <c r="H578" s="17"/>
    </row>
    <row r="579" spans="8:8" x14ac:dyDescent="0.35">
      <c r="H579" s="17"/>
    </row>
    <row r="580" spans="8:8" x14ac:dyDescent="0.35">
      <c r="H580" s="17"/>
    </row>
    <row r="581" spans="8:8" x14ac:dyDescent="0.35">
      <c r="H581" s="17"/>
    </row>
    <row r="582" spans="8:8" x14ac:dyDescent="0.35">
      <c r="H582" s="17"/>
    </row>
    <row r="583" spans="8:8" x14ac:dyDescent="0.35">
      <c r="H583" s="17"/>
    </row>
    <row r="584" spans="8:8" x14ac:dyDescent="0.35">
      <c r="H584" s="17"/>
    </row>
    <row r="585" spans="8:8" x14ac:dyDescent="0.35">
      <c r="H585" s="17"/>
    </row>
    <row r="586" spans="8:8" x14ac:dyDescent="0.35">
      <c r="H586" s="17"/>
    </row>
    <row r="587" spans="8:8" x14ac:dyDescent="0.35">
      <c r="H587" s="17"/>
    </row>
    <row r="588" spans="8:8" x14ac:dyDescent="0.35">
      <c r="H588" s="17"/>
    </row>
    <row r="589" spans="8:8" x14ac:dyDescent="0.35">
      <c r="H589" s="17"/>
    </row>
    <row r="590" spans="8:8" x14ac:dyDescent="0.35">
      <c r="H590" s="17"/>
    </row>
    <row r="591" spans="8:8" x14ac:dyDescent="0.35">
      <c r="H591" s="17"/>
    </row>
    <row r="592" spans="8:8" x14ac:dyDescent="0.35">
      <c r="H592" s="17"/>
    </row>
    <row r="593" spans="8:8" x14ac:dyDescent="0.35">
      <c r="H593" s="17"/>
    </row>
    <row r="594" spans="8:8" x14ac:dyDescent="0.35">
      <c r="H594" s="17"/>
    </row>
    <row r="595" spans="8:8" x14ac:dyDescent="0.35">
      <c r="H595" s="17"/>
    </row>
    <row r="596" spans="8:8" x14ac:dyDescent="0.35">
      <c r="H596" s="17"/>
    </row>
    <row r="597" spans="8:8" x14ac:dyDescent="0.35">
      <c r="H597" s="17"/>
    </row>
    <row r="598" spans="8:8" x14ac:dyDescent="0.35">
      <c r="H598" s="17"/>
    </row>
    <row r="599" spans="8:8" x14ac:dyDescent="0.35">
      <c r="H599" s="17"/>
    </row>
    <row r="600" spans="8:8" x14ac:dyDescent="0.35">
      <c r="H600" s="17"/>
    </row>
    <row r="601" spans="8:8" x14ac:dyDescent="0.35">
      <c r="H601" s="17"/>
    </row>
    <row r="602" spans="8:8" x14ac:dyDescent="0.35">
      <c r="H602" s="17"/>
    </row>
    <row r="603" spans="8:8" x14ac:dyDescent="0.35">
      <c r="H603" s="17"/>
    </row>
    <row r="604" spans="8:8" x14ac:dyDescent="0.35">
      <c r="H604" s="17"/>
    </row>
    <row r="605" spans="8:8" x14ac:dyDescent="0.35">
      <c r="H605" s="17"/>
    </row>
    <row r="606" spans="8:8" x14ac:dyDescent="0.35">
      <c r="H606" s="17"/>
    </row>
    <row r="607" spans="8:8" x14ac:dyDescent="0.35">
      <c r="H607" s="17"/>
    </row>
    <row r="608" spans="8:8" x14ac:dyDescent="0.35">
      <c r="H608" s="17"/>
    </row>
    <row r="609" spans="8:8" x14ac:dyDescent="0.35">
      <c r="H609" s="17"/>
    </row>
    <row r="610" spans="8:8" x14ac:dyDescent="0.35">
      <c r="H610" s="17"/>
    </row>
    <row r="611" spans="8:8" x14ac:dyDescent="0.35">
      <c r="H611" s="17"/>
    </row>
    <row r="612" spans="8:8" x14ac:dyDescent="0.35">
      <c r="H612" s="17"/>
    </row>
    <row r="613" spans="8:8" x14ac:dyDescent="0.35">
      <c r="H613" s="17"/>
    </row>
    <row r="614" spans="8:8" x14ac:dyDescent="0.35">
      <c r="H614" s="17"/>
    </row>
    <row r="615" spans="8:8" x14ac:dyDescent="0.35">
      <c r="H615" s="17"/>
    </row>
    <row r="616" spans="8:8" x14ac:dyDescent="0.35">
      <c r="H616" s="17"/>
    </row>
    <row r="617" spans="8:8" x14ac:dyDescent="0.35">
      <c r="H617" s="17"/>
    </row>
    <row r="618" spans="8:8" x14ac:dyDescent="0.35">
      <c r="H618" s="17"/>
    </row>
    <row r="619" spans="8:8" x14ac:dyDescent="0.35">
      <c r="H619" s="17"/>
    </row>
    <row r="620" spans="8:8" x14ac:dyDescent="0.35">
      <c r="H620" s="17"/>
    </row>
    <row r="621" spans="8:8" x14ac:dyDescent="0.35">
      <c r="H621" s="17"/>
    </row>
    <row r="622" spans="8:8" x14ac:dyDescent="0.35">
      <c r="H622" s="17"/>
    </row>
    <row r="623" spans="8:8" x14ac:dyDescent="0.35">
      <c r="H623" s="17"/>
    </row>
    <row r="624" spans="8:8" x14ac:dyDescent="0.35">
      <c r="H624" s="17"/>
    </row>
    <row r="625" spans="8:8" x14ac:dyDescent="0.35">
      <c r="H625" s="17"/>
    </row>
    <row r="626" spans="8:8" x14ac:dyDescent="0.35">
      <c r="H626" s="17"/>
    </row>
    <row r="627" spans="8:8" x14ac:dyDescent="0.35">
      <c r="H627" s="17"/>
    </row>
    <row r="628" spans="8:8" x14ac:dyDescent="0.35">
      <c r="H628" s="17"/>
    </row>
    <row r="629" spans="8:8" x14ac:dyDescent="0.35">
      <c r="H629" s="17"/>
    </row>
    <row r="630" spans="8:8" x14ac:dyDescent="0.35">
      <c r="H630" s="17"/>
    </row>
    <row r="631" spans="8:8" x14ac:dyDescent="0.35">
      <c r="H631" s="17"/>
    </row>
    <row r="632" spans="8:8" x14ac:dyDescent="0.35">
      <c r="H632" s="17"/>
    </row>
    <row r="633" spans="8:8" x14ac:dyDescent="0.35">
      <c r="H633" s="17"/>
    </row>
    <row r="634" spans="8:8" x14ac:dyDescent="0.35">
      <c r="H634" s="17"/>
    </row>
    <row r="635" spans="8:8" x14ac:dyDescent="0.35">
      <c r="H635" s="17"/>
    </row>
    <row r="636" spans="8:8" x14ac:dyDescent="0.35">
      <c r="H636" s="17"/>
    </row>
    <row r="637" spans="8:8" x14ac:dyDescent="0.35">
      <c r="H637" s="17"/>
    </row>
    <row r="638" spans="8:8" x14ac:dyDescent="0.35">
      <c r="H638" s="17"/>
    </row>
    <row r="639" spans="8:8" x14ac:dyDescent="0.35">
      <c r="H639" s="17"/>
    </row>
    <row r="640" spans="8:8" x14ac:dyDescent="0.35">
      <c r="H640" s="17"/>
    </row>
    <row r="641" spans="8:8" x14ac:dyDescent="0.35">
      <c r="H641" s="17"/>
    </row>
    <row r="642" spans="8:8" x14ac:dyDescent="0.35">
      <c r="H642" s="17"/>
    </row>
    <row r="643" spans="8:8" x14ac:dyDescent="0.35">
      <c r="H643" s="17"/>
    </row>
    <row r="644" spans="8:8" x14ac:dyDescent="0.35">
      <c r="H644" s="17"/>
    </row>
    <row r="645" spans="8:8" x14ac:dyDescent="0.35">
      <c r="H645" s="17"/>
    </row>
    <row r="646" spans="8:8" x14ac:dyDescent="0.35">
      <c r="H646" s="17"/>
    </row>
    <row r="647" spans="8:8" x14ac:dyDescent="0.35">
      <c r="H647" s="17"/>
    </row>
    <row r="648" spans="8:8" x14ac:dyDescent="0.35">
      <c r="H648" s="17"/>
    </row>
    <row r="649" spans="8:8" x14ac:dyDescent="0.35">
      <c r="H649" s="17"/>
    </row>
    <row r="650" spans="8:8" x14ac:dyDescent="0.35">
      <c r="H650" s="17"/>
    </row>
    <row r="651" spans="8:8" x14ac:dyDescent="0.35">
      <c r="H651" s="17"/>
    </row>
    <row r="652" spans="8:8" x14ac:dyDescent="0.35">
      <c r="H652" s="17"/>
    </row>
    <row r="653" spans="8:8" x14ac:dyDescent="0.35">
      <c r="H653" s="17"/>
    </row>
    <row r="654" spans="8:8" x14ac:dyDescent="0.35">
      <c r="H654" s="17"/>
    </row>
    <row r="655" spans="8:8" x14ac:dyDescent="0.35">
      <c r="H655" s="17"/>
    </row>
    <row r="656" spans="8:8" x14ac:dyDescent="0.35">
      <c r="H656" s="17"/>
    </row>
    <row r="657" spans="8:8" x14ac:dyDescent="0.35">
      <c r="H657" s="17"/>
    </row>
    <row r="658" spans="8:8" x14ac:dyDescent="0.35">
      <c r="H658" s="17"/>
    </row>
    <row r="659" spans="8:8" x14ac:dyDescent="0.35">
      <c r="H659" s="17"/>
    </row>
    <row r="660" spans="8:8" x14ac:dyDescent="0.35">
      <c r="H660" s="17"/>
    </row>
    <row r="661" spans="8:8" x14ac:dyDescent="0.35">
      <c r="H661" s="17"/>
    </row>
    <row r="662" spans="8:8" x14ac:dyDescent="0.35">
      <c r="H662" s="17"/>
    </row>
    <row r="663" spans="8:8" x14ac:dyDescent="0.35">
      <c r="H663" s="17"/>
    </row>
    <row r="664" spans="8:8" x14ac:dyDescent="0.35">
      <c r="H664" s="17"/>
    </row>
    <row r="665" spans="8:8" x14ac:dyDescent="0.35">
      <c r="H665" s="17"/>
    </row>
    <row r="666" spans="8:8" x14ac:dyDescent="0.35">
      <c r="H666" s="17"/>
    </row>
    <row r="667" spans="8:8" x14ac:dyDescent="0.35">
      <c r="H667" s="17"/>
    </row>
    <row r="668" spans="8:8" x14ac:dyDescent="0.35">
      <c r="H668" s="17"/>
    </row>
    <row r="669" spans="8:8" x14ac:dyDescent="0.35">
      <c r="H669" s="17"/>
    </row>
    <row r="670" spans="8:8" x14ac:dyDescent="0.35">
      <c r="H670" s="17"/>
    </row>
    <row r="671" spans="8:8" x14ac:dyDescent="0.35">
      <c r="H671" s="17"/>
    </row>
    <row r="672" spans="8:8" x14ac:dyDescent="0.35">
      <c r="H672" s="17"/>
    </row>
    <row r="673" spans="8:8" x14ac:dyDescent="0.35">
      <c r="H673" s="17"/>
    </row>
    <row r="674" spans="8:8" x14ac:dyDescent="0.35">
      <c r="H674" s="17"/>
    </row>
    <row r="675" spans="8:8" x14ac:dyDescent="0.35">
      <c r="H675" s="17"/>
    </row>
    <row r="676" spans="8:8" x14ac:dyDescent="0.35">
      <c r="H676" s="17"/>
    </row>
    <row r="677" spans="8:8" x14ac:dyDescent="0.35">
      <c r="H677" s="17"/>
    </row>
    <row r="678" spans="8:8" x14ac:dyDescent="0.35">
      <c r="H678" s="17"/>
    </row>
    <row r="679" spans="8:8" x14ac:dyDescent="0.35">
      <c r="H679" s="17"/>
    </row>
    <row r="680" spans="8:8" x14ac:dyDescent="0.35">
      <c r="H680" s="17"/>
    </row>
    <row r="681" spans="8:8" x14ac:dyDescent="0.35">
      <c r="H681" s="17"/>
    </row>
    <row r="682" spans="8:8" x14ac:dyDescent="0.35">
      <c r="H682" s="17"/>
    </row>
    <row r="683" spans="8:8" x14ac:dyDescent="0.35">
      <c r="H683" s="17"/>
    </row>
    <row r="684" spans="8:8" x14ac:dyDescent="0.35">
      <c r="H684" s="17"/>
    </row>
    <row r="685" spans="8:8" x14ac:dyDescent="0.35">
      <c r="H685" s="17"/>
    </row>
    <row r="686" spans="8:8" x14ac:dyDescent="0.35">
      <c r="H686" s="17"/>
    </row>
    <row r="687" spans="8:8" x14ac:dyDescent="0.35">
      <c r="H687" s="17"/>
    </row>
    <row r="688" spans="8:8" x14ac:dyDescent="0.35">
      <c r="H688" s="17"/>
    </row>
    <row r="689" spans="8:8" x14ac:dyDescent="0.35">
      <c r="H689" s="17"/>
    </row>
    <row r="690" spans="8:8" x14ac:dyDescent="0.35">
      <c r="H690" s="17"/>
    </row>
    <row r="691" spans="8:8" x14ac:dyDescent="0.35">
      <c r="H691" s="17"/>
    </row>
    <row r="692" spans="8:8" x14ac:dyDescent="0.35">
      <c r="H692" s="17"/>
    </row>
    <row r="693" spans="8:8" x14ac:dyDescent="0.35">
      <c r="H693" s="17"/>
    </row>
    <row r="694" spans="8:8" x14ac:dyDescent="0.35">
      <c r="H694" s="17"/>
    </row>
    <row r="695" spans="8:8" x14ac:dyDescent="0.35">
      <c r="H695" s="17"/>
    </row>
    <row r="696" spans="8:8" x14ac:dyDescent="0.35">
      <c r="H696" s="17"/>
    </row>
    <row r="697" spans="8:8" x14ac:dyDescent="0.35">
      <c r="H697" s="17"/>
    </row>
    <row r="698" spans="8:8" x14ac:dyDescent="0.35">
      <c r="H698" s="17"/>
    </row>
    <row r="699" spans="8:8" x14ac:dyDescent="0.35">
      <c r="H699" s="17"/>
    </row>
    <row r="700" spans="8:8" x14ac:dyDescent="0.35">
      <c r="H700" s="17"/>
    </row>
    <row r="701" spans="8:8" x14ac:dyDescent="0.35">
      <c r="H701" s="17"/>
    </row>
    <row r="702" spans="8:8" x14ac:dyDescent="0.35">
      <c r="H702" s="17"/>
    </row>
    <row r="703" spans="8:8" x14ac:dyDescent="0.35">
      <c r="H703" s="17"/>
    </row>
    <row r="704" spans="8:8" x14ac:dyDescent="0.35">
      <c r="H704" s="17"/>
    </row>
    <row r="705" spans="8:8" x14ac:dyDescent="0.35">
      <c r="H705" s="17"/>
    </row>
    <row r="706" spans="8:8" x14ac:dyDescent="0.35">
      <c r="H706" s="17"/>
    </row>
    <row r="707" spans="8:8" x14ac:dyDescent="0.35">
      <c r="H707" s="17"/>
    </row>
  </sheetData>
  <mergeCells count="6">
    <mergeCell ref="B24:E24"/>
    <mergeCell ref="B2:E2"/>
    <mergeCell ref="B11:E11"/>
    <mergeCell ref="B15:E15"/>
    <mergeCell ref="B18:E18"/>
    <mergeCell ref="B21:E21"/>
  </mergeCells>
  <phoneticPr fontId="6" type="noConversion"/>
  <conditionalFormatting sqref="E12:E92">
    <cfRule type="expression" dxfId="1" priority="1">
      <formula>IF(ISBLANK($D12), FALSE, IF(RedGreen_Formatting = "Enabled", $D12 &lt;= $E12 + Percent_Error, FALSE))</formula>
    </cfRule>
    <cfRule type="expression" dxfId="0" priority="2">
      <formula>IF(ISBLANK($D12), FALSE, IF(RedGreen_Formatting = "Enabled", $D12 &gt; $E12 + Percent_Error, FALSE))</formula>
    </cfRule>
  </conditionalFormatting>
  <dataValidations count="3">
    <dataValidation type="custom" allowBlank="1" showInputMessage="1" showErrorMessage="1" errorTitle="Incorrect" error="The day of the week has to be the same as the one you selected to be your reporting day in settings." promptTitle="Report Date" prompt="This date must have the same day of the week as the reporting day in settings." sqref="H6" xr:uid="{00CFFA5A-988E-4570-991C-83930CECC7EB}">
      <formula1>_xlfn.SWITCH(WEEKDAY(Report_Date, 1), 1, "Sunday", 2, "Monday", 3, "Tuesday", 4, "Wednesday", 5, "Thursday", 6, "Friday", 7, "Saturday") = Reporting_Day</formula1>
    </dataValidation>
    <dataValidation type="list" allowBlank="1" showInputMessage="1" showErrorMessage="1" promptTitle="% Complete Formatting" prompt="Using this toggle to enable or disable the red and green formating. (I know some PM's don't like showing giving the owner a copy with a bunch of red)" sqref="H7" xr:uid="{8A1B03EA-7214-45DD-9A9F-E88973826651}">
      <formula1>"Enabled, Disabled"</formula1>
    </dataValidation>
    <dataValidation type="decimal" allowBlank="1" showInputMessage="1" showErrorMessage="1" promptTitle="Percent Error" prompt="This is the amount behind you can be before the actual % cell turns red. Only works if RedGreen Formatting is enabled." sqref="H8" xr:uid="{D4688425-FF77-46A3-BA3A-083E585F7651}">
      <formula1>0</formula1>
      <formula2>0.25</formula2>
    </dataValidation>
  </dataValidations>
  <pageMargins left="0.7" right="0.7" top="0.75" bottom="0.75" header="0.3" footer="0.3"/>
  <pageSetup scale="95" fitToHeight="0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4" r:id="rId4" name="Button 6">
              <controlPr defaultSize="0" print="0" autoFill="0" autoPict="0" macro="[0]!Button6_Click">
                <anchor moveWithCells="1" sizeWithCells="1">
                  <from>
                    <xdr:col>6</xdr:col>
                    <xdr:colOff>19050</xdr:colOff>
                    <xdr:row>1</xdr:row>
                    <xdr:rowOff>19050</xdr:rowOff>
                  </from>
                  <to>
                    <xdr:col>6</xdr:col>
                    <xdr:colOff>1504950</xdr:colOff>
                    <xdr:row>3</xdr:row>
                    <xdr:rowOff>196850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17</vt:i4>
      </vt:variant>
    </vt:vector>
  </HeadingPairs>
  <TitlesOfParts>
    <vt:vector size="20" baseType="lpstr">
      <vt:lpstr>Template</vt:lpstr>
      <vt:lpstr>Settings</vt:lpstr>
      <vt:lpstr>Main</vt:lpstr>
      <vt:lpstr>Dev_Mode</vt:lpstr>
      <vt:lpstr>Half_After_Holiday</vt:lpstr>
      <vt:lpstr>Logging</vt:lpstr>
      <vt:lpstr>Percent_Error</vt:lpstr>
      <vt:lpstr>Power_BI_Export_Folder</vt:lpstr>
      <vt:lpstr>Power_BI_Filename</vt:lpstr>
      <vt:lpstr>Main!Print_Area</vt:lpstr>
      <vt:lpstr>Template!Print_Area</vt:lpstr>
      <vt:lpstr>Project_Engineer</vt:lpstr>
      <vt:lpstr>Project_Manager</vt:lpstr>
      <vt:lpstr>Project_Name</vt:lpstr>
      <vt:lpstr>Project_Number</vt:lpstr>
      <vt:lpstr>RedGreen_Formatting</vt:lpstr>
      <vt:lpstr>Report_Date</vt:lpstr>
      <vt:lpstr>Reporting_Day</vt:lpstr>
      <vt:lpstr>Schedule_Run_Date</vt:lpstr>
      <vt:lpstr>Superintendent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Camron Walker</dc:creator>
  <cp:lastModifiedBy>Camron Walker</cp:lastModifiedBy>
  <cp:lastPrinted>2020-05-20T00:37:24Z</cp:lastPrinted>
  <dcterms:created xsi:type="dcterms:W3CDTF">2019-04-09T17:53:55Z</dcterms:created>
  <dcterms:modified xsi:type="dcterms:W3CDTF">2020-05-20T16:23:41Z</dcterms:modified>
</cp:coreProperties>
</file>