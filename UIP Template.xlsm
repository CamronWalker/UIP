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C3533DAB-46BC-49EE-B7C4-3184683CDB2E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14" i="3" l="1"/>
  <c r="AA15" i="3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N6" i="3" l="1"/>
  <c r="U4" i="3" l="1"/>
  <c r="L14" i="3" s="1"/>
  <c r="S3" i="3"/>
  <c r="B2" i="3" s="1"/>
  <c r="S2" i="3"/>
  <c r="C7" i="3" l="1"/>
  <c r="C6" i="3"/>
  <c r="C5" i="3"/>
  <c r="C4" i="3"/>
  <c r="N12" i="3"/>
  <c r="O11" i="3"/>
  <c r="J11" i="3"/>
  <c r="J10" i="3"/>
  <c r="J9" i="3"/>
  <c r="O8" i="3"/>
  <c r="N8" i="3"/>
  <c r="J8" i="3"/>
  <c r="O7" i="3"/>
  <c r="N7" i="3"/>
  <c r="J7" i="3"/>
  <c r="O6" i="3"/>
  <c r="N5" i="3"/>
  <c r="J6" i="3"/>
  <c r="O5" i="3"/>
  <c r="O10" i="3"/>
  <c r="N10" i="3"/>
  <c r="N9" i="3"/>
  <c r="O9" i="3"/>
  <c r="N11" i="3"/>
  <c r="N13" i="3" l="1"/>
  <c r="B8" i="2" l="1"/>
  <c r="B7" i="2"/>
  <c r="B6" i="2"/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<sst xmlns="http://schemas.openxmlformats.org/spreadsheetml/2006/main" count="102" uniqueCount="89">
  <si>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</si>
  <si>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</si>
  <si>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</si>
  <si>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</si>
  <si>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</si>
  <si>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</si>
  <si>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</si>
  <si>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</si>
  <si>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</si>
  <si>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</si>
  <si>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</si>
  <si>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</si>
  <si>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</si>
  <si>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</si>
  <si>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</si>
  <si>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</si>
  <si>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</si>
  <si>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</si>
  <si>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</si>
  <si>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</si>
  <si>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Wednesday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</si>
  <si>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</si>
  <si>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</si>
  <si>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</si>
  <si>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</si>
  <si>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</si>
  <si>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</si>
  <si>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</si>
  <si>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</si>
  <si>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</si>
  <si>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</si>
  <si>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</si>
  <si>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</si>
  <si>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</si>
  <si>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</si>
  <si>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</si>
  <si>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</si>
  <si>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</si>
  <si>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</si>
  <si>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</si>
  <si>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</si>
  <si>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</si>
  <si>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</si>
  <si>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</si>
  <si>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</si>
  <si>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</si>
  <si>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</si>
  <si>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</si>
  <si>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</si>
  <si>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</si>
  <si>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</si>
  <si>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</si>
  <si>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</si>
  <si>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</si>
  <si>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</si>
  <si>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</si>
  <si>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</si>
  <si>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</si>
  <si>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</si>
  <si>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</si>
  <si>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</si>
  <si>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</si>
  <si>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</si>
  <si>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</si>
  <si>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</si>
  <si>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</si>
  <si>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</si>
  <si>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</si>
  <si>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</si>
  <si>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</si>
  <si>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</si>
  <si>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</si>
  <si>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</si>
  <si>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</si>
  <si>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</si>
  <si>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</si>
  <si>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</si>
  <si>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</si>
  <si>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</si>
  <si>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</si>
  <si>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</si>
  <si>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</si>
  <si>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</si>
  <si>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</si>
  <si>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</si>
  <si>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</si>
  <si>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</si>
  <si>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Temp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</si>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</sst>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1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76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Alignment="1">
      <alignment horizontal="right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0" fontId="10" fillId="0" borderId="11" xfId="0" applyFont="1" applyBorder="1" applyAlignment="1">
      <alignment horizontal="right" vertical="center" indent="1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</cellXfs>
  <cellStyles count="3">
    <cellStyle name="Calculation" xfId="2" builtinId="22"/>
    <cellStyle name="Input" xfId="1" builtinId="20"/>
    <cellStyle name="Normal" xfId="0" builtinId="0"/>
  </cellStyles>
  <dxfs count="19"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color theme="0"/>
      </font>
    </dxf>
    <dxf>
      <numFmt numFmtId="165" formatCode="yyyy\-mm\-dd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1ADEA26-F697-48D7-B730-73D01C2A84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4C0F98-F5EB-4C68-9C04-ACE4AD792D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38B0BA-E240-4B66-ABE5-C66D207820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C7A1F1-3E5F-4681-9664-B1930FC7EF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0172E7-6A69-4563-80CF-3F00A20823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9516BA-CC8B-4EA0-A4CC-A377EDE57E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B15A5A-9A61-4BFB-A195-A77EA7D029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D70470-85E3-4581-A176-711EB9573C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86757E-B3CD-4131-A003-0167830C5F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D259F25-D967-4964-ABEF-A939139F97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53C2B3-627F-4C39-8D0D-E71CFCB70D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0697E8A-5E20-430C-BE21-F40777A9B0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EE1979-B1ED-461A-85E4-EA77947263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Template!$AC$14:$AC$26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Template!$AB$14:$AB$26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Template!$AD$14:$AD$26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Template!$AE$14:$AE$26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Template!$AF$14:$AF$26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606951</xdr:colOff>
      <xdr:row>0</xdr:row>
      <xdr:rowOff>164658</xdr:rowOff>
    </xdr:from>
    <xdr:to>
      <xdr:col>15</xdr:col>
      <xdr:colOff>1</xdr:colOff>
      <xdr:row>3</xdr:row>
      <xdr:rowOff>33991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309127" y="164658"/>
          <a:ext cx="1529639" cy="41804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196850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 refreshError="1"/>
      <sheetData sheetId="1" refreshError="1"/>
      <sheetData sheetId="2" refreshError="1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  <row r="9">
          <cell r="R9" t="str">
            <v>Weekly Plan</v>
          </cell>
          <cell r="S9" t="str">
            <v>Weekly Actual</v>
          </cell>
          <cell r="T9" t="str">
            <v>Accumulated Plan</v>
          </cell>
          <cell r="U9" t="str">
            <v>Accumulated Actual</v>
          </cell>
        </row>
        <row r="10">
          <cell r="Q10" t="e">
            <v>#NUM!</v>
          </cell>
          <cell r="R10">
            <v>100</v>
          </cell>
          <cell r="T10">
            <v>100</v>
          </cell>
          <cell r="U10" t="e">
            <v>#N/A</v>
          </cell>
          <cell r="V10" t="str">
            <v>Temp</v>
          </cell>
        </row>
        <row r="11">
          <cell r="Q11" t="e">
            <v>#NUM!</v>
          </cell>
          <cell r="R11">
            <v>100</v>
          </cell>
          <cell r="T11">
            <v>200</v>
          </cell>
          <cell r="U11" t="e">
            <v>#N/A</v>
          </cell>
          <cell r="V11" t="str">
            <v>A</v>
          </cell>
        </row>
        <row r="12">
          <cell r="Q12" t="e">
            <v>#NUM!</v>
          </cell>
          <cell r="R12">
            <v>100</v>
          </cell>
          <cell r="T12">
            <v>300</v>
          </cell>
          <cell r="U12" t="e">
            <v>#N/A</v>
          </cell>
          <cell r="V12" t="str">
            <v>A</v>
          </cell>
        </row>
        <row r="13">
          <cell r="Q13" t="e">
            <v>#NUM!</v>
          </cell>
          <cell r="R13">
            <v>100</v>
          </cell>
          <cell r="T13">
            <v>400</v>
          </cell>
          <cell r="U13" t="e">
            <v>#N/A</v>
          </cell>
          <cell r="V13" t="str">
            <v>A</v>
          </cell>
        </row>
        <row r="14">
          <cell r="Q14" t="e">
            <v>#NUM!</v>
          </cell>
          <cell r="R14">
            <v>100</v>
          </cell>
          <cell r="T14">
            <v>500</v>
          </cell>
          <cell r="U14" t="e">
            <v>#N/A</v>
          </cell>
          <cell r="V14" t="str">
            <v>A</v>
          </cell>
        </row>
        <row r="15">
          <cell r="Q15" t="e">
            <v>#NUM!</v>
          </cell>
          <cell r="R15">
            <v>100</v>
          </cell>
          <cell r="T15">
            <v>600</v>
          </cell>
          <cell r="U15" t="e">
            <v>#N/A</v>
          </cell>
          <cell r="V15" t="str">
            <v>A</v>
          </cell>
        </row>
        <row r="16">
          <cell r="Q16" t="e">
            <v>#NUM!</v>
          </cell>
          <cell r="R16">
            <v>100</v>
          </cell>
          <cell r="T16">
            <v>700</v>
          </cell>
          <cell r="U16" t="e">
            <v>#N/A</v>
          </cell>
          <cell r="V16" t="str">
            <v>A</v>
          </cell>
        </row>
        <row r="17">
          <cell r="Q17" t="e">
            <v>#NUM!</v>
          </cell>
          <cell r="R17">
            <v>100</v>
          </cell>
          <cell r="T17">
            <v>800</v>
          </cell>
          <cell r="U17" t="e">
            <v>#N/A</v>
          </cell>
          <cell r="V17" t="str">
            <v>A</v>
          </cell>
        </row>
        <row r="18">
          <cell r="Q18" t="e">
            <v>#NUM!</v>
          </cell>
          <cell r="R18">
            <v>100</v>
          </cell>
          <cell r="T18">
            <v>900</v>
          </cell>
          <cell r="U18" t="e">
            <v>#N/A</v>
          </cell>
          <cell r="V18" t="str">
            <v>A</v>
          </cell>
        </row>
        <row r="19">
          <cell r="Q19" t="e">
            <v>#NUM!</v>
          </cell>
          <cell r="R19">
            <v>100</v>
          </cell>
          <cell r="T19">
            <v>1000</v>
          </cell>
          <cell r="U19" t="e">
            <v>#N/A</v>
          </cell>
          <cell r="V19" t="str">
            <v>A</v>
          </cell>
        </row>
        <row r="20">
          <cell r="Q20" t="e">
            <v>#NUM!</v>
          </cell>
          <cell r="R20">
            <v>100</v>
          </cell>
          <cell r="T20">
            <v>1100</v>
          </cell>
          <cell r="U20" t="e">
            <v>#N/A</v>
          </cell>
          <cell r="V20" t="str">
            <v>A</v>
          </cell>
        </row>
        <row r="21">
          <cell r="Q21" t="e">
            <v>#NUM!</v>
          </cell>
          <cell r="R21">
            <v>100</v>
          </cell>
          <cell r="T21">
            <v>1200</v>
          </cell>
          <cell r="U21" t="e">
            <v>#N/A</v>
          </cell>
          <cell r="V21" t="str">
            <v>A</v>
          </cell>
        </row>
        <row r="22">
          <cell r="Q22" t="e">
            <v>#NUM!</v>
          </cell>
          <cell r="R22">
            <v>100</v>
          </cell>
          <cell r="T22">
            <v>1300</v>
          </cell>
          <cell r="U22" t="e">
            <v>#N/A</v>
          </cell>
          <cell r="V22" t="str">
            <v>A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4" totalsRowShown="0" headerRowDxfId="9" dataDxfId="8">
  <autoFilter ref="R13:X14" xr:uid="{FF2C9E8B-1A62-479C-AF68-79B236C0B7BB}"/>
  <tableColumns count="7">
    <tableColumn id="1" xr3:uid="{727C6146-39EA-4E15-8783-53CAA87FAF36}" name="Zone ID" dataDxfId="16"/>
    <tableColumn id="2" xr3:uid="{2CA65110-6DD7-46D8-BFC2-5EB0C0E57567}" name="Description" dataDxfId="15"/>
    <tableColumn id="3" xr3:uid="{12D64F80-6A69-494F-BF8F-E326D34A185A}" name="Short Description" dataDxfId="14"/>
    <tableColumn id="4" xr3:uid="{71F3F5B2-8F6B-4985-B1FC-5A9D60095474}" name="Start Date" dataDxfId="13"/>
    <tableColumn id="5" xr3:uid="{57258378-8FED-4727-89AC-D938CB414B7B}" name="Finish Date" dataDxfId="12"/>
    <tableColumn id="6" xr3:uid="{ED4D3C9E-A6C7-420C-BE38-7AA6F80835A2}" name="Total" dataDxfId="11"/>
    <tableColumn id="7" xr3:uid="{AC25D65C-9FB4-4F8A-9A72-57F6F2EC5CEF}" name="Completed Total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F26" totalsRowShown="0" headerRowDxfId="7">
  <autoFilter ref="AA13:AF26" xr:uid="{2EFBB27C-F70F-4E8D-93C9-B9166FB374ED}"/>
  <tableColumns count="6">
    <tableColumn id="1" xr3:uid="{13F9A169-BFE8-4436-A535-BADFC0E7BD6C}" name="Date" dataDxfId="4">
      <calculatedColumnFormula>IF(AA13 = "Date", $S$4, AA13+7)</calculatedColumnFormula>
    </tableColumn>
    <tableColumn id="6" xr3:uid="{5740AC03-CF53-4345-8667-6AC0CA6843D0}" name="Primary Areas" dataDxfId="3"/>
    <tableColumn id="2" xr3:uid="{AF232D3D-EC3F-4232-BA5D-1427173C2D6A}" name="Weekly Plan"/>
    <tableColumn id="3" xr3:uid="{B28103F6-7596-4848-9F0D-3E4A9E5CBEFE}" name="Weekly Actual"/>
    <tableColumn id="4" xr3:uid="{EF1C6009-71E6-491B-B64F-04049D2D9103}" name="Accumulated Plan" dataDxfId="5">
      <calculatedColumnFormula>SUM($AC$14:AC14)</calculatedColumnFormula>
    </tableColumn>
    <tableColumn id="5" xr3:uid="{442DAB73-1233-4C61-8DE9-3B44CE2C5D69}" name="Accumulated Actual" dataDxfId="6">
      <calculatedColumnFormula>IF(AD14="",NA(),SUM($S$10:AD14))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8">
  <autoFilter ref="H2:H5" xr:uid="{1041DC80-58D6-4308-9DE1-A4EC8AAD3C20}"/>
  <tableColumns count="1">
    <tableColumn id="1" xr3:uid="{0E6D3E77-7CB7-40A1-BCA6-DDC8164AAEB9}" name="Holidays" dataDxfId="17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G40"/>
  <sheetViews>
    <sheetView tabSelected="1" zoomScaleNormal="100" workbookViewId="0">
      <selection activeCell="V20" sqref="V20"/>
    </sheetView>
  </sheetViews>
  <sheetFormatPr defaultRowHeight="14.5" x14ac:dyDescent="0.35"/>
  <cols>
    <col min="1" max="1" width="2.632812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6328125" style="8" customWidth="1"/>
    <col min="16" max="17" width="2.6328125" style="8" customWidth="1"/>
    <col min="18" max="18" width="17.1796875" style="28" bestFit="1" customWidth="1"/>
    <col min="19" max="19" width="24.7265625" style="8" customWidth="1"/>
    <col min="20" max="20" width="18.54296875" style="8" customWidth="1"/>
    <col min="21" max="22" width="14.6328125" style="8" customWidth="1"/>
    <col min="23" max="24" width="17.26953125" style="8" customWidth="1"/>
    <col min="25" max="26" width="2.6328125" style="8" customWidth="1"/>
    <col min="27" max="27" width="14.81640625" style="8" customWidth="1"/>
    <col min="28" max="28" width="16.6328125" style="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4" max="16384" width="8.7265625" style="8"/>
  </cols>
  <sheetData>
    <row r="1" spans="2:33" thickBot="1" x14ac:dyDescent="0.35">
      <c r="AG1" s="8"/>
    </row>
    <row r="2" spans="2:33" ht="14" x14ac:dyDescent="0.3">
      <c r="B2" s="29" t="str">
        <f>_xlfn.CONCAT("PROGRESS REPORT ", TEXT(S3,"mm/dd/yyyy"))</f>
        <v>PROGRESS REPORT 05/20/2020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1"/>
      <c r="R2" s="28" t="s">
        <v>61</v>
      </c>
      <c r="S2" s="32" t="str">
        <f ca="1">MID(CELL("filename",B1),FIND("]",CELL("filename",B1))+1,LEN(CELL("filename",B1))-FIND("]",CELL("filename",B1)))</f>
        <v>Template</v>
      </c>
      <c r="T2" s="28" t="s">
        <v>64</v>
      </c>
      <c r="U2" s="33" t="s">
        <v>63</v>
      </c>
      <c r="AG2" s="8"/>
    </row>
    <row r="3" spans="2:33" ht="14" x14ac:dyDescent="0.3">
      <c r="B3" s="34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6"/>
      <c r="R3" s="28" t="s">
        <v>18</v>
      </c>
      <c r="S3" s="37">
        <f>Report_Date</f>
        <v>43971</v>
      </c>
      <c r="T3" s="28" t="s">
        <v>65</v>
      </c>
      <c r="U3" s="33" t="s">
        <v>66</v>
      </c>
      <c r="AG3" s="8"/>
    </row>
    <row r="4" spans="2:33" ht="15" x14ac:dyDescent="0.3">
      <c r="B4" s="38" t="s">
        <v>50</v>
      </c>
      <c r="C4" s="39" t="str">
        <f>Project_Name</f>
        <v>Westland Super Cool Project</v>
      </c>
      <c r="D4" s="39"/>
      <c r="E4" s="39"/>
      <c r="F4" s="39"/>
      <c r="G4" s="39"/>
      <c r="H4" s="39"/>
      <c r="I4" s="39"/>
      <c r="J4" s="40" t="s">
        <v>51</v>
      </c>
      <c r="K4" s="40"/>
      <c r="L4" s="40"/>
      <c r="M4" s="40"/>
      <c r="N4" s="41" t="s">
        <v>52</v>
      </c>
      <c r="O4" s="42" t="s">
        <v>53</v>
      </c>
      <c r="R4" s="28" t="s">
        <v>62</v>
      </c>
      <c r="S4" s="32"/>
      <c r="T4" s="28" t="s">
        <v>80</v>
      </c>
      <c r="U4" s="43">
        <f>Schedule_Run_Date</f>
        <v>44652</v>
      </c>
      <c r="AG4" s="8"/>
    </row>
    <row r="5" spans="2:33" ht="15" x14ac:dyDescent="0.3">
      <c r="B5" s="38" t="s">
        <v>54</v>
      </c>
      <c r="C5" s="39" t="str">
        <f>Project_Number</f>
        <v>S000</v>
      </c>
      <c r="D5" s="39"/>
      <c r="E5" s="39"/>
      <c r="F5" s="39"/>
      <c r="G5" s="39"/>
      <c r="H5" s="39"/>
      <c r="I5" s="39"/>
      <c r="J5" s="44" t="s">
        <v>55</v>
      </c>
      <c r="K5" s="44"/>
      <c r="L5" s="44"/>
      <c r="M5" s="44"/>
      <c r="N5" s="45">
        <f>IF(ISERROR(N7/N6), 0, N7/N6)</f>
        <v>0</v>
      </c>
      <c r="O5" s="46">
        <f>IF(ISERROR(O7/O6), 0, O7/O6)</f>
        <v>0</v>
      </c>
      <c r="R5" s="28" t="s">
        <v>73</v>
      </c>
      <c r="S5" s="47" t="b">
        <v>1</v>
      </c>
      <c r="AG5" s="8"/>
    </row>
    <row r="6" spans="2:33" ht="15" x14ac:dyDescent="0.3">
      <c r="B6" s="38" t="s">
        <v>56</v>
      </c>
      <c r="C6" s="39" t="str">
        <f>Main!C12</f>
        <v>XYZ Corp</v>
      </c>
      <c r="D6" s="39"/>
      <c r="E6" s="39"/>
      <c r="F6" s="39"/>
      <c r="G6" s="39"/>
      <c r="H6" s="39"/>
      <c r="I6" s="39"/>
      <c r="J6" s="44" t="str">
        <f>_xlfn.CONCAT("Overall Totals (", IF(ISBLANK($R$6),"",$R$6), ")")</f>
        <v>Overall Totals (Works Tuesday:)</v>
      </c>
      <c r="K6" s="44"/>
      <c r="L6" s="44"/>
      <c r="M6" s="44"/>
      <c r="N6" s="48" t="str">
        <f>$T$4</f>
        <v>Schedule Run Date:</v>
      </c>
      <c r="O6" s="49">
        <f>$V$4</f>
        <v>0</v>
      </c>
      <c r="R6" s="28" t="s">
        <v>74</v>
      </c>
      <c r="S6" s="47" t="b">
        <v>1</v>
      </c>
      <c r="AG6" s="8"/>
    </row>
    <row r="7" spans="2:33" ht="15" x14ac:dyDescent="0.3">
      <c r="B7" s="38" t="s">
        <v>57</v>
      </c>
      <c r="C7" s="39" t="str">
        <f>RIGHT(Main!B13, LEN(Main!B13) - 4)</f>
        <v>Foundation Walls</v>
      </c>
      <c r="D7" s="39"/>
      <c r="E7" s="39"/>
      <c r="F7" s="39"/>
      <c r="G7" s="39"/>
      <c r="H7" s="39"/>
      <c r="I7" s="39"/>
      <c r="J7" s="44" t="str">
        <f>_xlfn.CONCAT("Overall Completed Totals (", IF(ISBLANK($R$6),"",$R$6), ")")</f>
        <v>Overall Completed Totals (Works Tuesday:)</v>
      </c>
      <c r="K7" s="44"/>
      <c r="L7" s="44"/>
      <c r="M7" s="44"/>
      <c r="N7" s="48">
        <f>$T$16</f>
        <v>0</v>
      </c>
      <c r="O7" s="49">
        <f>$U$16</f>
        <v>0</v>
      </c>
      <c r="R7" s="28" t="s">
        <v>75</v>
      </c>
      <c r="S7" s="47" t="b">
        <v>1</v>
      </c>
      <c r="AG7" s="8"/>
    </row>
    <row r="8" spans="2:33" ht="15" x14ac:dyDescent="0.3">
      <c r="B8" s="50"/>
      <c r="C8" s="51"/>
      <c r="D8" s="51"/>
      <c r="E8" s="51"/>
      <c r="F8" s="51"/>
      <c r="G8" s="51"/>
      <c r="H8" s="51"/>
      <c r="I8" s="51"/>
      <c r="J8" s="44" t="str">
        <f>_xlfn.CONCAT("This Week's Production (", IF(ISBLANK($R$6),"",$R$6), ")")</f>
        <v>This Week's Production (Works Tuesday:)</v>
      </c>
      <c r="K8" s="44"/>
      <c r="L8" s="44"/>
      <c r="M8" s="44"/>
      <c r="N8" s="48">
        <f>$R$16</f>
        <v>0</v>
      </c>
      <c r="O8" s="49">
        <f>$S$16</f>
        <v>0</v>
      </c>
      <c r="R8" s="28" t="s">
        <v>76</v>
      </c>
      <c r="S8" s="47" t="b">
        <v>1</v>
      </c>
      <c r="AG8" s="8"/>
    </row>
    <row r="9" spans="2:33" ht="15" x14ac:dyDescent="0.3">
      <c r="B9" s="50"/>
      <c r="C9" s="51"/>
      <c r="D9" s="51"/>
      <c r="E9" s="51"/>
      <c r="F9" s="51"/>
      <c r="G9" s="51"/>
      <c r="H9" s="51"/>
      <c r="I9" s="51"/>
      <c r="J9" s="44" t="str">
        <f>_xlfn.CONCAT("Weekly Average (", IF(ISBLANK($R$6),"",$R$6), ")")</f>
        <v>Weekly Average (Works Tuesday:)</v>
      </c>
      <c r="K9" s="44"/>
      <c r="L9" s="44"/>
      <c r="M9" s="44"/>
      <c r="N9" s="52" t="e">
        <f ca="1">AVERAGE(INDIRECT("Main_"&amp;$R$2&amp;"[Weekly Plan]"))</f>
        <v>#REF!</v>
      </c>
      <c r="O9" s="53" t="e">
        <f ca="1">AVERAGE(INDIRECT("Main_"&amp;$R$2&amp;"[Weekly Actual]"))</f>
        <v>#REF!</v>
      </c>
      <c r="R9" s="28" t="s">
        <v>77</v>
      </c>
      <c r="S9" s="47" t="b">
        <v>1</v>
      </c>
      <c r="AG9" s="8"/>
    </row>
    <row r="10" spans="2:33" ht="15" x14ac:dyDescent="0.3">
      <c r="B10" s="50"/>
      <c r="C10" s="51"/>
      <c r="D10" s="51"/>
      <c r="E10" s="51"/>
      <c r="F10" s="51"/>
      <c r="G10" s="51"/>
      <c r="H10" s="51"/>
      <c r="I10" s="51"/>
      <c r="J10" s="44" t="str">
        <f>_xlfn.CONCAT("Average Past 4 Weeks (", IF(ISBLANK($R$6),"",$R$6), ")")</f>
        <v>Average Past 4 Weeks (Works Tuesday:)</v>
      </c>
      <c r="K10" s="44"/>
      <c r="L10" s="44"/>
      <c r="M10" s="44"/>
      <c r="N10" s="52" t="e">
        <f ca="1">(VLOOKUP($R$3,INDIRECT("Main_"&amp;$R$2), 2)+VLOOKUP($R$3-7,INDIRECT("Main_"&amp;$R$2), 2)+VLOOKUP($R$3-14,INDIRECT("Main_"&amp;$R$2), 2)+VLOOKUP($R$3-21,INDIRECT("Main_"&amp;$R$2), 2))/4</f>
        <v>#REF!</v>
      </c>
      <c r="O10" s="53" t="e">
        <f ca="1">(VLOOKUP($R$3,INDIRECT("Main_"&amp;$R$2), 3)+VLOOKUP($R$3-7,INDIRECT("Main_"&amp;$R$2), 3)+VLOOKUP($R$3-14,INDIRECT("Main_"&amp;$R$2), 3)+VLOOKUP($R$3-21,INDIRECT("Main_"&amp;$R$2), 3))/4</f>
        <v>#REF!</v>
      </c>
      <c r="R10" s="28" t="s">
        <v>78</v>
      </c>
      <c r="S10" s="47" t="b">
        <v>0</v>
      </c>
      <c r="AG10" s="8"/>
    </row>
    <row r="11" spans="2:33" ht="15" x14ac:dyDescent="0.3">
      <c r="B11" s="50"/>
      <c r="C11" s="51"/>
      <c r="D11" s="51"/>
      <c r="E11" s="51"/>
      <c r="F11" s="51"/>
      <c r="G11" s="51"/>
      <c r="H11" s="51"/>
      <c r="I11" s="51"/>
      <c r="J11" s="44" t="str">
        <f>_xlfn.CONCAT("On Schedule Average (", IF(ISBLANK($R$6),"",$R$6), ")")</f>
        <v>On Schedule Average (Works Tuesday:)</v>
      </c>
      <c r="K11" s="44"/>
      <c r="L11" s="44"/>
      <c r="M11" s="44"/>
      <c r="N11" s="52" t="e">
        <f ca="1">AVERAGE(INDIRECT("Main_"&amp;$R$2&amp;"[Weekly Plan]"))</f>
        <v>#REF!</v>
      </c>
      <c r="O11" s="53" t="e">
        <f>IF(($R$5-$R$3)&gt;0,($T$4-$T$5)/(CEILING(($R$5-$R$3),7)/7),"N/A")</f>
        <v>#VALUE!</v>
      </c>
      <c r="R11" s="28" t="s">
        <v>79</v>
      </c>
      <c r="S11" s="47" t="b">
        <v>0</v>
      </c>
      <c r="AG11" s="8"/>
    </row>
    <row r="12" spans="2:33" ht="15" x14ac:dyDescent="0.3">
      <c r="B12" s="50"/>
      <c r="C12" s="51"/>
      <c r="D12" s="51"/>
      <c r="E12" s="51"/>
      <c r="F12" s="51"/>
      <c r="G12" s="51"/>
      <c r="H12" s="51"/>
      <c r="I12" s="51"/>
      <c r="J12" s="54" t="s">
        <v>58</v>
      </c>
      <c r="K12" s="54"/>
      <c r="L12" s="54"/>
      <c r="M12" s="54"/>
      <c r="N12" s="55" t="str">
        <f>$R$5</f>
        <v>Works Monday:</v>
      </c>
      <c r="O12" s="56"/>
      <c r="AG12" s="8"/>
    </row>
    <row r="13" spans="2:33" ht="15.5" x14ac:dyDescent="0.35">
      <c r="B13" s="50"/>
      <c r="C13" s="51"/>
      <c r="D13" s="51"/>
      <c r="E13" s="51"/>
      <c r="F13" s="51"/>
      <c r="G13" s="51"/>
      <c r="H13" s="51"/>
      <c r="I13" s="51"/>
      <c r="J13" s="54" t="s">
        <v>59</v>
      </c>
      <c r="K13" s="54"/>
      <c r="L13" s="54"/>
      <c r="M13" s="54"/>
      <c r="N13" s="55" t="e">
        <f ca="1">$R$3+ROUNDUP(($T$4-$T$5)/($O$10/IF($R$7="NO", 5,6)),0)+(TRUNC(ROUNDUP(($T$4-$T$5)/($O$10/IF($R$7="NO", 5,6)),0)/7)*IF($R$7="NO",2,1))</f>
        <v>#VALUE!</v>
      </c>
      <c r="O13" s="57"/>
      <c r="R13" s="58" t="s">
        <v>67</v>
      </c>
      <c r="S13" s="58" t="s">
        <v>51</v>
      </c>
      <c r="T13" s="58" t="s">
        <v>68</v>
      </c>
      <c r="U13" s="58" t="s">
        <v>69</v>
      </c>
      <c r="V13" s="58" t="s">
        <v>70</v>
      </c>
      <c r="W13" s="58" t="s">
        <v>71</v>
      </c>
      <c r="X13" s="58" t="s">
        <v>72</v>
      </c>
      <c r="AA13" t="s">
        <v>81</v>
      </c>
      <c r="AB13" t="s">
        <v>86</v>
      </c>
      <c r="AC13" t="s">
        <v>82</v>
      </c>
      <c r="AD13" t="s">
        <v>83</v>
      </c>
      <c r="AE13" t="s">
        <v>84</v>
      </c>
      <c r="AF13" t="s">
        <v>85</v>
      </c>
      <c r="AG13" s="8"/>
    </row>
    <row r="14" spans="2:33" ht="15.5" x14ac:dyDescent="0.35">
      <c r="B14" s="50"/>
      <c r="C14" s="51"/>
      <c r="D14" s="51"/>
      <c r="E14" s="51"/>
      <c r="F14" s="51"/>
      <c r="G14" s="51"/>
      <c r="H14" s="51"/>
      <c r="I14" s="51"/>
      <c r="J14" s="59"/>
      <c r="K14" s="59"/>
      <c r="L14" s="60" t="str">
        <f>_xlfn.CONCAT("Values were calculated using the attached takeoff sheets and Westland's project schedule with a run date of ", TEXT($U$4, "mm/dd/yyyy"), ".")</f>
        <v>Values were calculated using the attached takeoff sheets and Westland's project schedule with a run date of 04/01/2022.</v>
      </c>
      <c r="M14" s="60"/>
      <c r="N14" s="60"/>
      <c r="O14" s="61"/>
      <c r="R14" s="62"/>
      <c r="S14" s="63"/>
      <c r="T14" s="63"/>
      <c r="U14" s="64"/>
      <c r="V14" s="64"/>
      <c r="AA14" s="75">
        <f t="shared" ref="AA14:AA26" si="0">IF(AA13 = "Date", $S$4, AA13+7)</f>
        <v>0</v>
      </c>
      <c r="AB14" t="s">
        <v>87</v>
      </c>
      <c r="AC14">
        <v>100</v>
      </c>
      <c r="AD14"/>
      <c r="AE14">
        <f>SUM($AC$14:AC14)</f>
        <v>100</v>
      </c>
      <c r="AF14" t="e">
        <f>IF(AD14="",NA(),SUM($S$10:AD14))</f>
        <v>#N/A</v>
      </c>
      <c r="AG14" s="8"/>
    </row>
    <row r="15" spans="2:33" ht="16" thickBot="1" x14ac:dyDescent="0.4">
      <c r="B15" s="50"/>
      <c r="C15" s="51"/>
      <c r="D15" s="51"/>
      <c r="E15" s="51"/>
      <c r="F15" s="51"/>
      <c r="G15" s="51"/>
      <c r="H15" s="51"/>
      <c r="I15" s="51"/>
      <c r="J15" s="65"/>
      <c r="K15" s="65"/>
      <c r="L15" s="66"/>
      <c r="M15" s="66"/>
      <c r="N15" s="66"/>
      <c r="O15" s="67"/>
      <c r="AA15" s="75">
        <f t="shared" si="0"/>
        <v>7</v>
      </c>
      <c r="AB15" t="s">
        <v>88</v>
      </c>
      <c r="AC15">
        <v>100</v>
      </c>
      <c r="AD15"/>
      <c r="AE15">
        <f>SUM($AC$14:AC15)</f>
        <v>200</v>
      </c>
      <c r="AF15" t="e">
        <f>IF(AD15="",NA(),SUM($S$10:AD15))</f>
        <v>#N/A</v>
      </c>
      <c r="AG15" s="8"/>
    </row>
    <row r="16" spans="2:33" ht="15.5" x14ac:dyDescent="0.35">
      <c r="B16" s="68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70"/>
      <c r="AA16" s="75">
        <f t="shared" si="0"/>
        <v>14</v>
      </c>
      <c r="AB16" t="s">
        <v>88</v>
      </c>
      <c r="AC16">
        <v>100</v>
      </c>
      <c r="AD16"/>
      <c r="AE16">
        <f>SUM($AC$14:AC16)</f>
        <v>300</v>
      </c>
      <c r="AF16" t="e">
        <f>IF(AD16="",NA(),SUM($S$10:AD16))</f>
        <v>#N/A</v>
      </c>
      <c r="AG16" s="8"/>
    </row>
    <row r="17" spans="2:33" ht="15.5" x14ac:dyDescent="0.35">
      <c r="B17" s="50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71"/>
      <c r="AA17" s="75">
        <f t="shared" si="0"/>
        <v>21</v>
      </c>
      <c r="AB17" t="s">
        <v>88</v>
      </c>
      <c r="AC17">
        <v>100</v>
      </c>
      <c r="AD17"/>
      <c r="AE17">
        <f>SUM($AC$14:AC17)</f>
        <v>400</v>
      </c>
      <c r="AF17" t="e">
        <f>IF(AD17="",NA(),SUM($S$10:AD17))</f>
        <v>#N/A</v>
      </c>
      <c r="AG17" s="8"/>
    </row>
    <row r="18" spans="2:33" ht="15.5" x14ac:dyDescent="0.35">
      <c r="B18" s="50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71"/>
      <c r="AA18" s="75">
        <f t="shared" si="0"/>
        <v>28</v>
      </c>
      <c r="AB18" t="s">
        <v>88</v>
      </c>
      <c r="AC18">
        <v>100</v>
      </c>
      <c r="AD18"/>
      <c r="AE18">
        <f>SUM($AC$14:AC18)</f>
        <v>500</v>
      </c>
      <c r="AF18" t="e">
        <f>IF(AD18="",NA(),SUM($S$10:AD18))</f>
        <v>#N/A</v>
      </c>
      <c r="AG18" s="8"/>
    </row>
    <row r="19" spans="2:33" ht="15.5" x14ac:dyDescent="0.35">
      <c r="B19" s="50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71"/>
      <c r="AA19" s="75">
        <f t="shared" si="0"/>
        <v>35</v>
      </c>
      <c r="AB19" t="s">
        <v>88</v>
      </c>
      <c r="AC19">
        <v>100</v>
      </c>
      <c r="AD19"/>
      <c r="AE19">
        <f>SUM($AC$14:AC19)</f>
        <v>600</v>
      </c>
      <c r="AF19" t="e">
        <f>IF(AD19="",NA(),SUM($S$10:AD19))</f>
        <v>#N/A</v>
      </c>
      <c r="AG19" s="8"/>
    </row>
    <row r="20" spans="2:33" ht="15.5" x14ac:dyDescent="0.35">
      <c r="B20" s="50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71"/>
      <c r="AA20" s="75">
        <f t="shared" si="0"/>
        <v>42</v>
      </c>
      <c r="AB20" t="s">
        <v>88</v>
      </c>
      <c r="AC20">
        <v>100</v>
      </c>
      <c r="AD20"/>
      <c r="AE20">
        <f>SUM($AC$14:AC20)</f>
        <v>700</v>
      </c>
      <c r="AF20" t="e">
        <f>IF(AD20="",NA(),SUM($S$10:AD20))</f>
        <v>#N/A</v>
      </c>
      <c r="AG20" s="8"/>
    </row>
    <row r="21" spans="2:33" ht="15.5" x14ac:dyDescent="0.35">
      <c r="B21" s="50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71"/>
      <c r="AA21" s="75">
        <f t="shared" si="0"/>
        <v>49</v>
      </c>
      <c r="AB21" t="s">
        <v>88</v>
      </c>
      <c r="AC21">
        <v>100</v>
      </c>
      <c r="AD21"/>
      <c r="AE21">
        <f>SUM($AC$14:AC21)</f>
        <v>800</v>
      </c>
      <c r="AF21" t="e">
        <f>IF(AD21="",NA(),SUM($S$10:AD21))</f>
        <v>#N/A</v>
      </c>
      <c r="AG21" s="8"/>
    </row>
    <row r="22" spans="2:33" ht="15.5" x14ac:dyDescent="0.35">
      <c r="B22" s="50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71"/>
      <c r="AA22" s="75">
        <f t="shared" si="0"/>
        <v>56</v>
      </c>
      <c r="AB22" t="s">
        <v>88</v>
      </c>
      <c r="AC22">
        <v>100</v>
      </c>
      <c r="AD22"/>
      <c r="AE22">
        <f>SUM($AC$14:AC22)</f>
        <v>900</v>
      </c>
      <c r="AF22" t="e">
        <f>IF(AD22="",NA(),SUM($S$10:AD22))</f>
        <v>#N/A</v>
      </c>
      <c r="AG22" s="8"/>
    </row>
    <row r="23" spans="2:33" ht="15.5" x14ac:dyDescent="0.35">
      <c r="B23" s="50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71"/>
      <c r="AA23" s="75">
        <f t="shared" si="0"/>
        <v>63</v>
      </c>
      <c r="AB23" t="s">
        <v>88</v>
      </c>
      <c r="AC23">
        <v>100</v>
      </c>
      <c r="AD23"/>
      <c r="AE23">
        <f>SUM($AC$14:AC23)</f>
        <v>1000</v>
      </c>
      <c r="AF23" t="e">
        <f>IF(AD23="",NA(),SUM($S$10:AD23))</f>
        <v>#N/A</v>
      </c>
      <c r="AG23" s="8"/>
    </row>
    <row r="24" spans="2:33" ht="15.5" x14ac:dyDescent="0.35">
      <c r="B24" s="50"/>
      <c r="C24" s="51" t="s">
        <v>60</v>
      </c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71"/>
      <c r="AA24" s="75">
        <f t="shared" si="0"/>
        <v>70</v>
      </c>
      <c r="AB24" t="s">
        <v>88</v>
      </c>
      <c r="AC24">
        <v>100</v>
      </c>
      <c r="AD24"/>
      <c r="AE24">
        <f>SUM($AC$14:AC24)</f>
        <v>1100</v>
      </c>
      <c r="AF24" t="e">
        <f>IF(AD24="",NA(),SUM($S$10:AD24))</f>
        <v>#N/A</v>
      </c>
      <c r="AG24" s="8"/>
    </row>
    <row r="25" spans="2:33" ht="15.5" x14ac:dyDescent="0.35">
      <c r="B25" s="50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71"/>
      <c r="AA25" s="75">
        <f t="shared" si="0"/>
        <v>77</v>
      </c>
      <c r="AB25" t="s">
        <v>88</v>
      </c>
      <c r="AC25">
        <v>100</v>
      </c>
      <c r="AD25"/>
      <c r="AE25">
        <f>SUM($AC$14:AC25)</f>
        <v>1200</v>
      </c>
      <c r="AF25" t="e">
        <f>IF(AD25="",NA(),SUM($S$10:AD25))</f>
        <v>#N/A</v>
      </c>
      <c r="AG25" s="8"/>
    </row>
    <row r="26" spans="2:33" ht="15.5" x14ac:dyDescent="0.35">
      <c r="B26" s="50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71"/>
      <c r="AA26" s="75">
        <f t="shared" si="0"/>
        <v>84</v>
      </c>
      <c r="AB26" t="s">
        <v>88</v>
      </c>
      <c r="AC26">
        <v>100</v>
      </c>
      <c r="AD26"/>
      <c r="AE26">
        <f>SUM($AC$14:AC26)</f>
        <v>1300</v>
      </c>
      <c r="AF26" t="e">
        <f>IF(AD26="",NA(),SUM($S$10:AD26))</f>
        <v>#N/A</v>
      </c>
      <c r="AG26" s="8"/>
    </row>
    <row r="27" spans="2:33" ht="15.5" x14ac:dyDescent="0.35">
      <c r="B27" s="50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71"/>
    </row>
    <row r="28" spans="2:33" ht="15.5" x14ac:dyDescent="0.35">
      <c r="B28" s="50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71"/>
    </row>
    <row r="29" spans="2:33" ht="15.5" x14ac:dyDescent="0.35">
      <c r="B29" s="50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71"/>
    </row>
    <row r="30" spans="2:33" ht="15.5" x14ac:dyDescent="0.35">
      <c r="B30" s="50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71"/>
    </row>
    <row r="31" spans="2:33" ht="15.5" x14ac:dyDescent="0.35">
      <c r="B31" s="50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71"/>
    </row>
    <row r="32" spans="2:33" ht="15.5" x14ac:dyDescent="0.35">
      <c r="B32" s="50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71"/>
    </row>
    <row r="33" spans="2:15" ht="15.5" x14ac:dyDescent="0.35">
      <c r="B33" s="50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71"/>
    </row>
    <row r="34" spans="2:15" ht="15.5" x14ac:dyDescent="0.35">
      <c r="B34" s="50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71"/>
    </row>
    <row r="35" spans="2:15" ht="15.5" x14ac:dyDescent="0.35">
      <c r="B35" s="50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71"/>
    </row>
    <row r="36" spans="2:15" ht="15.5" x14ac:dyDescent="0.35">
      <c r="B36" s="50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71"/>
    </row>
    <row r="37" spans="2:15" ht="15.5" x14ac:dyDescent="0.35">
      <c r="B37" s="50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71"/>
    </row>
    <row r="38" spans="2:15" ht="15.5" x14ac:dyDescent="0.35">
      <c r="B38" s="50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71"/>
    </row>
    <row r="39" spans="2:15" ht="15.5" x14ac:dyDescent="0.35">
      <c r="B39" s="50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71"/>
    </row>
    <row r="40" spans="2:15" ht="16" thickBot="1" x14ac:dyDescent="0.4">
      <c r="B40" s="72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4"/>
    </row>
  </sheetData>
  <mergeCells count="18">
    <mergeCell ref="J12:M12"/>
    <mergeCell ref="N12:O12"/>
    <mergeCell ref="J13:M13"/>
    <mergeCell ref="N13:O13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conditionalFormatting sqref="AF14:AF26">
    <cfRule type="containsErrors" dxfId="2" priority="1">
      <formula>ISERROR(AF14)</formula>
    </cfRule>
  </conditionalFormatting>
  <dataValidations count="2">
    <dataValidation type="list" showInputMessage="1" showErrorMessage="1" sqref="U2" xr:uid="{87A05692-0E71-429C-8F5D-6A6BF79ADEFF}">
      <formula1>"Manual, Assemble Addin, Bluebeam QL"</formula1>
    </dataValidation>
    <dataValidation type="list" showInputMessage="1" showErrorMessage="1" sqref="S5:S11" xr:uid="{BC675DFB-B567-499A-B2C6-ACEA7CB3A9A7}">
      <formula1>"TRUE, FALSE"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20" sqref="H20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24" t="s">
        <v>5</v>
      </c>
      <c r="F1" s="24"/>
      <c r="H1" s="2" t="s">
        <v>9</v>
      </c>
      <c r="K1" s="5" t="s">
        <v>12</v>
      </c>
      <c r="L1" s="5" t="s">
        <v>17</v>
      </c>
    </row>
    <row r="2" spans="2:12" ht="15.5" x14ac:dyDescent="0.35">
      <c r="B2" s="25" t="s">
        <v>6</v>
      </c>
      <c r="C2" s="25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20</v>
      </c>
      <c r="H7" s="1"/>
    </row>
    <row r="8" spans="2:12" x14ac:dyDescent="0.35">
      <c r="B8" t="s">
        <v>22</v>
      </c>
      <c r="C8" s="4" t="s">
        <v>24</v>
      </c>
      <c r="H8" s="1"/>
    </row>
    <row r="9" spans="2:12" x14ac:dyDescent="0.35">
      <c r="B9" t="s">
        <v>23</v>
      </c>
      <c r="C9" s="4" t="s">
        <v>25</v>
      </c>
      <c r="H9" s="1"/>
    </row>
    <row r="10" spans="2:12" x14ac:dyDescent="0.35">
      <c r="B10" t="s">
        <v>27</v>
      </c>
      <c r="C10" s="4" t="s">
        <v>26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10" sqref="H10"/>
    </sheetView>
  </sheetViews>
  <sheetFormatPr defaultRowHeight="14.5" x14ac:dyDescent="0.35"/>
  <cols>
    <col min="1" max="1" width="2.1796875" customWidth="1"/>
    <col min="2" max="2" width="45.08984375" style="8" customWidth="1"/>
    <col min="3" max="3" width="27.453125" style="8" customWidth="1"/>
    <col min="4" max="5" width="10.90625" style="10" customWidth="1"/>
    <col min="6" max="6" width="2.26953125" customWidth="1"/>
    <col min="7" max="7" width="21.632812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27" t="str">
        <f>"PROGRESS REPORT "&amp; TEXT(Report_Date, "mm/dd/yyy")</f>
        <v>PROGRESS REPORT 05/20/2020</v>
      </c>
      <c r="C2" s="27"/>
      <c r="D2" s="27"/>
      <c r="E2" s="27"/>
    </row>
    <row r="3" spans="2:11" ht="8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43971</v>
      </c>
    </row>
    <row r="7" spans="2:11" x14ac:dyDescent="0.35">
      <c r="B7" s="8" t="str">
        <f>"Project Engineer(s): " &amp; Project_Engineer</f>
        <v>Project Engineer(s): Default 2</v>
      </c>
      <c r="G7" s="20" t="s">
        <v>37</v>
      </c>
      <c r="H7" s="15" t="s">
        <v>21</v>
      </c>
    </row>
    <row r="8" spans="2:11" x14ac:dyDescent="0.35">
      <c r="B8" s="8" t="str">
        <f>"Superintendent(s):  " &amp; Superintendent</f>
        <v>Superintendent(s):  Default 3</v>
      </c>
      <c r="G8" s="20" t="s">
        <v>40</v>
      </c>
      <c r="H8" s="16">
        <v>0.06</v>
      </c>
    </row>
    <row r="9" spans="2:11" ht="10" customHeight="1" x14ac:dyDescent="0.35"/>
    <row r="10" spans="2:11" ht="16.5" x14ac:dyDescent="0.35">
      <c r="B10" s="11" t="s">
        <v>28</v>
      </c>
      <c r="C10" s="11" t="s">
        <v>29</v>
      </c>
      <c r="D10" s="12" t="s">
        <v>30</v>
      </c>
      <c r="E10" s="12" t="s">
        <v>31</v>
      </c>
      <c r="F10" s="21"/>
      <c r="G10" s="21" t="s">
        <v>47</v>
      </c>
      <c r="H10" s="18" t="s">
        <v>43</v>
      </c>
      <c r="I10" s="12" t="s">
        <v>46</v>
      </c>
      <c r="J10" s="12" t="s">
        <v>45</v>
      </c>
    </row>
    <row r="11" spans="2:11" ht="15" x14ac:dyDescent="0.35">
      <c r="B11" s="26" t="s">
        <v>32</v>
      </c>
      <c r="C11" s="26"/>
      <c r="D11" s="26"/>
      <c r="E11" s="26"/>
      <c r="F11" s="23"/>
      <c r="G11" s="23"/>
      <c r="H11" s="23"/>
      <c r="I11" s="23"/>
      <c r="J11" s="23"/>
      <c r="K11" t="s">
        <v>49</v>
      </c>
    </row>
    <row r="12" spans="2:11" x14ac:dyDescent="0.35">
      <c r="B12" s="9" t="s">
        <v>41</v>
      </c>
      <c r="C12" s="8" t="s">
        <v>38</v>
      </c>
      <c r="D12" s="10">
        <v>0.5</v>
      </c>
      <c r="E12" s="10">
        <v>0.45</v>
      </c>
      <c r="G12" s="22"/>
      <c r="H12" s="17" t="s">
        <v>44</v>
      </c>
    </row>
    <row r="13" spans="2:11" x14ac:dyDescent="0.35">
      <c r="B13" s="9" t="s">
        <v>42</v>
      </c>
      <c r="C13" s="8" t="s">
        <v>39</v>
      </c>
      <c r="D13" s="10">
        <v>0.34</v>
      </c>
      <c r="E13" s="10">
        <v>0.4</v>
      </c>
      <c r="G13" s="1"/>
      <c r="H13" s="17" t="s">
        <v>48</v>
      </c>
    </row>
    <row r="14" spans="2:11" x14ac:dyDescent="0.35">
      <c r="B14" s="13"/>
      <c r="G14" s="1"/>
      <c r="H14" s="17"/>
    </row>
    <row r="15" spans="2:11" ht="15" x14ac:dyDescent="0.35">
      <c r="B15" s="26" t="s">
        <v>33</v>
      </c>
      <c r="C15" s="26"/>
      <c r="D15" s="26"/>
      <c r="E15" s="26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26" t="s">
        <v>34</v>
      </c>
      <c r="C18" s="26"/>
      <c r="D18" s="26"/>
      <c r="E18" s="26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26" t="s">
        <v>35</v>
      </c>
      <c r="C21" s="26"/>
      <c r="D21" s="26"/>
      <c r="E21" s="26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26" t="s">
        <v>36</v>
      </c>
      <c r="C24" s="26"/>
      <c r="D24" s="26"/>
      <c r="E24" s="26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" priority="1">
      <formula>IF(ISBLANK($D12), FALSE, IF(RedGreen_Formatting = "Enabled", $D12 &lt;= $E12 + Percent_Error, FALSE))</formula>
    </cfRule>
    <cfRule type="expression" dxfId="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2020-05-18T15:27:58Z</cp:lastPrinted>
  <dcterms:created xsi:type="dcterms:W3CDTF">2019-04-09T17:53:55Z</dcterms:created>
  <dcterms:modified xsi:type="dcterms:W3CDTF">2020-05-18T15:35:28Z</dcterms:modified>
</cp:coreProperties>
</file>