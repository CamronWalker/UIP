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6266B7E0-4249-4F7B-8DA8-A576751C97E8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0" l="1"/>
  <c r="C6" i="10"/>
  <c r="I16" i="2"/>
  <c r="I33" i="2"/>
  <c r="R1" i="3" l="1"/>
  <c r="R1" i="10"/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K37" i="11"/>
  <c r="AI30" i="11"/>
  <c r="AG23" i="11"/>
  <c r="AK30" i="11"/>
  <c r="AG18" i="11"/>
  <c r="AK29" i="11"/>
  <c r="AK27" i="11"/>
  <c r="AK42" i="11"/>
  <c r="AI38" i="11"/>
  <c r="AK24" i="11"/>
  <c r="AK20" i="11"/>
  <c r="AG28" i="11"/>
  <c r="AK38" i="11"/>
  <c r="AI39" i="11"/>
  <c r="AI34" i="11"/>
  <c r="AI27" i="11"/>
  <c r="AG26" i="11"/>
  <c r="AI15" i="11"/>
  <c r="AG43" i="11"/>
  <c r="AK25" i="11"/>
  <c r="AI14" i="11"/>
  <c r="AG33" i="11"/>
  <c r="AI16" i="11"/>
  <c r="AG27" i="11"/>
  <c r="AG14" i="11"/>
  <c r="AG19" i="11"/>
  <c r="AI19" i="11"/>
  <c r="AI23" i="11"/>
  <c r="AK16" i="11"/>
  <c r="AK28" i="11"/>
  <c r="AG38" i="11"/>
  <c r="AK17" i="11"/>
  <c r="AG24" i="11"/>
  <c r="AI20" i="11"/>
  <c r="AG35" i="11"/>
  <c r="AK41" i="11"/>
  <c r="AI40" i="11"/>
  <c r="AI35" i="11"/>
  <c r="AK40" i="11"/>
  <c r="AK39" i="11"/>
  <c r="AK33" i="11"/>
  <c r="AI37" i="11"/>
  <c r="AK31" i="11"/>
  <c r="AG34" i="11"/>
  <c r="AG41" i="11"/>
  <c r="AI29" i="11"/>
  <c r="AK23" i="11"/>
  <c r="AG30" i="11"/>
  <c r="AI25" i="11"/>
  <c r="AI17" i="11"/>
  <c r="AG31" i="11"/>
  <c r="AK43" i="11"/>
  <c r="AI42" i="11"/>
  <c r="AG42" i="11"/>
  <c r="AI21" i="11"/>
  <c r="AG21" i="11"/>
  <c r="AG25" i="11"/>
  <c r="AI36" i="11"/>
  <c r="AK21" i="11"/>
  <c r="AK34" i="11"/>
  <c r="AI26" i="11"/>
  <c r="AG15" i="11"/>
  <c r="AI41" i="11"/>
  <c r="AG16" i="11"/>
  <c r="AG40" i="11"/>
  <c r="AG20" i="11"/>
  <c r="AI28" i="11"/>
  <c r="AI22" i="11"/>
  <c r="AK18" i="11"/>
  <c r="AK35" i="11"/>
  <c r="AI32" i="11"/>
  <c r="AG37" i="11"/>
  <c r="AI43" i="11"/>
  <c r="AK26" i="11"/>
  <c r="AI18" i="11"/>
  <c r="AG39" i="11"/>
  <c r="AK15" i="11"/>
  <c r="AG22" i="11"/>
  <c r="AI24" i="11"/>
  <c r="AG29" i="11"/>
  <c r="AK14" i="11"/>
  <c r="AK32" i="11"/>
  <c r="AK19" i="11"/>
  <c r="AG32" i="11"/>
  <c r="AK36" i="11"/>
  <c r="AG36" i="11"/>
  <c r="AK22" i="11"/>
  <c r="AG17" i="11"/>
  <c r="AI33" i="11"/>
  <c r="AI31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20" i="11"/>
  <c r="AB19" i="11"/>
  <c r="AB32" i="11"/>
  <c r="N8" i="11"/>
  <c r="O9" i="11"/>
  <c r="AB35" i="11"/>
  <c r="O6" i="11"/>
  <c r="AB39" i="11"/>
  <c r="AB27" i="11"/>
  <c r="AB38" i="11"/>
  <c r="O8" i="11"/>
  <c r="AB24" i="11"/>
  <c r="AB15" i="11"/>
  <c r="AB42" i="11"/>
  <c r="AB29" i="11"/>
  <c r="AB16" i="11"/>
  <c r="AB37" i="11"/>
  <c r="N10" i="11"/>
  <c r="AB22" i="11"/>
  <c r="AB40" i="11"/>
  <c r="AB23" i="11"/>
  <c r="AB30" i="11"/>
  <c r="AB31" i="11"/>
  <c r="AB41" i="11"/>
  <c r="N11" i="11"/>
  <c r="AB43" i="11"/>
  <c r="AB17" i="11"/>
  <c r="AB25" i="11"/>
  <c r="AB34" i="11"/>
  <c r="AB14" i="11"/>
  <c r="AB18" i="11"/>
  <c r="N9" i="11"/>
  <c r="AB21" i="11"/>
  <c r="AB28" i="11"/>
  <c r="AB36" i="11"/>
  <c r="N12" i="11"/>
  <c r="AG15" i="10"/>
  <c r="AB33" i="11"/>
  <c r="AB26" i="11"/>
  <c r="N6" i="11"/>
  <c r="O7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U35" i="10"/>
  <c r="AU44" i="10"/>
  <c r="AI27" i="10"/>
  <c r="AI22" i="10"/>
  <c r="AM28" i="10"/>
  <c r="AK26" i="10"/>
  <c r="AU20" i="10"/>
  <c r="AO39" i="10"/>
  <c r="AS26" i="10"/>
  <c r="AG21" i="10"/>
  <c r="AG29" i="10"/>
  <c r="AK24" i="10"/>
  <c r="AQ26" i="10"/>
  <c r="AM25" i="10"/>
  <c r="AQ40" i="10"/>
  <c r="AQ21" i="10"/>
  <c r="AM44" i="10"/>
  <c r="AG16" i="10"/>
  <c r="AI34" i="10"/>
  <c r="AO38" i="10"/>
  <c r="AG23" i="10"/>
  <c r="AG30" i="10"/>
  <c r="AG18" i="10"/>
  <c r="AG19" i="10"/>
  <c r="AS38" i="10"/>
  <c r="AO27" i="10"/>
  <c r="AS15" i="10"/>
  <c r="AU36" i="10"/>
  <c r="AG27" i="10"/>
  <c r="AS35" i="10"/>
  <c r="AU31" i="10"/>
  <c r="AU29" i="10"/>
  <c r="AO29" i="10"/>
  <c r="AK28" i="10"/>
  <c r="AM41" i="10"/>
  <c r="AQ29" i="10"/>
  <c r="AI42" i="10"/>
  <c r="AS28" i="10"/>
  <c r="AI18" i="10"/>
  <c r="AK37" i="10"/>
  <c r="AK27" i="10"/>
  <c r="AO40" i="10"/>
  <c r="AK41" i="10"/>
  <c r="AQ19" i="10"/>
  <c r="AI43" i="10"/>
  <c r="AG20" i="10"/>
  <c r="AQ33" i="10"/>
  <c r="AI39" i="10"/>
  <c r="AS19" i="10"/>
  <c r="AM30" i="10"/>
  <c r="N13" i="11"/>
  <c r="AM37" i="10"/>
  <c r="AO24" i="10"/>
  <c r="AS29" i="10"/>
  <c r="AK33" i="10"/>
  <c r="AU37" i="10"/>
  <c r="AI40" i="10"/>
  <c r="AG38" i="10"/>
  <c r="AO42" i="10"/>
  <c r="AG25" i="10"/>
  <c r="AM35" i="10"/>
  <c r="AQ14" i="10"/>
  <c r="AI24" i="10"/>
  <c r="AG37" i="10"/>
  <c r="AK34" i="10"/>
  <c r="AI15" i="10"/>
  <c r="AU25" i="10"/>
  <c r="AS45" i="10"/>
  <c r="AK18" i="10"/>
  <c r="AQ34" i="10"/>
  <c r="AI37" i="10"/>
  <c r="AS44" i="10"/>
  <c r="AI20" i="10"/>
  <c r="AM24" i="10"/>
  <c r="AI17" i="10"/>
  <c r="AI14" i="10"/>
  <c r="AG40" i="10"/>
  <c r="AO21" i="10"/>
  <c r="AO22" i="10"/>
  <c r="AI35" i="10"/>
  <c r="AK35" i="10"/>
  <c r="AQ38" i="10"/>
  <c r="AU32" i="10"/>
  <c r="AS25" i="10"/>
  <c r="AI45" i="10"/>
  <c r="N7" i="11"/>
  <c r="AU42" i="10"/>
  <c r="AI32" i="10"/>
  <c r="AK19" i="10"/>
  <c r="AU14" i="10"/>
  <c r="AS24" i="10"/>
  <c r="AI31" i="10"/>
  <c r="AO44" i="10"/>
  <c r="AO32" i="10"/>
  <c r="AS27" i="10"/>
  <c r="AS18" i="10"/>
  <c r="AO43" i="10"/>
  <c r="AO45" i="10"/>
  <c r="AK29" i="10"/>
  <c r="AI26" i="10"/>
  <c r="AO30" i="10"/>
  <c r="AM26" i="10"/>
  <c r="AQ24" i="10"/>
  <c r="AO41" i="10"/>
  <c r="AK14" i="10"/>
  <c r="AQ25" i="10"/>
  <c r="AQ30" i="10"/>
  <c r="AG24" i="10"/>
  <c r="AG35" i="10"/>
  <c r="AQ35" i="10"/>
  <c r="AI28" i="10"/>
  <c r="AU15" i="10"/>
  <c r="AM20" i="10"/>
  <c r="AG36" i="10"/>
  <c r="AU34" i="10"/>
  <c r="AG42" i="10"/>
  <c r="AU23" i="10"/>
  <c r="AO33" i="10"/>
  <c r="AO23" i="10"/>
  <c r="AS40" i="10"/>
  <c r="AM19" i="10"/>
  <c r="AQ41" i="10"/>
  <c r="AG22" i="10"/>
  <c r="AI16" i="10"/>
  <c r="AO18" i="10"/>
  <c r="AK36" i="10"/>
  <c r="AS30" i="10"/>
  <c r="AO25" i="10"/>
  <c r="AQ42" i="10"/>
  <c r="AM17" i="10"/>
  <c r="AU45" i="10"/>
  <c r="AI29" i="10"/>
  <c r="AO20" i="10"/>
  <c r="AU39" i="10"/>
  <c r="AS34" i="10"/>
  <c r="AM43" i="10"/>
  <c r="AO37" i="10"/>
  <c r="AM40" i="10"/>
  <c r="AK23" i="10"/>
  <c r="AK42" i="10"/>
  <c r="AM39" i="10"/>
  <c r="AO16" i="10"/>
  <c r="AK25" i="10"/>
  <c r="AI36" i="10"/>
  <c r="AU24" i="10"/>
  <c r="AQ44" i="10"/>
  <c r="AS20" i="10"/>
  <c r="AU40" i="10"/>
  <c r="AK44" i="10"/>
  <c r="AK20" i="10"/>
  <c r="AU43" i="10"/>
  <c r="AM45" i="10"/>
  <c r="AI19" i="10"/>
  <c r="AS14" i="10"/>
  <c r="AU22" i="10"/>
  <c r="AM16" i="10"/>
  <c r="AK38" i="10"/>
  <c r="AK21" i="10"/>
  <c r="AM36" i="10"/>
  <c r="AI30" i="10"/>
  <c r="AQ37" i="10"/>
  <c r="AM29" i="10"/>
  <c r="AG28" i="10"/>
  <c r="AU16" i="10"/>
  <c r="AS16" i="10"/>
  <c r="AS31" i="10"/>
  <c r="AQ27" i="10"/>
  <c r="AQ17" i="10"/>
  <c r="AI25" i="10"/>
  <c r="AO36" i="10"/>
  <c r="AS41" i="10"/>
  <c r="AM22" i="10"/>
  <c r="AU27" i="10"/>
  <c r="AU17" i="10"/>
  <c r="AO17" i="10"/>
  <c r="AK22" i="10"/>
  <c r="AS22" i="10"/>
  <c r="AS33" i="10"/>
  <c r="AI41" i="10"/>
  <c r="AQ43" i="10"/>
  <c r="AG14" i="10"/>
  <c r="AU33" i="10"/>
  <c r="AS43" i="10"/>
  <c r="AS21" i="10"/>
  <c r="AO31" i="10"/>
  <c r="AQ39" i="10"/>
  <c r="AO28" i="10"/>
  <c r="AK39" i="10"/>
  <c r="AS23" i="10"/>
  <c r="AG39" i="10"/>
  <c r="AU41" i="10"/>
  <c r="AG43" i="10"/>
  <c r="AQ18" i="10"/>
  <c r="AU19" i="10"/>
  <c r="AU26" i="10"/>
  <c r="AU21" i="10"/>
  <c r="AM14" i="10"/>
  <c r="AO26" i="10"/>
  <c r="AQ16" i="10"/>
  <c r="AG33" i="10"/>
  <c r="AI23" i="10"/>
  <c r="AQ45" i="10"/>
  <c r="AO15" i="10"/>
  <c r="AO19" i="10"/>
  <c r="AM34" i="10"/>
  <c r="AG45" i="10"/>
  <c r="AG17" i="10"/>
  <c r="AG44" i="10"/>
  <c r="AM23" i="10"/>
  <c r="AI33" i="10"/>
  <c r="AQ23" i="10"/>
  <c r="AQ31" i="10"/>
  <c r="AM42" i="10"/>
  <c r="AK17" i="10"/>
  <c r="AI44" i="10"/>
  <c r="AK40" i="10"/>
  <c r="AM38" i="10"/>
  <c r="AS17" i="10"/>
  <c r="AK45" i="10"/>
  <c r="AM18" i="10"/>
  <c r="AK43" i="10"/>
  <c r="AO14" i="10"/>
  <c r="AK16" i="10"/>
  <c r="AK31" i="10"/>
  <c r="AO34" i="10"/>
  <c r="AG32" i="10"/>
  <c r="AG41" i="10"/>
  <c r="AS32" i="10"/>
  <c r="AQ22" i="10"/>
  <c r="AG31" i="10"/>
  <c r="AM32" i="10"/>
  <c r="AO35" i="10"/>
  <c r="AU30" i="10"/>
  <c r="AS39" i="10"/>
  <c r="AQ20" i="10"/>
  <c r="AQ15" i="10"/>
  <c r="AG34" i="10"/>
  <c r="AM15" i="10"/>
  <c r="AK15" i="10"/>
  <c r="AQ28" i="10"/>
  <c r="AI21" i="10"/>
  <c r="AS37" i="10"/>
  <c r="AS36" i="10"/>
  <c r="AK32" i="10"/>
  <c r="AG26" i="10"/>
  <c r="AQ32" i="10"/>
  <c r="AM21" i="10"/>
  <c r="AU28" i="10"/>
  <c r="AI38" i="10"/>
  <c r="AM31" i="10"/>
  <c r="AU18" i="10"/>
  <c r="AU38" i="10"/>
  <c r="AQ36" i="10"/>
  <c r="AS42" i="10"/>
  <c r="AK30" i="10"/>
  <c r="AM27" i="10"/>
  <c r="AM33" i="10"/>
  <c r="O10" i="10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6" i="10"/>
  <c r="AB32" i="10"/>
  <c r="AB19" i="10"/>
  <c r="N9" i="10"/>
  <c r="O7" i="10"/>
  <c r="AB42" i="10"/>
  <c r="AB31" i="10"/>
  <c r="AB29" i="10"/>
  <c r="N8" i="10"/>
  <c r="AB39" i="10"/>
  <c r="N11" i="10"/>
  <c r="AB21" i="10"/>
  <c r="AB45" i="10"/>
  <c r="AB23" i="10"/>
  <c r="AB35" i="10"/>
  <c r="AB30" i="10"/>
  <c r="AB14" i="10"/>
  <c r="N10" i="10"/>
  <c r="AB33" i="10"/>
  <c r="O9" i="10"/>
  <c r="AB22" i="10"/>
  <c r="AB16" i="10"/>
  <c r="AB24" i="10"/>
  <c r="AB27" i="10"/>
  <c r="AB15" i="10"/>
  <c r="AB43" i="10"/>
  <c r="AB44" i="10"/>
  <c r="AB41" i="10"/>
  <c r="N12" i="10"/>
  <c r="AB25" i="10"/>
  <c r="O8" i="10"/>
  <c r="AB34" i="10"/>
  <c r="O6" i="10"/>
  <c r="AB36" i="10"/>
  <c r="AB37" i="10"/>
  <c r="N6" i="10"/>
  <c r="AB28" i="10"/>
  <c r="O11" i="11"/>
  <c r="AB20" i="10"/>
  <c r="AB40" i="10"/>
  <c r="AB38" i="10"/>
  <c r="AB18" i="10"/>
  <c r="AB17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D16" i="2" s="1"/>
  <c r="AF15" i="3"/>
  <c r="AF16" i="3"/>
  <c r="AF18" i="3"/>
  <c r="AF19" i="3"/>
  <c r="AF17" i="3"/>
  <c r="AF20" i="3"/>
  <c r="AF21" i="3"/>
  <c r="O11" i="10"/>
  <c r="N13" i="10"/>
  <c r="V2" i="10" l="1"/>
  <c r="S4" i="3" l="1"/>
  <c r="S5" i="3" l="1"/>
  <c r="AA14" i="3" l="1"/>
  <c r="J11" i="3"/>
  <c r="J10" i="3"/>
  <c r="J9" i="3"/>
  <c r="J8" i="3"/>
  <c r="J7" i="3"/>
  <c r="J6" i="3"/>
  <c r="AC14" i="3" l="1"/>
  <c r="AA15" i="3"/>
  <c r="S7" i="3"/>
  <c r="L14" i="3" s="1"/>
  <c r="S3" i="3"/>
  <c r="S2" i="3"/>
  <c r="AB14" i="3"/>
  <c r="N12" i="3"/>
  <c r="AC15" i="3" l="1"/>
  <c r="AE15" i="3" s="1"/>
  <c r="AE14" i="3"/>
  <c r="AA16" i="3"/>
  <c r="B2" i="3"/>
  <c r="C5" i="3"/>
  <c r="C4" i="3"/>
  <c r="AB15" i="3"/>
  <c r="N6" i="3"/>
  <c r="AC16" i="3" l="1"/>
  <c r="AA17" i="3"/>
  <c r="AB16" i="3"/>
  <c r="AC17" i="3" l="1"/>
  <c r="AE16" i="3"/>
  <c r="AA18" i="3"/>
  <c r="B8" i="2"/>
  <c r="B7" i="2"/>
  <c r="B6" i="2"/>
  <c r="AB17" i="3"/>
  <c r="AC18" i="3" l="1"/>
  <c r="AA19" i="3"/>
  <c r="AE17" i="3"/>
  <c r="B2" i="2"/>
  <c r="B4" i="2"/>
  <c r="AB18" i="3"/>
  <c r="AC19" i="3" l="1"/>
  <c r="AE18" i="3"/>
  <c r="AA20" i="3"/>
  <c r="C6" i="1"/>
  <c r="AB19" i="3"/>
  <c r="AC20" i="3" l="1"/>
  <c r="AE20" i="3" s="1"/>
  <c r="AA21" i="3"/>
  <c r="AE19" i="3"/>
  <c r="AB20" i="3"/>
  <c r="AC21" i="3" l="1"/>
  <c r="AB21" i="3"/>
  <c r="AE21" i="3" l="1"/>
  <c r="N7" i="3"/>
  <c r="O10" i="3"/>
  <c r="N10" i="3"/>
  <c r="O7" i="3"/>
  <c r="O8" i="3"/>
  <c r="O9" i="3"/>
  <c r="N8" i="3"/>
  <c r="N5" i="3" l="1"/>
  <c r="V2" i="3" s="1"/>
  <c r="O6" i="3"/>
  <c r="N9" i="3"/>
  <c r="N11" i="3"/>
  <c r="O5" i="3" l="1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<sst xmlns="http://schemas.openxmlformats.org/spreadsheetml/2006/main" count="516" uniqueCount="162">
  <si>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</si>
  <si>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</si>
  <si>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</si>
  <si>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</si>
  <si>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</si>
  <si>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</si>
  <si>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</si>
  <si>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</si>
  <si>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</si>
  <si>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</si>
  <si>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</si>
  <si>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</si>
  <si>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</si>
  <si>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</si>
  <si>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</si>
  <si>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</si>
  <si>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</si>
  <si>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</si>
  <si>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</si>
  <si>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</si>
  <si>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</si>
  <si>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</si>
  <si>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</si>
  <si>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</si>
  <si>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</si>
  <si>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</si>
  <si>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</si>
  <si>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</si>
  <si>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</si>
  <si>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</si>
  <si>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</si>
  <si>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</si>
  <si>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</si>
  <si>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</si>
  <si>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</si>
  <si>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</si>
  <si>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</si>
  <si>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</si>
  <si>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</si>
  <si>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</si>
  <si>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</si>
  <si>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</si>
  <si>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</si>
  <si>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</si>
  <si>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</si>
  <si>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</si>
  <si>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</si>
  <si>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</si>
  <si>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</si>
  <si>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</si>
  <si>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</si>
  <si>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</si>
  <si>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</si>
  <si>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</si>
  <si>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</si>
  <si>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</si>
  <si>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</si>
  <si>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</si>
  <si>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</si>
  <si>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</si>
  <si>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</si>
  <si>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</si>
  <si>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</si>
  <si>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</si>
  <si>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</si>
  <si>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</si>
  <si>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</si>
  <si>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</si>
  <si>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</si>
  <si>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</si>
  <si>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</si>
  <si>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</si>
  <si>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</si>
  <si>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</si>
  <si>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</si>
  <si>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</si>
  <si>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</si>
  <si>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</si>
  <si>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</si>
  <si>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</si>
  <si>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</si>
  <si>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</si>
  <si>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</si>
  <si>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</si>
  <si>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</si>
  <si>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</si>
  <si>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</si>
  <si>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</si>
  <si>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</si>
  <si>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</si>
  <si>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</si>
  <si>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</si>
  <si>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</si>
  <si>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</si>
  <si>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</si>
  <si>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</si>
  <si>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</si>
  <si>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</si>
  <si>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</si>
  <si>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</si>
  <si>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</si>
  <si>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</si>
  <si>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</si>
  <si>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</si>
  <si>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</si>
  <si>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</si>
  <si>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</si>
  <si>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</si>
  <si>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</si>
  <si>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</si>
  <si>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</si>
  <si>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</si>
  <si>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</si>
  <si>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</si>
  <si>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</si>
  <si>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</si>
  <si>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</si>
  <si>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</si>
  <si>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</si>
  <si>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</si>
  <si>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</si>
  <si>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</si>
  <si>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</si>
  <si>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</si>
  <si>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</si>
  <si>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</si>
  <si>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</si>
  <si>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</si>
  <si>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</si>
  <si>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</si>
  <si>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</si>
  <si>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</si>
  <si>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</si>
  <si>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</si>
  <si>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</si>
  <si>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</si>
  <si>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</si>
  <si>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</si>
  <si>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</si>
  <si>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</si>
  <si>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</si>
  <si>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</si>
  <si>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</si>
  <si>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</si>
  <si>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</si>
  <si>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</si>
  <si>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</si>
  <si>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</si>
  <si>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</si>
  <si>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</si>
  <si>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</si>
  <si>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</si>
  <si>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</si>
  <si>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</si>
  <si>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</si>
  <si>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</si>
  <si>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</si>
  <si>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</si>
  <si>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</si>
  <si>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</si>
  <si>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</si>
  <si>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&lt;-- Hide Don't Delete Division Header &amp; The Trade Rows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</si>
</sst>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9" fillId="0" borderId="0" xfId="0" applyFont="1"/>
    <xf numFmtId="0" fontId="9" fillId="0" borderId="0" xfId="0" applyFont="1"/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1" fillId="0" borderId="0" xfId="3" applyAlignment="1">
      <alignment horizontal="right"/>
    </xf>
    <xf numFmtId="0" fontId="10" fillId="0" borderId="0" xfId="0" applyNumberFormat="1" applyFont="1"/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3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0C4AE42-3D72-49D0-B777-F2042D95C6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4DF04E-A361-4233-B250-280962F2C4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5BE0F7-5889-41F2-B31D-12BC0A29D5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448D93-5153-460C-A669-664A1D8AE4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4AF0B4-CC06-4AB6-8544-52236819F7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CA7EA4-D5AD-4F60-A04E-867ED5BA8F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C979A8-2FE4-4866-9E31-FFAED94C95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5055AD-259C-43E4-A895-49E161802C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Template!$AA$14:$AA$22</c:f>
              <c:numCache>
                <c:formatCode>yyyy\-mm\-dd</c:formatCode>
                <c:ptCount val="9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</c:numCache>
            </c:numRef>
          </c:cat>
          <c:val>
            <c:numRef>
              <c:f>Template!$AC$14:$AC$22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Template!$AB$14:$AB$22</c15:f>
                <c15:dlblRangeCache>
                  <c:ptCount val="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Template!$AA$14:$AA$22</c:f>
              <c:numCache>
                <c:formatCode>yyyy\-mm\-dd</c:formatCode>
                <c:ptCount val="9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</c:numCache>
            </c:numRef>
          </c:cat>
          <c:val>
            <c:numRef>
              <c:f>Template!$AD$14:$AD$22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Template!$AA$14:$AA$22</c:f>
              <c:numCache>
                <c:formatCode>yyyy\-mm\-dd</c:formatCode>
                <c:ptCount val="9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</c:numCache>
            </c:numRef>
          </c:cat>
          <c:val>
            <c:numRef>
              <c:f>Template!$AE$14:$AE$22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Template!$AA$14:$AA$22</c:f>
              <c:numCache>
                <c:formatCode>yyyy\-mm\-dd</c:formatCode>
                <c:ptCount val="9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</c:numCache>
            </c:numRef>
          </c:cat>
          <c:val>
            <c:numRef>
              <c:f>Template!$AF$14:$AF$22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B46A61D-11AC-4EF9-AFD7-4F0FF2BE1C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D694DC-EAC9-4A2B-AE07-A3AAE9F54D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8DE7E3-1A10-40E8-B705-40A4DFA04D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87C8EE-4458-48EB-8089-7877891639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B45574-9E0A-470C-BC13-FEA450DB50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F0118AE-BAEB-432D-ADEC-87309B8C25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15F15E-B40B-4A43-9F9D-8553EF175E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115CCC8-F2A7-44ED-A891-4A30CC7FC5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799D86-6246-4DA5-A105-C8F192CAA5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83F6CB-A166-4238-90BE-C4FB0216C4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C4DF24-1926-48F4-A0AC-F3BF215B5E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413ABD-F96D-40A2-A719-1B40092AB0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234033-F482-43EF-A38C-2C0087DA86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7CD6B09-B062-4079-9946-7B3B7CA1EF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9B92A3-0417-400A-BC41-D13ED56E46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4BFB95-D987-448C-98F3-69A66898C2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A0EDE8-F21A-4E5C-B9F5-6125EA7B9D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5A716C-34AE-403E-B17D-56A67ABFCA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F3E76B-89A8-447F-B6FF-5F7DC77C7D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01DC6C-2915-4E16-BD20-6CA5078AA6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96789E-BF1A-45CD-AB09-69442DD61C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2FD062-E610-45AB-8028-F07EE300D5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406DAF-610F-4741-AA93-B3AF71F4EB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1319F1-7EC0-4CF6-ACF1-9F29273B8C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E62292-BB77-4103-AFB9-C779071FD5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FAFF3D-2305-4F1D-A6C5-91FE821C7A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C5EFC5-CF34-4D35-BF3C-A56E2A656A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F4B532-E3EF-4141-9ACB-D40C05F6CB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C8638F-DE1B-4314-97E4-90D981A00E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F0C3AF3-EA17-495F-99F9-B9ED423FE0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B43865E-4E37-47DC-9256-41C07762EF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1981D6-310E-41E9-83DE-8993EB8ECF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F8D96C6-8E43-4AF0-9010-EE4BF515A3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981592-0F1B-47DB-A194-51EB0D3031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F13F3A-272F-4905-A9B9-A6F6FA1001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5D5D91-2EA9-4E83-BC52-B18070BDE7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7DA61A-4B6B-4C8A-A652-AE81CEF1F3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78473F-86FD-4B71-853D-C84C857752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1A36BA-A44A-49DB-B6B8-F24EC0711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B7FC6B-F0D7-452A-B6E9-609B577AE1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D8A2A6-526F-4BE5-B1C5-0EBCEA5014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BA1A9E-BEFF-42EE-A0CD-452C57AC91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C4154E-07E3-469B-8497-CF0DEF96D5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08764A-CB1D-47D7-A758-35D4C82B61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6D24AD-F0C5-4607-9471-CBBCB6CEF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864355C-D7E2-40B9-8D2E-240F944A3D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9E85B3-A025-4B5A-A491-85D3B4F44A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82262C-3C31-437D-8ECC-3F0B1CE87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CC5A970-A525-43E8-B283-7767C323D6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E31E93-2CEA-44CA-85D9-4C99268099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07EAB56-3878-4F8E-94E5-9E68E9E9EE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B1885C5-8603-496E-9509-2053C20A6B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F99441-1E1D-4403-B901-502C03BD73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FD2612-0C9F-4FDE-87DB-F87AC73412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E678475-B0F0-4ED9-9D36-553DF26EA8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C80183-8A66-4373-841C-B7E18AB96A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67B35A-5AD3-4FD1-85BD-F5430E8540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EE8519-C622-46BB-9676-2FD7033E3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2B5C85-F5E5-415B-89CD-87439626AB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C39A28-4AD5-43C1-AF32-76D8AB3147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282886D-5D11-438A-8DC8-B2FCA412CD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B723FA-E4D7-4E96-99C9-E681798E5A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8180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19386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2" dataDxfId="111">
  <autoFilter ref="R13:X16" xr:uid="{FF2C9E8B-1A62-479C-AF68-79B236C0B7BB}"/>
  <tableColumns count="7">
    <tableColumn id="1" xr3:uid="{727C6146-39EA-4E15-8783-53CAA87FAF36}" name="Zone ID" dataDxfId="110"/>
    <tableColumn id="2" xr3:uid="{2CA65110-6DD7-46D8-BFC2-5EB0C0E57567}" name="Description" dataDxfId="109"/>
    <tableColumn id="3" xr3:uid="{12D64F80-6A69-494F-BF8F-E326D34A185A}" name="Short Description" dataDxfId="108"/>
    <tableColumn id="4" xr3:uid="{71F3F5B2-8F6B-4985-B1FC-5A9D60095474}" name="Start Date" dataDxfId="107"/>
    <tableColumn id="5" xr3:uid="{57258378-8FED-4727-89AC-D938CB414B7B}" name="Finish Date" dataDxfId="106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F21" totalsRowShown="0" headerRowDxfId="105">
  <autoFilter ref="AA13:AF21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13F9A169-BFE8-4436-A535-BADFC0E7BD6C}" name="Date" dataDxfId="104">
      <calculatedColumnFormula>IF(AA13 = "Date", $S$4, AA13+7)</calculatedColumnFormula>
    </tableColumn>
    <tableColumn id="6" xr3:uid="{5740AC03-CF53-4345-8667-6AC0CA6843D0}" name="Primary Areas" dataDxfId="103">
      <calculatedColumnFormula>PrimaryAreas(3)</calculatedColumnFormula>
    </tableColumn>
    <tableColumn id="2" xr3:uid="{AF232D3D-EC3F-4232-BA5D-1427173C2D6A}" name="Weekly Plan" dataDxfId="102">
      <calculatedColumnFormula xml:space="preserve"> IF(#REF!="", 0,#REF!)+ IF(#REF!="", 0,#REF!)+ IF(#REF!="", 0,#REF!)</calculatedColumnFormula>
    </tableColumn>
    <tableColumn id="3" xr3:uid="{B28103F6-7596-4848-9F0D-3E4A9E5CBEFE}" name="Weekly Actual" dataDxfId="101">
      <calculatedColumnFormula>IF(AND(ISBLANK(#REF!),ISBLANK(#REF!),ISBLANK(#REF!)),"",#REF! +#REF!+#REF!)</calculatedColumnFormula>
    </tableColumn>
    <tableColumn id="4" xr3:uid="{EF1C6009-71E6-491B-B64F-04049D2D9103}" name="Accumulated Plan" dataDxfId="100">
      <calculatedColumnFormula>SUM($AC$14:AC14)</calculatedColumnFormula>
    </tableColumn>
    <tableColumn id="5" xr3:uid="{442DAB73-1233-4C61-8DE9-3B44CE2C5D69}" name="Accumulated Actual" dataDxfId="99">
      <calculatedColumnFormula>IF(AD14="",NA(),SUM($AD$14:AD14))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8">
  <autoFilter ref="H2:H5" xr:uid="{1041DC80-58D6-4308-9DE1-A4EC8AAD3C20}"/>
  <tableColumns count="1">
    <tableColumn id="1" xr3:uid="{0E6D3E77-7CB7-40A1-BCA6-DDC8164AAEB9}" name="Holidays" dataDxfId="97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96" dataDxfId="95">
  <autoFilter ref="R13:X21" xr:uid="{FF2C9E8B-1A62-479C-AF68-79B236C0B7BB}"/>
  <tableColumns count="7">
    <tableColumn id="1" xr3:uid="{9FED2BA1-A1A7-4513-A20F-F09DB113155D}" name="Zone ID" dataDxfId="94"/>
    <tableColumn id="2" xr3:uid="{8B67A205-5329-400B-84DC-CB06A032CF16}" name="Description" dataDxfId="93"/>
    <tableColumn id="3" xr3:uid="{2253D560-C30C-43DE-ABAB-BFAFD145DF40}" name="Short Description" dataDxfId="92"/>
    <tableColumn id="4" xr3:uid="{09E57ADB-1BEB-4CFB-B160-A9C7ADA56DE0}" name="Start Date" dataDxfId="91"/>
    <tableColumn id="5" xr3:uid="{B704EAFC-B4AE-45F3-A5AC-5189060C6D42}" name="Finish Date" dataDxfId="90"/>
    <tableColumn id="6" xr3:uid="{FAFABCDE-D7F7-45A9-83E7-80ADC6F01B0B}" name="Total" dataDxfId="89" dataCellStyle="Normal"/>
    <tableColumn id="7" xr3:uid="{F8D69A8D-7550-4939-9D63-599172BCFFFD}" name="Completed Total" dataDxfId="88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87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86">
      <calculatedColumnFormula>IF(AA13 = "Date", $S$4, AA13+7)</calculatedColumnFormula>
    </tableColumn>
    <tableColumn id="6" xr3:uid="{DE271CBB-C0FC-482D-929A-C21AEFAC32E4}" name="Primary Areas" dataDxfId="85">
      <calculatedColumnFormula>PrimaryAreas(8)</calculatedColumnFormula>
    </tableColumn>
    <tableColumn id="2" xr3:uid="{71EE47CC-75E0-49E1-B527-E1364059B0A6}" name="Weekly Plan" dataDxfId="84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83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82">
      <calculatedColumnFormula>SUM($AC$14:AC14)</calculatedColumnFormula>
    </tableColumn>
    <tableColumn id="5" xr3:uid="{CB7FAB5B-BEAB-4D4A-BD18-57DE0B5DE266}" name="Accumulated Actual" dataDxfId="81">
      <calculatedColumnFormula>IF(AD14="",NA(),SUM($AD$14:AD14))</calculatedColumnFormula>
    </tableColumn>
    <tableColumn id="7" xr3:uid="{2A1CBA5C-29D6-4EB1-8BAA-AF2C064B4A02}" name="WP_ABC" dataDxfId="80">
      <calculatedColumnFormula>WeeklyPlanned(Output_0501[[#Headers],[WP_ABC]], Output_0501[[#This Row],[Date]])</calculatedColumnFormula>
    </tableColumn>
    <tableColumn id="8" xr3:uid="{04DC9374-2B37-4BF5-AA39-F11FC0149281}" name="WA_ABC" dataDxfId="79"/>
    <tableColumn id="9" xr3:uid="{4F88CC2C-A480-4C5B-BA01-24B210AB447A}" name="WP_ACS" dataDxfId="78">
      <calculatedColumnFormula>WeeklyPlanned(Output_0501[[#Headers],[WP_ACS]], Output_0501[[#This Row],[Date]])</calculatedColumnFormula>
    </tableColumn>
    <tableColumn id="10" xr3:uid="{48C24C77-4D2B-435F-BBC2-FAD4AD540AB6}" name="WA_ACS" dataDxfId="77"/>
    <tableColumn id="11" xr3:uid="{75D5C587-305D-4077-9FAA-C79F65923E57}" name="WP_AL1" dataDxfId="76">
      <calculatedColumnFormula>WeeklyPlanned(Output_0501[[#Headers],[WP_AL1]], Output_0501[[#This Row],[Date]])</calculatedColumnFormula>
    </tableColumn>
    <tableColumn id="12" xr3:uid="{8077796C-E6FC-4EE3-89F7-798709387F7F}" name="WA_AL1" dataDxfId="75"/>
    <tableColumn id="13" xr3:uid="{792F3323-B0E8-4776-9689-FD45E57B619D}" name="WP_HBase" dataDxfId="74">
      <calculatedColumnFormula>WeeklyPlanned(Output_0501[[#Headers],[WP_HBase]], Output_0501[[#This Row],[Date]])</calculatedColumnFormula>
    </tableColumn>
    <tableColumn id="14" xr3:uid="{9E7E74B1-B432-4576-8F57-2DCED559C004}" name="WA_HBase" dataDxfId="73"/>
    <tableColumn id="15" xr3:uid="{6C8A9406-B3E7-4378-8961-19DE99A823B8}" name="WP_HWST" dataDxfId="72">
      <calculatedColumnFormula>WeeklyPlanned(Output_0501[[#Headers],[WP_HWST]], Output_0501[[#This Row],[Date]])</calculatedColumnFormula>
    </tableColumn>
    <tableColumn id="16" xr3:uid="{85632008-1A06-41BF-96BF-DF4F2942C8E3}" name="WA_HWST" dataDxfId="71"/>
    <tableColumn id="17" xr3:uid="{4ED0746A-56E1-4B9A-8D82-621AD6A805EE}" name="WP_HWSR" dataDxfId="70">
      <calculatedColumnFormula>WeeklyPlanned(Output_0501[[#Headers],[WP_HWSR]], Output_0501[[#This Row],[Date]])</calculatedColumnFormula>
    </tableColumn>
    <tableColumn id="18" xr3:uid="{616A2447-10D3-4C5E-BE98-C8594A351722}" name="WA_HWSR" dataDxfId="69"/>
    <tableColumn id="19" xr3:uid="{13711C20-54F0-41FE-93CC-92DB5745C53C}" name="WP_HL2" dataDxfId="68">
      <calculatedColumnFormula>WeeklyPlanned(Output_0501[[#Headers],[WP_HL2]], Output_0501[[#This Row],[Date]])</calculatedColumnFormula>
    </tableColumn>
    <tableColumn id="20" xr3:uid="{AE155A80-4969-4902-8DAF-8DC808584420}" name="WA_HL2" dataDxfId="67"/>
    <tableColumn id="21" xr3:uid="{186F9C43-2DF5-47B7-A779-6A42D4C3454E}" name="WP_HBCeil" dataDxfId="66">
      <calculatedColumnFormula>WeeklyPlanned(Output_0501[[#Headers],[WP_HBCeil]], Output_0501[[#This Row],[Date]])</calculatedColumnFormula>
    </tableColumn>
    <tableColumn id="22" xr3:uid="{7F8ADB3E-C083-4C51-8B5A-9EACC6ABF4A0}" name="WA_HBCeil" dataDxfId="65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64" dataDxfId="63">
  <autoFilter ref="R13:X16" xr:uid="{FF2C9E8B-1A62-479C-AF68-79B236C0B7BB}"/>
  <tableColumns count="7">
    <tableColumn id="1" xr3:uid="{98B6CEFA-F45C-41F6-AA4B-12A3C8376FF3}" name="Zone ID" dataDxfId="62"/>
    <tableColumn id="2" xr3:uid="{0EED481C-6B7F-45EA-96EB-621E9C83F3F6}" name="Description" dataDxfId="61"/>
    <tableColumn id="3" xr3:uid="{92B65829-37BF-4514-B7D6-292B5B8F0C44}" name="Short Description" dataDxfId="60"/>
    <tableColumn id="4" xr3:uid="{80A86D55-7D1D-4DFA-811D-6869E0913B53}" name="Start Date" dataDxfId="59"/>
    <tableColumn id="5" xr3:uid="{93521AA3-7D74-4D93-B395-07061FC7E0C3}" name="Finish Date" dataDxfId="58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57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56">
      <calculatedColumnFormula>IF(AA13 = "Date", $S$4, AA13+7)</calculatedColumnFormula>
    </tableColumn>
    <tableColumn id="6" xr3:uid="{AB52DC66-705D-403C-9556-5F09775CDBB4}" name="Primary Areas" dataDxfId="55">
      <calculatedColumnFormula>PrimaryAreas(3)</calculatedColumnFormula>
    </tableColumn>
    <tableColumn id="2" xr3:uid="{B199DE9E-07BB-4F6F-BF0F-FD9612C1E4A1}" name="Weekly Plan" dataDxfId="54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53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52">
      <calculatedColumnFormula>SUM($AC$14:AC14)</calculatedColumnFormula>
    </tableColumn>
    <tableColumn id="5" xr3:uid="{651F866A-913C-41F0-96AF-A1AE2AFF845B}" name="Accumulated Actual" dataDxfId="51">
      <calculatedColumnFormula>IF(AD14="",NA(),SUM($AD$14:AD14))</calculatedColumnFormula>
    </tableColumn>
    <tableColumn id="43" xr3:uid="{32BBBBE6-824B-424A-A817-1078C82774BD}" name="WP_A1" dataDxfId="50">
      <calculatedColumnFormula>WeeklyPlanned(Output_0001[[#Headers],[WP_A1]], Output_0001[[#This Row],[Date]])</calculatedColumnFormula>
    </tableColumn>
    <tableColumn id="44" xr3:uid="{2E76C9D7-DBC3-40AA-B2D2-F2A8133ADEDC}" name="WA_A1" dataDxfId="49"/>
    <tableColumn id="45" xr3:uid="{8349A05E-AB3B-4D38-86D5-C3757AF0C549}" name="WP_A2" dataDxfId="48">
      <calculatedColumnFormula>WeeklyPlanned(Output_0001[[#Headers],[WP_A2]], Output_0001[[#This Row],[Date]])</calculatedColumnFormula>
    </tableColumn>
    <tableColumn id="46" xr3:uid="{98829D33-590E-463C-A7AE-DB10CF64BCCB}" name="WA_A2" dataDxfId="47"/>
    <tableColumn id="47" xr3:uid="{0C2A1C55-569B-4688-8BB0-54DD665AAD32}" name="WP_A3" dataDxfId="46">
      <calculatedColumnFormula>WeeklyPlanned(Output_0001[[#Headers],[WP_A3]], Output_0001[[#This Row],[Date]])</calculatedColumnFormula>
    </tableColumn>
    <tableColumn id="48" xr3:uid="{5EA3C838-64EE-4DF3-8DFE-BE9B5AC605F5}" name="WA_A3" dataDxfId="4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G40"/>
  <sheetViews>
    <sheetView zoomScale="85" zoomScaleNormal="85" workbookViewId="0">
      <selection activeCell="T23" sqref="T2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3" ht="15" thickBot="1" x14ac:dyDescent="0.4">
      <c r="R1" s="106" t="str">
        <f>HYPERLINK("#Main!A1", "Back to Main")</f>
        <v>Back to Main</v>
      </c>
      <c r="AA1" s="78" t="s">
        <v>80</v>
      </c>
      <c r="AB1" s="79"/>
    </row>
    <row r="2" spans="2:33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1</v>
      </c>
      <c r="AA2" s="52"/>
      <c r="AB2" s="53"/>
    </row>
    <row r="3" spans="2:33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1</v>
      </c>
      <c r="AA3" s="52"/>
      <c r="AB3" s="53"/>
      <c r="AC3" s="60">
        <v>43993.726458333331</v>
      </c>
      <c r="AE3" s="38"/>
      <c r="AF3" s="60"/>
    </row>
    <row r="4" spans="2:33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3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3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 t="e">
        <f ca="1">SUM(INDIRECT("Output_"&amp;$S$2&amp;"[Weekly Plan]"))</f>
        <v>#REF!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3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 t="e">
        <f ca="1">VLOOKUP($S$3, INDIRECT("Output_"&amp;$S$2), 5, FALSE)</f>
        <v>#N/A</v>
      </c>
      <c r="O7" s="29">
        <f ca="1">_xlfn.IFNA(VLOOKUP($S$3, INDIRECT("Output_"&amp;$S$2), 6, FALSE), 0)</f>
        <v>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3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 t="e">
        <f ca="1">VLOOKUP($S$3, INDIRECT("Output_"&amp;$S$2), 3, FALSE)</f>
        <v>#N/A</v>
      </c>
      <c r="O8" s="29" t="e">
        <f ca="1">VLOOKUP($S$3, INDIRECT("Output_"&amp;$S$2), 4, FALSE)</f>
        <v>#N/A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3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 t="e">
        <f ca="1">AVERAGE(INDIRECT("Output_"&amp;$S$2&amp;"[Weekly Plan]"))</f>
        <v>#REF!</v>
      </c>
      <c r="O9" s="33" t="e">
        <f ca="1">AVERAGE(INDIRECT("AD14:AD" &amp;MATCH($S$3,INDIRECT("Output_"&amp;$S$2&amp;"[Date]"),0)+14))</f>
        <v>#N/A</v>
      </c>
      <c r="R9" s="17" t="s">
        <v>158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3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33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17" t="s">
        <v>115</v>
      </c>
      <c r="U10" s="85" t="s">
        <v>156</v>
      </c>
      <c r="V10" s="85"/>
      <c r="W10" s="85"/>
      <c r="X10" s="85"/>
      <c r="AB10" s="62"/>
      <c r="AC10" s="61"/>
      <c r="AD10" s="59"/>
    </row>
    <row r="11" spans="2:33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 t="e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#N/A</v>
      </c>
      <c r="O11" s="33" t="e">
        <f ca="1">IF($O$5&gt;0.998, "-", (SUM(Input_Template[Total])-INDIRECT("AF"&amp;MATCH($S$3, Output_Template[Date],0)+13))/(ROW(Output_Template[Weekly Plan])-1+ROWS(Output_Template[Weekly Plan])-(MATCH($S$3, Output_Template[Date],0)+13)))</f>
        <v>#N/A</v>
      </c>
      <c r="U11" s="85"/>
      <c r="V11" s="85"/>
      <c r="W11" s="85"/>
      <c r="X11" s="85"/>
      <c r="AC11" s="59"/>
      <c r="AD11" s="59"/>
    </row>
    <row r="12" spans="2:33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3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 t="e">
        <f ca="1">IF(O10=0,"",IF($O$5&gt;0.999, "Completed", WORKDAY($S$3, ROUNDUP((SUM(Input_Template[Total])-(INDIRECT("AF"&amp;MATCH($S$3, Output_Template[Date],0)+13)))/($O$10/COUNTIF($U$2:$U$8, TRUE)),0), Holidays_Table[Holidays])))</f>
        <v>#DIV/0!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48"/>
    </row>
    <row r="14" spans="2:33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>
        <f t="shared" ref="AB14:AB21" ca="1" si="1">PrimaryAreas(3)</f>
        <v>0</v>
      </c>
      <c r="AC14" s="51" t="e">
        <f>IF(#REF!="", 0, #REF!)+IF(#REF!="", 0, #REF!)+IF(#REF!="", 0, #REF!)</f>
        <v>#REF!</v>
      </c>
      <c r="AD14" s="51" t="e">
        <f>IF(AND(ISBLANK(#REF!),ISBLANK(#REF!),ISBLANK(#REF!)),"", #REF!+#REF!+#REF!)</f>
        <v>#REF!</v>
      </c>
      <c r="AE14" s="51" t="e">
        <f>SUM($AC$14:AC14)</f>
        <v>#REF!</v>
      </c>
      <c r="AF14" s="51" t="e">
        <f>IF(AD14="",NA(),SUM($AD$14:AD14))</f>
        <v>#REF!</v>
      </c>
    </row>
    <row r="15" spans="2:33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>
        <f t="shared" ca="1" si="1"/>
        <v>0</v>
      </c>
      <c r="AC15" s="51" t="e">
        <f>IF(#REF!="", 0, #REF!)+IF(#REF!="", 0, #REF!)+IF(#REF!="", 0, #REF!)</f>
        <v>#REF!</v>
      </c>
      <c r="AD15" s="51" t="e">
        <f>IF(AND(ISBLANK(#REF!),ISBLANK(#REF!),ISBLANK(#REF!)),"", #REF!+#REF!+#REF!)</f>
        <v>#REF!</v>
      </c>
      <c r="AE15" s="51" t="e">
        <f>SUM($AC$14:AC15)</f>
        <v>#REF!</v>
      </c>
      <c r="AF15" s="51" t="e">
        <f>IF(AD15="",NA(),SUM($AD$14:AD15))</f>
        <v>#REF!</v>
      </c>
    </row>
    <row r="16" spans="2:33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21" si="2">IF(AA15 = "Date", $S$4, AA15+7)</f>
        <v>43922</v>
      </c>
      <c r="AB16" s="49">
        <f t="shared" ca="1" si="1"/>
        <v>0</v>
      </c>
      <c r="AC16" s="51" t="e">
        <f>IF(#REF!="", 0, #REF!)+IF(#REF!="", 0, #REF!)+IF(#REF!="", 0, #REF!)</f>
        <v>#REF!</v>
      </c>
      <c r="AD16" s="51" t="e">
        <f>IF(AND(ISBLANK(#REF!),ISBLANK(#REF!),ISBLANK(#REF!)),"", #REF!+#REF!+#REF!)</f>
        <v>#REF!</v>
      </c>
      <c r="AE16" s="51" t="e">
        <f>SUM($AC$14:AC16)</f>
        <v>#REF!</v>
      </c>
      <c r="AF16" s="51" t="e">
        <f>IF(AD16="",NA(),SUM($AD$14:AD16))</f>
        <v>#REF!</v>
      </c>
    </row>
    <row r="17" spans="2:32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>
        <f t="shared" ca="1" si="1"/>
        <v>0</v>
      </c>
      <c r="AC17" s="51" t="e">
        <f>IF(#REF!="", 0, #REF!)+IF(#REF!="", 0, #REF!)+IF(#REF!="", 0, #REF!)</f>
        <v>#REF!</v>
      </c>
      <c r="AD17" s="51" t="e">
        <f>IF(AND(ISBLANK(#REF!),ISBLANK(#REF!),ISBLANK(#REF!)),"", #REF!+#REF!+#REF!)</f>
        <v>#REF!</v>
      </c>
      <c r="AE17" s="51" t="e">
        <f>SUM($AC$14:AC17)</f>
        <v>#REF!</v>
      </c>
      <c r="AF17" s="51" t="e">
        <f>IF(AD17="",NA(),SUM($AD$14:AD17))</f>
        <v>#REF!</v>
      </c>
    </row>
    <row r="18" spans="2:32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>
        <f t="shared" ca="1" si="1"/>
        <v>0</v>
      </c>
      <c r="AC18" s="51" t="e">
        <f>IF(#REF!="", 0, #REF!)+IF(#REF!="", 0, #REF!)+IF(#REF!="", 0, #REF!)</f>
        <v>#REF!</v>
      </c>
      <c r="AD18" s="51" t="e">
        <f>IF(AND(ISBLANK(#REF!),ISBLANK(#REF!),ISBLANK(#REF!)),"", #REF!+#REF!+#REF!)</f>
        <v>#REF!</v>
      </c>
      <c r="AE18" s="51" t="e">
        <f>SUM($AC$14:AC18)</f>
        <v>#REF!</v>
      </c>
      <c r="AF18" s="51" t="e">
        <f>IF(AD18="",NA(),SUM($AD$14:AD18))</f>
        <v>#REF!</v>
      </c>
    </row>
    <row r="19" spans="2:32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>
        <f t="shared" ca="1" si="1"/>
        <v>0</v>
      </c>
      <c r="AC19" s="51" t="e">
        <f>IF(#REF!="", 0, #REF!)+IF(#REF!="", 0, #REF!)+IF(#REF!="", 0, #REF!)</f>
        <v>#REF!</v>
      </c>
      <c r="AD19" s="51" t="e">
        <f>IF(AND(ISBLANK(#REF!),ISBLANK(#REF!),ISBLANK(#REF!)),"", #REF!+#REF!+#REF!)</f>
        <v>#REF!</v>
      </c>
      <c r="AE19" s="51" t="e">
        <f>SUM($AC$14:AC19)</f>
        <v>#REF!</v>
      </c>
      <c r="AF19" s="51" t="e">
        <f>IF(AD19="",NA(),SUM($AD$14:AD19))</f>
        <v>#REF!</v>
      </c>
    </row>
    <row r="20" spans="2:32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>
        <f t="shared" ca="1" si="1"/>
        <v>0</v>
      </c>
      <c r="AC20" s="51" t="e">
        <f>IF(#REF!="", 0, #REF!)+IF(#REF!="", 0, #REF!)+IF(#REF!="", 0, #REF!)</f>
        <v>#REF!</v>
      </c>
      <c r="AD20" s="51" t="e">
        <f>IF(AND(ISBLANK(#REF!),ISBLANK(#REF!),ISBLANK(#REF!)),"", #REF!+#REF!+#REF!)</f>
        <v>#REF!</v>
      </c>
      <c r="AE20" s="51" t="e">
        <f>SUM($AC$14:AC20)</f>
        <v>#REF!</v>
      </c>
      <c r="AF20" s="51" t="e">
        <f>IF(AD20="",NA(),SUM($AD$14:AD20))</f>
        <v>#REF!</v>
      </c>
    </row>
    <row r="21" spans="2:32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>
        <f t="shared" ca="1" si="1"/>
        <v>0</v>
      </c>
      <c r="AC21" s="51" t="e">
        <f>IF(#REF!="", 0, #REF!)+IF(#REF!="", 0, #REF!)+IF(#REF!="", 0, #REF!)</f>
        <v>#REF!</v>
      </c>
      <c r="AD21" s="51" t="e">
        <f>IF(AND(ISBLANK(#REF!),ISBLANK(#REF!),ISBLANK(#REF!)),"", #REF!+#REF!+#REF!)</f>
        <v>#REF!</v>
      </c>
      <c r="AE21" s="51" t="e">
        <f>SUM($AC$14:AC21)</f>
        <v>#REF!</v>
      </c>
      <c r="AF21" s="51" t="e">
        <f>IF(AD21="",NA(),SUM($AD$14:AD21))</f>
        <v>#REF!</v>
      </c>
    </row>
    <row r="22" spans="2:32" ht="15" x14ac:dyDescent="0.3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</row>
    <row r="23" spans="2:32" ht="15" x14ac:dyDescent="0.3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</row>
    <row r="24" spans="2:32" ht="15" x14ac:dyDescent="0.3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</row>
    <row r="25" spans="2:32" ht="15" x14ac:dyDescent="0.3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</row>
    <row r="26" spans="2:32" ht="15" x14ac:dyDescent="0.3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</row>
    <row r="27" spans="2:32" ht="15" x14ac:dyDescent="0.3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</row>
    <row r="28" spans="2:32" ht="15" x14ac:dyDescent="0.3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</row>
    <row r="29" spans="2:32" ht="15" x14ac:dyDescent="0.3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</row>
    <row r="30" spans="2:32" ht="15" x14ac:dyDescent="0.3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</row>
    <row r="31" spans="2:32" ht="15" x14ac:dyDescent="0.3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</row>
    <row r="32" spans="2:32" ht="15" x14ac:dyDescent="0.3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</row>
    <row r="33" spans="2:15" ht="15" x14ac:dyDescent="0.3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</row>
    <row r="34" spans="2:15" ht="15" x14ac:dyDescent="0.3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</row>
    <row r="35" spans="2:15" ht="15" x14ac:dyDescent="0.3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</row>
    <row r="36" spans="2:15" ht="15" x14ac:dyDescent="0.3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</row>
    <row r="37" spans="2:15" ht="15" x14ac:dyDescent="0.3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</row>
    <row r="38" spans="2:15" ht="15" x14ac:dyDescent="0.3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</row>
    <row r="39" spans="2:15" ht="15" x14ac:dyDescent="0.3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</row>
    <row r="40" spans="2:15" ht="15.5" thickBot="1" x14ac:dyDescent="0.35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F21">
    <cfRule type="containsErrors" dxfId="44" priority="10">
      <formula>ISERROR(AF14)</formula>
    </cfRule>
  </conditionalFormatting>
  <conditionalFormatting sqref="W13:X13">
    <cfRule type="expression" dxfId="43" priority="8">
      <formula>IF(OR($S$8 = "Assemble Addin", $S$8 = "Bluebeam QL"), TRUE, FALSE)</formula>
    </cfRule>
  </conditionalFormatting>
  <conditionalFormatting sqref="N6:O6">
    <cfRule type="expression" dxfId="42" priority="7">
      <formula>IF($N$6=$O$6, FALSE, TRUE)</formula>
    </cfRule>
  </conditionalFormatting>
  <conditionalFormatting sqref="W14:X16">
    <cfRule type="expression" dxfId="41" priority="5">
      <formula>IF(OR($S$8 = "Assemble Addin", $S$8 = "Bluebeam QL"), TRUE, FALSE)</formula>
    </cfRule>
    <cfRule type="expression" dxfId="40" priority="6">
      <formula>IF(OR($S$8 = "Assemble Addin", $S$8 = "Bluebeam QL"), MOD(ROW(), 2)=0, FALSE)</formula>
    </cfRule>
  </conditionalFormatting>
  <conditionalFormatting sqref="R13">
    <cfRule type="expression" dxfId="39" priority="2">
      <formula>IF($S$8 = "Assemble Addin", TRUE, FALSE)</formula>
    </cfRule>
  </conditionalFormatting>
  <conditionalFormatting sqref="R14:R16">
    <cfRule type="expression" dxfId="38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A20" sqref="A2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144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154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151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152</v>
      </c>
      <c r="H7" s="1"/>
      <c r="J7" t="s">
        <v>30</v>
      </c>
    </row>
    <row r="8" spans="2:29" x14ac:dyDescent="0.35">
      <c r="B8" t="s">
        <v>19</v>
      </c>
      <c r="C8" s="4" t="s">
        <v>145</v>
      </c>
      <c r="H8" s="1"/>
      <c r="J8" t="s">
        <v>127</v>
      </c>
    </row>
    <row r="9" spans="2:29" x14ac:dyDescent="0.35">
      <c r="B9" t="s">
        <v>20</v>
      </c>
      <c r="C9" s="4" t="s">
        <v>147</v>
      </c>
      <c r="H9" s="1"/>
      <c r="J9" t="s">
        <v>128</v>
      </c>
    </row>
    <row r="10" spans="2:29" x14ac:dyDescent="0.35">
      <c r="B10" t="s">
        <v>21</v>
      </c>
      <c r="C10" s="4" t="s">
        <v>146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C41" sqref="C41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157</v>
      </c>
      <c r="J10" s="12" t="s">
        <v>35</v>
      </c>
      <c r="K10" s="12" t="s">
        <v>34</v>
      </c>
    </row>
    <row r="11" spans="2:12" ht="15" hidden="1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6" t="s">
        <v>161</v>
      </c>
    </row>
    <row r="12" spans="2:12" hidden="1" x14ac:dyDescent="0.3">
      <c r="B12" s="13"/>
      <c r="G12" s="38"/>
      <c r="H12" s="37"/>
    </row>
    <row r="13" spans="2:12" ht="15" hidden="1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6" t="s">
        <v>161</v>
      </c>
    </row>
    <row r="14" spans="2:12" s="77" customFormat="1" hidden="1" x14ac:dyDescent="0.3">
      <c r="B14" s="9"/>
      <c r="D14" s="10"/>
      <c r="E14" s="10"/>
      <c r="G14" s="73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6" t="s">
        <v>161</v>
      </c>
    </row>
    <row r="16" spans="2:12" s="77" customFormat="1" x14ac:dyDescent="0.3">
      <c r="B16" s="9" t="s">
        <v>150</v>
      </c>
      <c r="C16" s="77" t="s">
        <v>148</v>
      </c>
      <c r="D16" s="10">
        <f ca="1">'0501'!N5</f>
        <v>0</v>
      </c>
      <c r="E16" s="10">
        <f ca="1">'0501'!O5</f>
        <v>0.10714285714285712</v>
      </c>
      <c r="G16" s="73"/>
      <c r="H16" s="37" t="s">
        <v>149</v>
      </c>
      <c r="I16" s="74" t="str">
        <f ca="1">IF(Report_Date = INDIRECT(H33 &amp; "!S9"), "Ready", "Not Ready")</f>
        <v>Ready</v>
      </c>
      <c r="J16" s="77" t="s">
        <v>159</v>
      </c>
      <c r="K16" s="77" t="s">
        <v>160</v>
      </c>
    </row>
    <row r="17" spans="2:12" s="76" customFormat="1" x14ac:dyDescent="0.3">
      <c r="B17" s="9"/>
      <c r="D17" s="10"/>
      <c r="E17" s="10"/>
      <c r="G17" s="73"/>
      <c r="H17" s="37"/>
    </row>
    <row r="18" spans="2:12" ht="15" hidden="1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6" t="s">
        <v>161</v>
      </c>
    </row>
    <row r="19" spans="2:12" hidden="1" x14ac:dyDescent="0.3">
      <c r="B19" s="9"/>
      <c r="G19" s="73"/>
      <c r="H19" s="37"/>
    </row>
    <row r="20" spans="2:12" ht="15" hidden="1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6" t="s">
        <v>161</v>
      </c>
    </row>
    <row r="21" spans="2:12" hidden="1" x14ac:dyDescent="0.3">
      <c r="B21" s="9"/>
      <c r="G21" s="73"/>
      <c r="H21" s="37"/>
    </row>
    <row r="22" spans="2:12" ht="15" hidden="1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6" t="s">
        <v>161</v>
      </c>
    </row>
    <row r="23" spans="2:12" hidden="1" x14ac:dyDescent="0.3">
      <c r="B23" s="9"/>
      <c r="G23" s="73"/>
      <c r="H23" s="37"/>
    </row>
    <row r="24" spans="2:12" ht="15" hidden="1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6" t="s">
        <v>161</v>
      </c>
    </row>
    <row r="25" spans="2:12" hidden="1" x14ac:dyDescent="0.3">
      <c r="B25" s="9"/>
      <c r="G25" s="73"/>
      <c r="H25" s="37"/>
    </row>
    <row r="26" spans="2:12" ht="15" hidden="1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6" t="s">
        <v>161</v>
      </c>
    </row>
    <row r="27" spans="2:12" hidden="1" x14ac:dyDescent="0.3">
      <c r="B27" s="9"/>
      <c r="G27" s="73"/>
      <c r="H27" s="37"/>
    </row>
    <row r="28" spans="2:12" ht="15" hidden="1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6" t="s">
        <v>161</v>
      </c>
    </row>
    <row r="29" spans="2:12" hidden="1" x14ac:dyDescent="0.3">
      <c r="B29" s="9"/>
      <c r="G29" s="73"/>
      <c r="H29" s="37"/>
    </row>
    <row r="30" spans="2:12" ht="15" hidden="1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6" t="s">
        <v>161</v>
      </c>
    </row>
    <row r="31" spans="2:12" hidden="1" x14ac:dyDescent="0.3">
      <c r="B31" s="9"/>
      <c r="G31" s="73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67" t="s">
        <v>161</v>
      </c>
    </row>
    <row r="33" spans="2:10" x14ac:dyDescent="0.3">
      <c r="B33" s="9" t="s">
        <v>153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159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3 E17:E21 E25 E12:E15">
    <cfRule type="expression" dxfId="37" priority="63">
      <formula>IF(ISBLANK($D12), FALSE, IF(RedGreen_Formatting = "Enabled", $D12 &lt;= $E12 + Percent_Error, FALSE))</formula>
    </cfRule>
    <cfRule type="expression" dxfId="36" priority="64">
      <formula>IF(ISBLANK($D12), FALSE, IF(RedGreen_Formatting = "Enabled", $D12 &gt; $E12 + Percent_Error, FALSE))</formula>
    </cfRule>
  </conditionalFormatting>
  <conditionalFormatting sqref="E22">
    <cfRule type="expression" dxfId="35" priority="61">
      <formula>IF(ISBLANK($D22), FALSE, IF(RedGreen_Formatting = "Enabled", $D22 &lt;= $E22 + Percent_Error, FALSE))</formula>
    </cfRule>
    <cfRule type="expression" dxfId="34" priority="62">
      <formula>IF(ISBLANK($D22), FALSE, IF(RedGreen_Formatting = "Enabled", $D22 &gt; $E22 + Percent_Error, FALSE))</formula>
    </cfRule>
  </conditionalFormatting>
  <conditionalFormatting sqref="E24">
    <cfRule type="expression" dxfId="33" priority="59">
      <formula>IF(ISBLANK($D24), FALSE, IF(RedGreen_Formatting = "Enabled", $D24 &lt;= $E24 + Percent_Error, FALSE))</formula>
    </cfRule>
    <cfRule type="expression" dxfId="32" priority="60">
      <formula>IF(ISBLANK($D24), FALSE, IF(RedGreen_Formatting = "Enabled", $D24 &gt; $E24 + Percent_Error, FALSE))</formula>
    </cfRule>
  </conditionalFormatting>
  <conditionalFormatting sqref="E26">
    <cfRule type="expression" dxfId="31" priority="57">
      <formula>IF(ISBLANK($D26), FALSE, IF(RedGreen_Formatting = "Enabled", $D26 &lt;= $E26 + Percent_Error, FALSE))</formula>
    </cfRule>
    <cfRule type="expression" dxfId="30" priority="58">
      <formula>IF(ISBLANK($D26), FALSE, IF(RedGreen_Formatting = "Enabled", $D26 &gt; $E26 + Percent_Error, FALSE))</formula>
    </cfRule>
  </conditionalFormatting>
  <conditionalFormatting sqref="E28">
    <cfRule type="expression" dxfId="29" priority="55">
      <formula>IF(ISBLANK($D28), FALSE, IF(RedGreen_Formatting = "Enabled", $D28 &lt;= $E28 + Percent_Error, FALSE))</formula>
    </cfRule>
    <cfRule type="expression" dxfId="28" priority="56">
      <formula>IF(ISBLANK($D28), FALSE, IF(RedGreen_Formatting = "Enabled", $D28 &gt; $E28 + Percent_Error, FALSE))</formula>
    </cfRule>
  </conditionalFormatting>
  <conditionalFormatting sqref="E30">
    <cfRule type="expression" dxfId="27" priority="53">
      <formula>IF(ISBLANK($D30), FALSE, IF(RedGreen_Formatting = "Enabled", $D30 &lt;= $E30 + Percent_Error, FALSE))</formula>
    </cfRule>
    <cfRule type="expression" dxfId="26" priority="54">
      <formula>IF(ISBLANK($D30), FALSE, IF(RedGreen_Formatting = "Enabled", $D30 &gt; $E30 + Percent_Error, FALSE))</formula>
    </cfRule>
  </conditionalFormatting>
  <conditionalFormatting sqref="E32">
    <cfRule type="expression" dxfId="25" priority="51">
      <formula>IF(ISBLANK($D32), FALSE, IF(RedGreen_Formatting = "Enabled", $D32 &lt;= $E32 + Percent_Error, FALSE))</formula>
    </cfRule>
    <cfRule type="expression" dxfId="24" priority="52">
      <formula>IF(ISBLANK($D32), FALSE, IF(RedGreen_Formatting = "Enabled", $D32 &gt; $E32 + Percent_Error, FALSE))</formula>
    </cfRule>
  </conditionalFormatting>
  <conditionalFormatting sqref="E34">
    <cfRule type="expression" dxfId="23" priority="33">
      <formula>IF(ISBLANK($D34), FALSE, IF(RedGreen_Formatting = "Enabled", $D34 &lt;= $E34 + Percent_Error, FALSE))</formula>
    </cfRule>
    <cfRule type="expression" dxfId="22" priority="34">
      <formula>IF(ISBLANK($D34), FALSE, IF(RedGreen_Formatting = "Enabled", $D34 &gt; $E34 + Percent_Error, FALSE))</formula>
    </cfRule>
  </conditionalFormatting>
  <conditionalFormatting sqref="E33">
    <cfRule type="expression" dxfId="21" priority="13">
      <formula>IF(ISBLANK($D33), FALSE, IF(RedGreen_Formatting = "Enabled", $D33 &lt;= $E33 + Percent_Error, FALSE))</formula>
    </cfRule>
    <cfRule type="expression" dxfId="20" priority="14">
      <formula>IF(ISBLANK($D33), FALSE, IF(RedGreen_Formatting = "Enabled", $D33 &gt; $E33 + Percent_Error, FALSE))</formula>
    </cfRule>
  </conditionalFormatting>
  <conditionalFormatting sqref="I33">
    <cfRule type="cellIs" dxfId="19" priority="7" operator="equal">
      <formula>"Not Ready"</formula>
    </cfRule>
    <cfRule type="cellIs" dxfId="18" priority="8" operator="equal">
      <formula>"Ready"</formula>
    </cfRule>
  </conditionalFormatting>
  <conditionalFormatting sqref="I16">
    <cfRule type="cellIs" dxfId="17" priority="1" operator="equal">
      <formula>"Not Ready"</formula>
    </cfRule>
    <cfRule type="cellIs" dxfId="16" priority="2" operator="equal">
      <formula>"Ready"</formula>
    </cfRule>
  </conditionalFormatting>
  <conditionalFormatting sqref="E16">
    <cfRule type="expression" dxfId="15" priority="3">
      <formula>IF(ISBLANK($D16), FALSE, IF(RedGreen_Formatting = "Enabled", $D16 &lt;= $E16 + Percent_Error, FALSE))</formula>
    </cfRule>
    <cfRule type="expression" dxfId="14" priority="4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Add_New_Trade_Sub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R30" sqref="R30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.453125" style="65" bestFit="1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5" thickBot="1" x14ac:dyDescent="0.4">
      <c r="R1" s="106" t="str">
        <f>HYPERLINK("#Main!A1", "Back to Main")</f>
        <v>Back to Main</v>
      </c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107" t="str">
        <f>Main!C16</f>
        <v>Glassey Steel Works</v>
      </c>
      <c r="D6" s="107"/>
      <c r="E6" s="107"/>
      <c r="F6" s="107"/>
      <c r="G6" s="107"/>
      <c r="H6" s="107"/>
      <c r="I6" s="107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158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136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8"/>
      <c r="M15" s="88"/>
      <c r="N15" s="88"/>
      <c r="O15" s="89"/>
      <c r="R15" s="36"/>
      <c r="S15" s="37" t="s">
        <v>137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138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139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143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142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141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140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21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21">
    <cfRule type="expression" dxfId="7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L44" sqref="L44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156</v>
      </c>
      <c r="V10" s="85"/>
      <c r="W10" s="85"/>
      <c r="X10" s="85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85"/>
      <c r="V11" s="85"/>
      <c r="W11" s="85"/>
      <c r="X11" s="85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16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16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2020-07-31T16:14:46Z</cp:lastPrinted>
  <dcterms:created xsi:type="dcterms:W3CDTF">2019-04-09T17:53:55Z</dcterms:created>
  <dcterms:modified xsi:type="dcterms:W3CDTF">2020-07-31T16:34:05Z</dcterms:modified>
</cp:coreProperties>
</file>