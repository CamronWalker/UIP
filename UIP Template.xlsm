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373217BF-5400-4E2D-A2EA-664C15AA236B}" xr6:coauthVersionLast="44" xr6:coauthVersionMax="44" xr10:uidLastSave="{00000000-0000-0000-0000-000000000000}"/>
  <bookViews>
    <workbookView xWindow="-28920" yWindow="14190" windowWidth="29040" windowHeight="17640" activeTab="4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AG15" i="10"/>
  <c r="AI15" i="3"/>
  <c r="I16" i="2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O45" i="10"/>
  <c r="AO31" i="10"/>
  <c r="AQ37" i="10"/>
  <c r="AI36" i="10"/>
  <c r="AU22" i="10"/>
  <c r="AI18" i="10"/>
  <c r="AQ36" i="10"/>
  <c r="AG28" i="10"/>
  <c r="AM42" i="10"/>
  <c r="AU20" i="10"/>
  <c r="AU24" i="10"/>
  <c r="AS21" i="10"/>
  <c r="AG33" i="10"/>
  <c r="AI38" i="10"/>
  <c r="AS23" i="10"/>
  <c r="AS19" i="10"/>
  <c r="AK27" i="10"/>
  <c r="AQ38" i="10"/>
  <c r="AQ42" i="10"/>
  <c r="AO15" i="10"/>
  <c r="AK25" i="10"/>
  <c r="AS41" i="10"/>
  <c r="AK15" i="10"/>
  <c r="AI23" i="10"/>
  <c r="AM45" i="10"/>
  <c r="AM16" i="10"/>
  <c r="AM17" i="10"/>
  <c r="AQ18" i="10"/>
  <c r="AS42" i="10"/>
  <c r="AK18" i="10"/>
  <c r="AM18" i="10"/>
  <c r="AS24" i="10"/>
  <c r="AO43" i="10"/>
  <c r="AG43" i="10"/>
  <c r="AG40" i="10"/>
  <c r="AM37" i="10"/>
  <c r="AK32" i="10"/>
  <c r="AM34" i="10"/>
  <c r="AS16" i="10"/>
  <c r="AG23" i="10"/>
  <c r="AO29" i="10"/>
  <c r="AG14" i="10"/>
  <c r="AU19" i="10"/>
  <c r="AO16" i="10"/>
  <c r="AS39" i="10"/>
  <c r="AS35" i="10"/>
  <c r="AK19" i="10"/>
  <c r="AM38" i="10"/>
  <c r="AK33" i="10"/>
  <c r="AQ34" i="10"/>
  <c r="AI24" i="10"/>
  <c r="AI37" i="10"/>
  <c r="AI17" i="10"/>
  <c r="AQ45" i="10"/>
  <c r="AG36" i="10"/>
  <c r="AQ30" i="10"/>
  <c r="AI32" i="10"/>
  <c r="AQ31" i="10"/>
  <c r="AU39" i="10"/>
  <c r="AQ22" i="10"/>
  <c r="AS37" i="10"/>
  <c r="AM29" i="10"/>
  <c r="AU36" i="10"/>
  <c r="AK37" i="10"/>
  <c r="AK20" i="10"/>
  <c r="AG18" i="10"/>
  <c r="AK23" i="10"/>
  <c r="AS14" i="10"/>
  <c r="AO30" i="10"/>
  <c r="AQ26" i="10"/>
  <c r="AI14" i="10"/>
  <c r="AQ25" i="10"/>
  <c r="AS38" i="10"/>
  <c r="AI33" i="10"/>
  <c r="AO34" i="10"/>
  <c r="AG37" i="10"/>
  <c r="AG16" i="10"/>
  <c r="AS45" i="10"/>
  <c r="AI19" i="10"/>
  <c r="AM14" i="10"/>
  <c r="AK21" i="10"/>
  <c r="AM32" i="10"/>
  <c r="AO17" i="10"/>
  <c r="AO36" i="10"/>
  <c r="AU37" i="10"/>
  <c r="AG26" i="10"/>
  <c r="AS31" i="10"/>
  <c r="AI27" i="10"/>
  <c r="AO40" i="10"/>
  <c r="AO38" i="10"/>
  <c r="AG30" i="10"/>
  <c r="AU38" i="10"/>
  <c r="AQ29" i="10"/>
  <c r="AU17" i="10"/>
  <c r="AK16" i="10"/>
  <c r="AM39" i="10"/>
  <c r="AO35" i="10"/>
  <c r="AU31" i="10"/>
  <c r="AK39" i="10"/>
  <c r="AG35" i="10"/>
  <c r="AS34" i="10"/>
  <c r="AS36" i="10"/>
  <c r="AS15" i="10"/>
  <c r="AI22" i="10"/>
  <c r="AG24" i="10"/>
  <c r="AI21" i="10"/>
  <c r="AO14" i="10"/>
  <c r="AS28" i="10"/>
  <c r="AQ24" i="10"/>
  <c r="AU45" i="10"/>
  <c r="AO37" i="10"/>
  <c r="AU27" i="10"/>
  <c r="AK35" i="10"/>
  <c r="AQ41" i="10"/>
  <c r="AK36" i="10"/>
  <c r="AM20" i="10"/>
  <c r="AS25" i="10"/>
  <c r="AO23" i="10"/>
  <c r="AU29" i="10"/>
  <c r="AK34" i="10"/>
  <c r="AG19" i="10"/>
  <c r="AI29" i="10"/>
  <c r="AM22" i="10"/>
  <c r="AG41" i="10"/>
  <c r="AO44" i="10"/>
  <c r="AK24" i="10"/>
  <c r="AU23" i="10"/>
  <c r="AK41" i="10"/>
  <c r="AU15" i="10"/>
  <c r="AG45" i="10"/>
  <c r="AO27" i="10"/>
  <c r="AM36" i="10"/>
  <c r="AS29" i="10"/>
  <c r="AQ32" i="10"/>
  <c r="AO21" i="10"/>
  <c r="AQ39" i="10"/>
  <c r="AG29" i="10"/>
  <c r="AM25" i="10"/>
  <c r="AG22" i="10"/>
  <c r="AK31" i="10"/>
  <c r="AQ21" i="10"/>
  <c r="AM15" i="10"/>
  <c r="AK17" i="10"/>
  <c r="AG27" i="10"/>
  <c r="AG32" i="10"/>
  <c r="AO28" i="10"/>
  <c r="AO25" i="10"/>
  <c r="AU16" i="10"/>
  <c r="AO24" i="10"/>
  <c r="AU41" i="10"/>
  <c r="AQ43" i="10"/>
  <c r="AQ14" i="10"/>
  <c r="AI44" i="10"/>
  <c r="AM23" i="10"/>
  <c r="AO33" i="10"/>
  <c r="AU26" i="10"/>
  <c r="AG31" i="10"/>
  <c r="AU18" i="10"/>
  <c r="AM26" i="10"/>
  <c r="AG20" i="10"/>
  <c r="AM33" i="10"/>
  <c r="AQ40" i="10"/>
  <c r="AS30" i="10"/>
  <c r="AI43" i="10"/>
  <c r="AI20" i="10"/>
  <c r="AI42" i="10"/>
  <c r="AS40" i="10"/>
  <c r="AM30" i="10"/>
  <c r="AM43" i="10"/>
  <c r="AK26" i="10"/>
  <c r="AQ27" i="10"/>
  <c r="AO22" i="10"/>
  <c r="AG42" i="10"/>
  <c r="AQ16" i="10"/>
  <c r="AK28" i="10"/>
  <c r="AM24" i="10"/>
  <c r="AU32" i="10"/>
  <c r="AM40" i="10"/>
  <c r="AO19" i="10"/>
  <c r="AQ17" i="10"/>
  <c r="AS22" i="10"/>
  <c r="AI39" i="10"/>
  <c r="AK40" i="10"/>
  <c r="AU35" i="10"/>
  <c r="AM44" i="10"/>
  <c r="AK44" i="10"/>
  <c r="AM31" i="10"/>
  <c r="AS32" i="10"/>
  <c r="AI40" i="10"/>
  <c r="AO41" i="10"/>
  <c r="AU40" i="10"/>
  <c r="AQ19" i="10"/>
  <c r="AG25" i="10"/>
  <c r="AQ15" i="10"/>
  <c r="AM35" i="10"/>
  <c r="AO26" i="10"/>
  <c r="AO32" i="10"/>
  <c r="AG34" i="10"/>
  <c r="AU14" i="10"/>
  <c r="AQ33" i="10"/>
  <c r="AK22" i="10"/>
  <c r="AK38" i="10"/>
  <c r="AI34" i="10"/>
  <c r="AS44" i="10"/>
  <c r="AM21" i="10"/>
  <c r="AU21" i="10"/>
  <c r="AG17" i="10"/>
  <c r="AK14" i="10"/>
  <c r="AS20" i="10"/>
  <c r="AI15" i="10"/>
  <c r="AU44" i="10"/>
  <c r="AO20" i="10"/>
  <c r="AG39" i="10"/>
  <c r="AQ23" i="10"/>
  <c r="AU33" i="10"/>
  <c r="AI31" i="10"/>
  <c r="AM27" i="10"/>
  <c r="AG21" i="10"/>
  <c r="AG38" i="10"/>
  <c r="AI25" i="10"/>
  <c r="AK43" i="10"/>
  <c r="AQ20" i="10"/>
  <c r="AS43" i="10"/>
  <c r="AU28" i="10"/>
  <c r="AM19" i="10"/>
  <c r="AU25" i="10"/>
  <c r="AI28" i="10"/>
  <c r="AU42" i="10"/>
  <c r="AQ28" i="10"/>
  <c r="AI41" i="10"/>
  <c r="AQ44" i="10"/>
  <c r="AS18" i="10"/>
  <c r="AI45" i="10"/>
  <c r="AK30" i="10"/>
  <c r="AI26" i="10"/>
  <c r="AO39" i="10"/>
  <c r="AI30" i="10"/>
  <c r="AU30" i="10"/>
  <c r="AK42" i="10"/>
  <c r="AM28" i="10"/>
  <c r="AU43" i="10"/>
  <c r="AS33" i="10"/>
  <c r="AK29" i="10"/>
  <c r="AM41" i="10"/>
  <c r="AO18" i="10"/>
  <c r="AO42" i="10"/>
  <c r="AG44" i="10"/>
  <c r="AS26" i="10"/>
  <c r="AS27" i="10"/>
  <c r="AI35" i="10"/>
  <c r="AU34" i="10"/>
  <c r="AQ35" i="10"/>
  <c r="AS17" i="10"/>
  <c r="AI16" i="10"/>
  <c r="AK45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37" i="10"/>
  <c r="AB24" i="10"/>
  <c r="AB28" i="10"/>
  <c r="AB42" i="10"/>
  <c r="AB36" i="10"/>
  <c r="O9" i="10"/>
  <c r="AB15" i="10"/>
  <c r="N12" i="10"/>
  <c r="N6" i="10"/>
  <c r="AB39" i="10"/>
  <c r="AB18" i="10"/>
  <c r="AB27" i="10"/>
  <c r="O6" i="10"/>
  <c r="N8" i="10"/>
  <c r="AB35" i="10"/>
  <c r="O8" i="10"/>
  <c r="AB14" i="10"/>
  <c r="AB33" i="10"/>
  <c r="N10" i="10"/>
  <c r="AB30" i="10"/>
  <c r="AB31" i="10"/>
  <c r="AB23" i="10"/>
  <c r="AB20" i="10"/>
  <c r="AB17" i="10"/>
  <c r="AB38" i="10"/>
  <c r="AB40" i="10"/>
  <c r="AB19" i="10"/>
  <c r="O7" i="10"/>
  <c r="AB43" i="10"/>
  <c r="AB32" i="10"/>
  <c r="AB41" i="10"/>
  <c r="AB25" i="10"/>
  <c r="AB29" i="10"/>
  <c r="AB44" i="10"/>
  <c r="N9" i="10"/>
  <c r="AB22" i="10"/>
  <c r="AB16" i="10"/>
  <c r="AB26" i="10"/>
  <c r="AB45" i="10"/>
  <c r="AB21" i="10"/>
  <c r="AB34" i="10"/>
  <c r="N11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F27" i="3" s="1"/>
  <c r="AD26" i="3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6" i="3" l="1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S14" i="4"/>
  <c r="AQ14" i="4"/>
  <c r="AU14" i="4"/>
  <c r="AO14" i="4"/>
  <c r="AM14" i="4"/>
  <c r="AK14" i="4"/>
  <c r="AG14" i="4"/>
  <c r="AI14" i="4"/>
  <c r="AC14" i="4" l="1"/>
  <c r="AE14" i="4" s="1"/>
  <c r="AA15" i="4"/>
  <c r="S4" i="3"/>
  <c r="AQ15" i="4"/>
  <c r="AG15" i="4"/>
  <c r="AB14" i="4"/>
  <c r="N12" i="4"/>
  <c r="AM15" i="4"/>
  <c r="AO15" i="4"/>
  <c r="AI15" i="4"/>
  <c r="AS15" i="4"/>
  <c r="AK15" i="4"/>
  <c r="AU15" i="4"/>
  <c r="N6" i="4"/>
  <c r="AC15" i="4" l="1"/>
  <c r="AA16" i="4"/>
  <c r="S5" i="3"/>
  <c r="AM16" i="4"/>
  <c r="AU16" i="4"/>
  <c r="AO16" i="4"/>
  <c r="AQ16" i="4"/>
  <c r="AI16" i="4"/>
  <c r="AB15" i="4"/>
  <c r="AS16" i="4"/>
  <c r="AK16" i="4"/>
  <c r="AG16" i="4"/>
  <c r="AC16" i="4" l="1"/>
  <c r="AE16" i="4" s="1"/>
  <c r="AE15" i="4"/>
  <c r="AA17" i="4"/>
  <c r="AA14" i="3"/>
  <c r="J11" i="3"/>
  <c r="J10" i="3"/>
  <c r="J9" i="3"/>
  <c r="J8" i="3"/>
  <c r="J7" i="3"/>
  <c r="J6" i="3"/>
  <c r="AB16" i="4"/>
  <c r="AO17" i="4"/>
  <c r="AG17" i="4"/>
  <c r="AU17" i="4"/>
  <c r="AQ17" i="4"/>
  <c r="AK17" i="4"/>
  <c r="AM17" i="4"/>
  <c r="AG14" i="3"/>
  <c r="AS17" i="4"/>
  <c r="AI14" i="3"/>
  <c r="AI17" i="4"/>
  <c r="AK14" i="3"/>
  <c r="AC17" i="4" l="1"/>
  <c r="AC14" i="3"/>
  <c r="AA18" i="4"/>
  <c r="AA15" i="3"/>
  <c r="S7" i="3"/>
  <c r="L14" i="3" s="1"/>
  <c r="S3" i="3"/>
  <c r="S2" i="3"/>
  <c r="AK18" i="4"/>
  <c r="AQ18" i="4"/>
  <c r="AO18" i="4"/>
  <c r="AG18" i="4"/>
  <c r="AI18" i="4"/>
  <c r="AM18" i="4"/>
  <c r="AK15" i="3"/>
  <c r="AB14" i="3"/>
  <c r="AU18" i="4"/>
  <c r="AG15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K16" i="3"/>
  <c r="N6" i="3"/>
  <c r="AG19" i="4"/>
  <c r="AG16" i="3"/>
  <c r="AI19" i="4"/>
  <c r="AI16" i="3"/>
  <c r="AB15" i="3"/>
  <c r="AU19" i="4"/>
  <c r="AK19" i="4"/>
  <c r="AS19" i="4"/>
  <c r="AB18" i="4"/>
  <c r="AO19" i="4"/>
  <c r="AM19" i="4"/>
  <c r="AQ19" i="4"/>
  <c r="AC19" i="4" l="1"/>
  <c r="AE19" i="4" s="1"/>
  <c r="AE18" i="4"/>
  <c r="AC16" i="3"/>
  <c r="AA17" i="3"/>
  <c r="AA20" i="4"/>
  <c r="AU20" i="4"/>
  <c r="AB19" i="4"/>
  <c r="AM20" i="4"/>
  <c r="AG17" i="3"/>
  <c r="AG20" i="4"/>
  <c r="AI17" i="3"/>
  <c r="AQ20" i="4"/>
  <c r="AS20" i="4"/>
  <c r="AK20" i="4"/>
  <c r="AO20" i="4"/>
  <c r="AK17" i="3"/>
  <c r="AB16" i="3"/>
  <c r="AI20" i="4"/>
  <c r="AC20" i="4" l="1"/>
  <c r="AC17" i="3"/>
  <c r="AE16" i="3"/>
  <c r="AA18" i="3"/>
  <c r="AA21" i="4"/>
  <c r="B8" i="2"/>
  <c r="B7" i="2"/>
  <c r="B6" i="2"/>
  <c r="AU21" i="4"/>
  <c r="AI21" i="4"/>
  <c r="AI18" i="3"/>
  <c r="AM21" i="4"/>
  <c r="AG18" i="3"/>
  <c r="AQ21" i="4"/>
  <c r="AO21" i="4"/>
  <c r="AK18" i="3"/>
  <c r="AB17" i="3"/>
  <c r="AG21" i="4"/>
  <c r="AK21" i="4"/>
  <c r="AB20" i="4"/>
  <c r="AS21" i="4"/>
  <c r="AC21" i="4" l="1"/>
  <c r="AE21" i="4" s="1"/>
  <c r="AE20" i="4"/>
  <c r="AA22" i="4"/>
  <c r="AC18" i="3"/>
  <c r="AA19" i="3"/>
  <c r="AE17" i="3"/>
  <c r="B2" i="2"/>
  <c r="B4" i="2"/>
  <c r="AG22" i="4"/>
  <c r="AB21" i="4"/>
  <c r="AB18" i="3"/>
  <c r="AI22" i="4"/>
  <c r="AU22" i="4"/>
  <c r="AK22" i="4"/>
  <c r="AO22" i="4"/>
  <c r="AM22" i="4"/>
  <c r="AG19" i="3"/>
  <c r="AK19" i="3"/>
  <c r="AS22" i="4"/>
  <c r="AQ22" i="4"/>
  <c r="AI19" i="3"/>
  <c r="AC22" i="4" l="1"/>
  <c r="AE22" i="4" s="1"/>
  <c r="AA23" i="4"/>
  <c r="AC19" i="3"/>
  <c r="AE18" i="3"/>
  <c r="AA20" i="3"/>
  <c r="C6" i="1"/>
  <c r="AI20" i="3"/>
  <c r="AB19" i="3"/>
  <c r="AI23" i="4"/>
  <c r="AS23" i="4"/>
  <c r="AK23" i="4"/>
  <c r="AG23" i="4"/>
  <c r="AB22" i="4"/>
  <c r="AU23" i="4"/>
  <c r="AM23" i="4"/>
  <c r="AG20" i="3"/>
  <c r="AO23" i="4"/>
  <c r="AK20" i="3"/>
  <c r="AQ23" i="4"/>
  <c r="AC23" i="4" l="1"/>
  <c r="AE23" i="4" s="1"/>
  <c r="AA24" i="4"/>
  <c r="AC20" i="3"/>
  <c r="AE20" i="3" s="1"/>
  <c r="AA21" i="3"/>
  <c r="AE19" i="3"/>
  <c r="AB20" i="3"/>
  <c r="AO24" i="4"/>
  <c r="AS24" i="4"/>
  <c r="AB23" i="4"/>
  <c r="AI21" i="3"/>
  <c r="AI24" i="4"/>
  <c r="AM24" i="4"/>
  <c r="AK24" i="4"/>
  <c r="AQ24" i="4"/>
  <c r="AK21" i="3"/>
  <c r="AG21" i="3"/>
  <c r="AG24" i="4"/>
  <c r="AU24" i="4"/>
  <c r="AC24" i="4" l="1"/>
  <c r="AA25" i="4"/>
  <c r="AC21" i="3"/>
  <c r="AA22" i="3"/>
  <c r="AS25" i="4"/>
  <c r="AK22" i="3"/>
  <c r="AB24" i="4"/>
  <c r="AK25" i="4"/>
  <c r="AU25" i="4"/>
  <c r="AB21" i="3"/>
  <c r="AI25" i="4"/>
  <c r="AG25" i="4"/>
  <c r="AG22" i="3"/>
  <c r="AM25" i="4"/>
  <c r="AI22" i="3"/>
  <c r="AQ25" i="4"/>
  <c r="AO25" i="4"/>
  <c r="AC25" i="4" l="1"/>
  <c r="AE24" i="4"/>
  <c r="AA26" i="4"/>
  <c r="AC22" i="3"/>
  <c r="AE22" i="3" s="1"/>
  <c r="AA23" i="3"/>
  <c r="AE21" i="3"/>
  <c r="AS26" i="4"/>
  <c r="AK23" i="3"/>
  <c r="AI23" i="3"/>
  <c r="AG26" i="4"/>
  <c r="AU26" i="4"/>
  <c r="AM26" i="4"/>
  <c r="AB22" i="3"/>
  <c r="AQ26" i="4"/>
  <c r="AI26" i="4"/>
  <c r="AB25" i="4"/>
  <c r="AK26" i="4"/>
  <c r="AO26" i="4"/>
  <c r="AG23" i="3"/>
  <c r="AC26" i="4" l="1"/>
  <c r="AE25" i="4"/>
  <c r="AA27" i="4"/>
  <c r="AC23" i="3"/>
  <c r="AA24" i="3"/>
  <c r="AG27" i="4"/>
  <c r="AI24" i="3"/>
  <c r="AM27" i="4"/>
  <c r="AB23" i="3"/>
  <c r="AO27" i="4"/>
  <c r="AQ27" i="4"/>
  <c r="AU27" i="4"/>
  <c r="AG24" i="3"/>
  <c r="AK24" i="3"/>
  <c r="AK27" i="4"/>
  <c r="AI27" i="4"/>
  <c r="AS27" i="4"/>
  <c r="AB26" i="4"/>
  <c r="AC27" i="4" l="1"/>
  <c r="AE26" i="4"/>
  <c r="AA28" i="4"/>
  <c r="AC24" i="3"/>
  <c r="AE23" i="3"/>
  <c r="AA25" i="3"/>
  <c r="AI25" i="3"/>
  <c r="AQ28" i="4"/>
  <c r="AB27" i="4"/>
  <c r="AK25" i="3"/>
  <c r="AO28" i="4"/>
  <c r="AG25" i="3"/>
  <c r="AS28" i="4"/>
  <c r="AG28" i="4"/>
  <c r="AI28" i="4"/>
  <c r="AM28" i="4"/>
  <c r="AK28" i="4"/>
  <c r="AB24" i="3"/>
  <c r="AU28" i="4"/>
  <c r="AC28" i="4" l="1"/>
  <c r="AA29" i="4"/>
  <c r="AE27" i="4"/>
  <c r="AC25" i="3"/>
  <c r="AA26" i="3"/>
  <c r="AE24" i="3"/>
  <c r="AG26" i="3"/>
  <c r="AB28" i="4"/>
  <c r="AI26" i="3"/>
  <c r="AS29" i="4"/>
  <c r="AU29" i="4"/>
  <c r="AO29" i="4"/>
  <c r="AK29" i="4"/>
  <c r="AI29" i="4"/>
  <c r="AK26" i="3"/>
  <c r="AM29" i="4"/>
  <c r="AB25" i="3"/>
  <c r="AQ29" i="4"/>
  <c r="AG29" i="4"/>
  <c r="AC29" i="4" l="1"/>
  <c r="AE28" i="4"/>
  <c r="AA30" i="4"/>
  <c r="AC26" i="3"/>
  <c r="AA27" i="3"/>
  <c r="AE25" i="3"/>
  <c r="AS30" i="4"/>
  <c r="AQ30" i="4"/>
  <c r="AO30" i="4"/>
  <c r="AI27" i="3"/>
  <c r="AM30" i="4"/>
  <c r="AU30" i="4"/>
  <c r="AK30" i="4"/>
  <c r="AI30" i="4"/>
  <c r="AB26" i="3"/>
  <c r="AB29" i="4"/>
  <c r="AG27" i="3"/>
  <c r="AK27" i="3"/>
  <c r="AG30" i="4"/>
  <c r="AC30" i="4" l="1"/>
  <c r="AA31" i="4"/>
  <c r="AE29" i="4"/>
  <c r="AC27" i="3"/>
  <c r="AA28" i="3"/>
  <c r="AE26" i="3"/>
  <c r="AK28" i="3"/>
  <c r="AI31" i="4"/>
  <c r="AB30" i="4"/>
  <c r="AG28" i="3"/>
  <c r="AM31" i="4"/>
  <c r="AU31" i="4"/>
  <c r="AS31" i="4"/>
  <c r="AB27" i="3"/>
  <c r="AI28" i="3"/>
  <c r="AQ31" i="4"/>
  <c r="AK31" i="4"/>
  <c r="AO31" i="4"/>
  <c r="AG31" i="4"/>
  <c r="AC31" i="4" l="1"/>
  <c r="AA32" i="4"/>
  <c r="AE30" i="4"/>
  <c r="AC28" i="3"/>
  <c r="AA29" i="3"/>
  <c r="AE27" i="3"/>
  <c r="AG29" i="3"/>
  <c r="AI29" i="3"/>
  <c r="AK32" i="4"/>
  <c r="AK29" i="3"/>
  <c r="AU32" i="4"/>
  <c r="AB31" i="4"/>
  <c r="AQ32" i="4"/>
  <c r="AO32" i="4"/>
  <c r="AM32" i="4"/>
  <c r="AS32" i="4"/>
  <c r="AI32" i="4"/>
  <c r="AB28" i="3"/>
  <c r="AG32" i="4"/>
  <c r="AC32" i="4" l="1"/>
  <c r="AE31" i="4"/>
  <c r="AA33" i="4"/>
  <c r="AC29" i="3"/>
  <c r="AA30" i="3"/>
  <c r="AE28" i="3"/>
  <c r="AB29" i="3"/>
  <c r="AK30" i="3"/>
  <c r="AS33" i="4"/>
  <c r="AB32" i="4"/>
  <c r="AM33" i="4"/>
  <c r="AO33" i="4"/>
  <c r="AI30" i="3"/>
  <c r="AQ33" i="4"/>
  <c r="AG30" i="3"/>
  <c r="AU33" i="4"/>
  <c r="AK33" i="4"/>
  <c r="AI33" i="4"/>
  <c r="AG33" i="4"/>
  <c r="AC33" i="4" l="1"/>
  <c r="AE32" i="4"/>
  <c r="AA34" i="4"/>
  <c r="AC30" i="3"/>
  <c r="AA31" i="3"/>
  <c r="AE29" i="3"/>
  <c r="AM34" i="4"/>
  <c r="AG34" i="4"/>
  <c r="AK31" i="3"/>
  <c r="AG31" i="3"/>
  <c r="AQ34" i="4"/>
  <c r="AB30" i="3"/>
  <c r="AS34" i="4"/>
  <c r="AK34" i="4"/>
  <c r="AI34" i="4"/>
  <c r="AU34" i="4"/>
  <c r="AO34" i="4"/>
  <c r="AB33" i="4"/>
  <c r="AI31" i="3"/>
  <c r="AC34" i="4" l="1"/>
  <c r="AE33" i="4"/>
  <c r="AA35" i="4"/>
  <c r="AC31" i="3"/>
  <c r="AA32" i="3"/>
  <c r="AE30" i="3"/>
  <c r="AI32" i="3"/>
  <c r="AS35" i="4"/>
  <c r="AO35" i="4"/>
  <c r="AG35" i="4"/>
  <c r="AM35" i="4"/>
  <c r="AQ35" i="4"/>
  <c r="AU35" i="4"/>
  <c r="AG32" i="3"/>
  <c r="AB34" i="4"/>
  <c r="AK32" i="3"/>
  <c r="AB31" i="3"/>
  <c r="AK35" i="4"/>
  <c r="AI35" i="4"/>
  <c r="AC35" i="4" l="1"/>
  <c r="AA36" i="4"/>
  <c r="AE34" i="4"/>
  <c r="AC32" i="3"/>
  <c r="AA33" i="3"/>
  <c r="AE31" i="3"/>
  <c r="N7" i="4"/>
  <c r="AU36" i="4"/>
  <c r="AB32" i="3"/>
  <c r="AG33" i="3"/>
  <c r="AI33" i="3"/>
  <c r="AM36" i="4"/>
  <c r="AG36" i="4"/>
  <c r="N10" i="4"/>
  <c r="O9" i="4"/>
  <c r="AK33" i="3"/>
  <c r="AS36" i="4"/>
  <c r="N8" i="4"/>
  <c r="AI36" i="4"/>
  <c r="O8" i="4"/>
  <c r="O10" i="4"/>
  <c r="AB35" i="4"/>
  <c r="AO36" i="4"/>
  <c r="AK36" i="4"/>
  <c r="AQ36" i="4"/>
  <c r="O7" i="4"/>
  <c r="AC36" i="4" l="1"/>
  <c r="N5" i="4"/>
  <c r="AE35" i="4"/>
  <c r="AC33" i="3"/>
  <c r="AA34" i="3"/>
  <c r="AE32" i="3"/>
  <c r="N9" i="4"/>
  <c r="AI34" i="3"/>
  <c r="AK34" i="3"/>
  <c r="AB33" i="3"/>
  <c r="AG34" i="3"/>
  <c r="O6" i="4"/>
  <c r="AB36" i="4"/>
  <c r="O5" i="4" l="1"/>
  <c r="AE36" i="4"/>
  <c r="AC34" i="3"/>
  <c r="AA35" i="3"/>
  <c r="AE33" i="3"/>
  <c r="AG35" i="3"/>
  <c r="AB34" i="3"/>
  <c r="AK35" i="3"/>
  <c r="AI35" i="3"/>
  <c r="AC35" i="3" l="1"/>
  <c r="AA36" i="3"/>
  <c r="AE34" i="3"/>
  <c r="AB35" i="3"/>
  <c r="AI36" i="3"/>
  <c r="AK36" i="3"/>
  <c r="AG36" i="3"/>
  <c r="AC36" i="3" l="1"/>
  <c r="AA37" i="3"/>
  <c r="AE35" i="3"/>
  <c r="AG37" i="3"/>
  <c r="AK37" i="3"/>
  <c r="AB36" i="3"/>
  <c r="AI37" i="3"/>
  <c r="AC37" i="3" l="1"/>
  <c r="AA38" i="3"/>
  <c r="AE36" i="3"/>
  <c r="AK38" i="3"/>
  <c r="AI38" i="3"/>
  <c r="AB37" i="3"/>
  <c r="AG38" i="3"/>
  <c r="AC38" i="3" l="1"/>
  <c r="AA39" i="3"/>
  <c r="AE37" i="3"/>
  <c r="AI39" i="3"/>
  <c r="AK39" i="3"/>
  <c r="AB38" i="3"/>
  <c r="AG39" i="3"/>
  <c r="AC39" i="3" l="1"/>
  <c r="AA40" i="3"/>
  <c r="AE38" i="3"/>
  <c r="AI40" i="3"/>
  <c r="AK40" i="3"/>
  <c r="AB39" i="3"/>
  <c r="AG40" i="3"/>
  <c r="AC40" i="3" l="1"/>
  <c r="AA41" i="3"/>
  <c r="AE39" i="3"/>
  <c r="AG41" i="3"/>
  <c r="AI41" i="3"/>
  <c r="AB40" i="3"/>
  <c r="AK41" i="3"/>
  <c r="AC41" i="3" l="1"/>
  <c r="AA42" i="3"/>
  <c r="AE40" i="3"/>
  <c r="AG42" i="3"/>
  <c r="AK42" i="3"/>
  <c r="AB41" i="3"/>
  <c r="AI42" i="3"/>
  <c r="AC42" i="3" l="1"/>
  <c r="AA43" i="3"/>
  <c r="AE41" i="3"/>
  <c r="AI43" i="3"/>
  <c r="O7" i="3"/>
  <c r="AK43" i="3"/>
  <c r="N8" i="3"/>
  <c r="O8" i="3"/>
  <c r="N10" i="3"/>
  <c r="AB42" i="3"/>
  <c r="N7" i="3"/>
  <c r="O9" i="3"/>
  <c r="AG43" i="3"/>
  <c r="O10" i="3"/>
  <c r="N5" i="3" l="1"/>
  <c r="V2" i="3" s="1"/>
  <c r="AC43" i="3"/>
  <c r="AE42" i="3"/>
  <c r="AB43" i="3"/>
  <c r="O6" i="3"/>
  <c r="N11" i="3"/>
  <c r="N9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<sst xmlns="http://schemas.openxmlformats.org/spreadsheetml/2006/main" count="538" uniqueCount="162">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</sst>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6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E7027D6-4BFF-44B7-A08D-8732CC484B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3450CD-036F-4CB3-AC7B-821B12BE5D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30A0E8-CE53-4AFF-AD0F-51D19554BC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551C12-93A3-40C9-AD87-CBCD5F13DC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551F73-F6CF-487A-A258-E566E1AF7F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AE0DF2-8F44-4AB2-AB5C-5EC3B2EFCE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936E2C-21B4-4C14-A9A4-0825B434D2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E2B126-1C4D-4323-86BD-64EA16DBD6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947B1F-4351-4D79-A772-6DCB8FDC11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74E232-5330-426D-B800-AAAFBB9646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98EC4F-AEF0-46D9-AC6D-815598B222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27BE7A-83B7-4311-9C3E-553DC15AAD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F18142-7724-458D-9AAD-5DC704C317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AEAFB5-5BE7-47CB-9C2F-C553A8C4D5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06DA37-466F-4ED0-BB65-0ECD3A900B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7969B7-974D-404F-ACED-1980E8A30D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DBB7018-6754-49BE-8570-D2211E66D2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97F0FE-5C44-4CAB-AA76-4BD5FFA82D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C982F0-3F8F-402F-998E-D67334BE54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B246D3-BB1C-48AC-9D8B-F492689EB0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ACDFC3-7D6D-4DA3-B440-FE77026D30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887352-106B-4CC5-B902-7C288E3AE9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A98D2D0-45B4-4520-AF11-4AF9252EB9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200B03-0F85-4C24-9B10-0B056C40D3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9528759-38C8-4C77-A2D5-247B65E45F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D57CCF-6747-4310-AD8B-EB9E88477E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B9DA43B-FA33-4147-8F15-4D9F5DBE9D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3E3D5E-0C25-4273-83CE-C41A24ED05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3EC86E-EF76-4ED8-A857-D03CBEABED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BC9194B-22E3-4EE8-91AA-142ED16ECE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17377D6-5272-45AC-8D06-4F3DAD42E4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E06789-ECC8-4B65-B830-F61448B7FA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8F01B3-DD7E-4C51-BD40-59CE34C513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34E4D8-F45F-4E71-BFB7-C285DC17D4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2C2D1C-8656-4598-A0F6-7E24FF8D3A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BD932D-0232-47A2-A146-0837E85B2F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B4573F-CD2A-439C-B97C-9BC3D40594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E0C2A2-2822-4A05-A588-762E5493E6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A1F436-7137-4C52-A38B-C223819CA0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C67035-C00F-4E29-B236-B72193B564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1E6668-95E2-49BE-AC03-F69100DB09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649DCD-891D-48D5-8365-1330FCC770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C8C5EF-2722-441E-8655-56EDE67521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231BBB4-0CC5-42B2-A34B-69063226E6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5D3BA3-75FD-4647-82EA-8DA259E9F7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4846A7-F77A-4587-B3F0-60C89EEEA9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06CFE5-C28D-4AE2-ABF9-41D9996AE5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EACF5A-0005-48BF-9B18-A31C5A7AF5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A7F002-20F7-4462-8137-0F8925A66D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A980E2-8CE6-41B1-AD68-86B3E52F9E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659993-2F72-4567-BE2F-7F290F1728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C10FF4-A51F-4870-BB18-872AD14C0D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DE97BE-B734-40D8-933F-9F38AD338B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95FF391-AC9B-4C4E-8C15-95D736F197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FEFB27-0FB6-43F8-9334-BE64A03383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7A6EB5-4337-42B4-9BB5-42D5C4CBB1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A3D6CD-360E-4DCF-8309-3D5F3E2FF8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AF1EB6-C2F5-4E00-B2C1-6545D3D47F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4CA067-5E24-4E5F-BB82-1C75425614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15896F-9319-4423-A1B1-D1C5DC3B93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FFD885-83D1-433B-B0A9-E4605F3224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CF0009-BC3B-4F91-813F-7228D792FE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5BBD79-5F82-4A35-8BF6-C6A4920A35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4E9CBF-BF2A-4476-B582-CADF994552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651A2A-30E1-4459-8EDF-4F730FBEF3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BE11FB-700D-4749-AAD5-6E5EEDC371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62F763-481C-4431-AA46-BA1CA1DEA6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F3D3F8-A7A3-4204-B271-ACAE8A5E16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616957-D6EE-4181-A918-AED70871C4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AD621A-2634-4A62-9299-B8A434BFFA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531FE3-D931-4CD6-BC7B-0549611696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6CAB1B-BCBF-479D-9D46-0374338591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7A3C25-89F8-417F-8E5B-B59F042DC7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4019149-87AC-4FA6-A02A-2B81848978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313081-860E-4452-BEF3-F4CD384271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75338E-04CF-457A-BE01-42DE0F3D3F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7BAFB0-8543-431B-853A-A246DCA250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11F546-DE34-4C81-84A0-EB72887932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53A4D7-F0E8-425A-91D5-C32F65F30E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7AAA91-59F5-4BE1-BCA0-98590B7E7C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B40FAB-80D2-4CA8-ADE0-0AD0E9660C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C1BACA-0ACE-431A-A839-6D2EB4B0C7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3F52096-4A10-41D9-80FD-0E103F6240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0624BFA-6F96-4B8A-BCF6-FD2D0AC654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DA9322-33ED-4389-A403-5F73EA8AF6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46879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25736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9" dataDxfId="118">
  <autoFilter ref="R13:X16" xr:uid="{FF2C9E8B-1A62-479C-AF68-79B236C0B7BB}"/>
  <tableColumns count="7">
    <tableColumn id="1" xr3:uid="{727C6146-39EA-4E15-8783-53CAA87FAF36}" name="Zone ID" dataDxfId="117"/>
    <tableColumn id="2" xr3:uid="{2CA65110-6DD7-46D8-BFC2-5EB0C0E57567}" name="Description" dataDxfId="116"/>
    <tableColumn id="3" xr3:uid="{12D64F80-6A69-494F-BF8F-E326D34A185A}" name="Short Description" dataDxfId="115"/>
    <tableColumn id="4" xr3:uid="{71F3F5B2-8F6B-4985-B1FC-5A9D60095474}" name="Start Date" dataDxfId="114"/>
    <tableColumn id="5" xr3:uid="{57258378-8FED-4727-89AC-D938CB414B7B}" name="Finish Date" dataDxfId="11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1">
      <calculatedColumnFormula>IF(AA13 = "Date", $S$4, AA13+7)</calculatedColumnFormula>
    </tableColumn>
    <tableColumn id="6" xr3:uid="{5740AC03-CF53-4345-8667-6AC0CA6843D0}" name="Primary Areas" dataDxfId="110">
      <calculatedColumnFormula>PrimaryAreas(3)</calculatedColumnFormula>
    </tableColumn>
    <tableColumn id="2" xr3:uid="{AF232D3D-EC3F-4232-BA5D-1427173C2D6A}" name="Weekly Plan" dataDxfId="109">
      <calculatedColumnFormula xml:space="preserve"> IF(#REF!="", 0,#REF!)+ IF(#REF!="", 0,#REF!)+ IF(#REF!="", 0,#REF!)</calculatedColumnFormula>
    </tableColumn>
    <tableColumn id="3" xr3:uid="{B28103F6-7596-4848-9F0D-3E4A9E5CBEFE}" name="Weekly Actual" dataDxfId="108">
      <calculatedColumnFormula>IF(AND(ISBLANK(#REF!),ISBLANK(#REF!),ISBLANK(#REF!)),"",#REF! +#REF!+#REF!)</calculatedColumnFormula>
    </tableColumn>
    <tableColumn id="4" xr3:uid="{EF1C6009-71E6-491B-B64F-04049D2D9103}" name="Accumulated Plan" dataDxfId="107">
      <calculatedColumnFormula>SUM($AC$14:AC14)</calculatedColumnFormula>
    </tableColumn>
    <tableColumn id="5" xr3:uid="{442DAB73-1233-4C61-8DE9-3B44CE2C5D69}" name="Accumulated Actual" dataDxfId="106">
      <calculatedColumnFormula>IF(AD14="",NA(),SUM($AD$14:AD14))</calculatedColumnFormula>
    </tableColumn>
    <tableColumn id="43" xr3:uid="{CE31DBAF-57B0-4D4D-852A-B07516A73A41}" name="WP_A1" dataDxfId="105">
      <calculatedColumnFormula>WeeklyPlanned(Output_Template[[#Headers],[WP_A1]], Output_Template[[#This Row],[Date]])</calculatedColumnFormula>
    </tableColumn>
    <tableColumn id="44" xr3:uid="{A0857F89-2BC6-42D6-B02F-90D9272451CA}" name="WA_A1" dataDxfId="104"/>
    <tableColumn id="45" xr3:uid="{2A74D439-B21B-40DD-BB55-7D2C2B18629E}" name="WP_A2" dataDxfId="103">
      <calculatedColumnFormula>WeeklyPlanned(Output_Template[[#Headers],[WP_A2]], Output_Template[[#This Row],[Date]])</calculatedColumnFormula>
    </tableColumn>
    <tableColumn id="46" xr3:uid="{670DB326-434A-466C-9E3C-6A8FE180F21F}" name="WA_A2" dataDxfId="102"/>
    <tableColumn id="47" xr3:uid="{B6798EC6-DE2D-49BB-961E-220FED1F6F10}" name="WP_A3" dataDxfId="101">
      <calculatedColumnFormula>WeeklyPlanned(Output_Template[[#Headers],[WP_A3]], Output_Template[[#This Row],[Date]])</calculatedColumnFormula>
    </tableColumn>
    <tableColumn id="48" xr3:uid="{B2CB6DA2-6E53-4BAC-881B-229E451DFCE0}" name="WA_A3" dataDxfId="10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9">
  <autoFilter ref="H2:H5" xr:uid="{1041DC80-58D6-4308-9DE1-A4EC8AAD3C20}"/>
  <tableColumns count="1">
    <tableColumn id="1" xr3:uid="{0E6D3E77-7CB7-40A1-BCA6-DDC8164AAEB9}" name="Holidays" dataDxfId="9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70" dataDxfId="69">
  <autoFilter ref="R13:X21" xr:uid="{FF2C9E8B-1A62-479C-AF68-79B236C0B7BB}"/>
  <tableColumns count="7">
    <tableColumn id="1" xr3:uid="{5AA37268-DD16-498C-9169-AE2EA9DA526A}" name="Zone ID" dataDxfId="68"/>
    <tableColumn id="2" xr3:uid="{0E3A0621-3CBD-40FC-B7C1-86ED2397BCEE}" name="Description" dataDxfId="67"/>
    <tableColumn id="3" xr3:uid="{5A73CD5C-5126-40F4-B5B3-C7A438ED4F4F}" name="Short Description" dataDxfId="66"/>
    <tableColumn id="4" xr3:uid="{CDB025F5-BA1E-4D3D-9F16-1E7E8B24997A}" name="Start Date" dataDxfId="65"/>
    <tableColumn id="5" xr3:uid="{A32C4534-D094-4392-BDFF-D9E6184B332E}" name="Finish Date" dataDxfId="64"/>
    <tableColumn id="6" xr3:uid="{4EBF5FA0-D78E-4850-9053-2FD3D4DF8DDF}" name="Total" dataDxfId="63" dataCellStyle="Linked Cell"/>
    <tableColumn id="7" xr3:uid="{2024E4D3-6ED3-428B-AA0E-731077A47B05}" name="Completed Total" dataDxfId="62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61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60">
      <calculatedColumnFormula>IF(AA13 = "Date", $S$4, AA13+7)</calculatedColumnFormula>
    </tableColumn>
    <tableColumn id="6" xr3:uid="{001A0E6C-64CB-4894-8C22-5853E33F6BB2}" name="Primary Areas" dataDxfId="59">
      <calculatedColumnFormula>PrimaryAreas(8)</calculatedColumnFormula>
    </tableColumn>
    <tableColumn id="2" xr3:uid="{1360E334-97F5-432E-BB23-793619A14458}" name="Weekly Plan" dataDxfId="58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57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56">
      <calculatedColumnFormula>SUM($AC$14:AC14)</calculatedColumnFormula>
    </tableColumn>
    <tableColumn id="5" xr3:uid="{1924FD4A-42CB-49CF-B4A5-079079B5D0F3}" name="Accumulated Actual" dataDxfId="55">
      <calculatedColumnFormula>IF(AD14="",NA(),SUM($AD$14:AD14))</calculatedColumnFormula>
    </tableColumn>
    <tableColumn id="23" xr3:uid="{9D909FAC-40FF-4109-8EAE-74DFABFF8319}" name="WP_ABC" dataDxfId="54">
      <calculatedColumnFormula>WeeklyPlanned(Output_0000[[#Headers],[WP_ABC]], Output_0000[[#This Row],[Date]])</calculatedColumnFormula>
    </tableColumn>
    <tableColumn id="24" xr3:uid="{92ADE5B7-CAEC-41A0-B928-8F7F4344FE26}" name="WA_ABC" dataDxfId="53"/>
    <tableColumn id="25" xr3:uid="{F7FD9E19-6CFF-44A1-AF87-237747B65D1E}" name="WP_ACS" dataDxfId="52">
      <calculatedColumnFormula>WeeklyPlanned(Output_0000[[#Headers],[WP_ACS]], Output_0000[[#This Row],[Date]])</calculatedColumnFormula>
    </tableColumn>
    <tableColumn id="26" xr3:uid="{1FD6096E-155A-48FA-BF57-ABEB209A76A8}" name="WA_ACS" dataDxfId="51"/>
    <tableColumn id="27" xr3:uid="{C32CB5E4-987A-4E05-BFD2-AD1BA55323A7}" name="WP_AL1" dataDxfId="50">
      <calculatedColumnFormula>WeeklyPlanned(Output_0000[[#Headers],[WP_AL1]], Output_0000[[#This Row],[Date]])</calculatedColumnFormula>
    </tableColumn>
    <tableColumn id="28" xr3:uid="{741EC55D-ACF8-45FE-B760-246C2984AB76}" name="WA_AL1" dataDxfId="49"/>
    <tableColumn id="29" xr3:uid="{02D5C536-D7AB-4845-AF46-BA557A0711BE}" name="WP_HBase" dataDxfId="48">
      <calculatedColumnFormula>WeeklyPlanned(Output_0000[[#Headers],[WP_HBase]], Output_0000[[#This Row],[Date]])</calculatedColumnFormula>
    </tableColumn>
    <tableColumn id="30" xr3:uid="{6CFFBF9B-4C23-4C48-B9B4-2C3A9A72CE8C}" name="WA_HBase" dataDxfId="47"/>
    <tableColumn id="31" xr3:uid="{27A2EB7B-E3EA-47B1-A3F2-FFBF58F06F0D}" name="WP_HWST" dataDxfId="46">
      <calculatedColumnFormula>WeeklyPlanned(Output_0000[[#Headers],[WP_HWST]], Output_0000[[#This Row],[Date]])</calculatedColumnFormula>
    </tableColumn>
    <tableColumn id="32" xr3:uid="{1F1D10B3-084B-4075-8E04-CBCE81737E69}" name="WA_HWST" dataDxfId="45"/>
    <tableColumn id="33" xr3:uid="{127722D0-80A4-4F75-9175-6D2C54EBC191}" name="WP_HWSR" dataDxfId="44">
      <calculatedColumnFormula>WeeklyPlanned(Output_0000[[#Headers],[WP_HWSR]], Output_0000[[#This Row],[Date]])</calculatedColumnFormula>
    </tableColumn>
    <tableColumn id="34" xr3:uid="{ED1A96FC-35C0-4018-81E1-B3B51101AB44}" name="WA_HWSR" dataDxfId="43"/>
    <tableColumn id="35" xr3:uid="{584725E1-3456-4D62-8919-994293AB89D3}" name="WP_HL2" dataDxfId="42">
      <calculatedColumnFormula>WeeklyPlanned(Output_0000[[#Headers],[WP_HL2]], Output_0000[[#This Row],[Date]])</calculatedColumnFormula>
    </tableColumn>
    <tableColumn id="36" xr3:uid="{0D58AE03-CEC6-4352-9275-206C438024A6}" name="WA_HL2" dataDxfId="41"/>
    <tableColumn id="37" xr3:uid="{76718DA7-C2F0-424A-9855-A1F7A4401A40}" name="WP_HBCeil" dataDxfId="40">
      <calculatedColumnFormula>WeeklyPlanned(Output_0000[[#Headers],[WP_HBCeil]], Output_0000[[#This Row],[Date]])</calculatedColumnFormula>
    </tableColumn>
    <tableColumn id="38" xr3:uid="{DF9E8E0F-9F93-4E51-85D2-94DDAA517F51}" name="WA_HBCeil" dataDxfId="39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31" dataDxfId="30">
  <autoFilter ref="R13:X21" xr:uid="{FF2C9E8B-1A62-479C-AF68-79B236C0B7BB}"/>
  <tableColumns count="7">
    <tableColumn id="1" xr3:uid="{9FED2BA1-A1A7-4513-A20F-F09DB113155D}" name="Zone ID" dataDxfId="29"/>
    <tableColumn id="2" xr3:uid="{8B67A205-5329-400B-84DC-CB06A032CF16}" name="Description" dataDxfId="28"/>
    <tableColumn id="3" xr3:uid="{2253D560-C30C-43DE-ABAB-BFAFD145DF40}" name="Short Description" dataDxfId="27"/>
    <tableColumn id="4" xr3:uid="{09E57ADB-1BEB-4CFB-B160-A9C7ADA56DE0}" name="Start Date" dataDxfId="26"/>
    <tableColumn id="5" xr3:uid="{B704EAFC-B4AE-45F3-A5AC-5189060C6D42}" name="Finish Date" dataDxfId="25"/>
    <tableColumn id="6" xr3:uid="{FAFABCDE-D7F7-45A9-83E7-80ADC6F01B0B}" name="Total" dataDxfId="24" dataCellStyle="Normal"/>
    <tableColumn id="7" xr3:uid="{F8D69A8D-7550-4939-9D63-599172BCFFFD}" name="Completed Total" dataDxfId="23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22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21">
      <calculatedColumnFormula>IF(AA13 = "Date", $S$4, AA13+7)</calculatedColumnFormula>
    </tableColumn>
    <tableColumn id="6" xr3:uid="{DE271CBB-C0FC-482D-929A-C21AEFAC32E4}" name="Primary Areas" dataDxfId="20">
      <calculatedColumnFormula>PrimaryAreas(8)</calculatedColumnFormula>
    </tableColumn>
    <tableColumn id="2" xr3:uid="{71EE47CC-75E0-49E1-B527-E1364059B0A6}" name="Weekly Plan" dataDxfId="19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18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17">
      <calculatedColumnFormula>SUM($AC$14:AC14)</calculatedColumnFormula>
    </tableColumn>
    <tableColumn id="5" xr3:uid="{CB7FAB5B-BEAB-4D4A-BD18-57DE0B5DE266}" name="Accumulated Actual" dataDxfId="16">
      <calculatedColumnFormula>IF(AD14="",NA(),SUM($AD$14:AD14))</calculatedColumnFormula>
    </tableColumn>
    <tableColumn id="7" xr3:uid="{2A1CBA5C-29D6-4EB1-8BAA-AF2C064B4A02}" name="WP_ABC" dataDxfId="15">
      <calculatedColumnFormula>WeeklyPlanned(Output_0501[[#Headers],[WP_ABC]], Output_0501[[#This Row],[Date]])</calculatedColumnFormula>
    </tableColumn>
    <tableColumn id="8" xr3:uid="{04DC9374-2B37-4BF5-AA39-F11FC0149281}" name="WA_ABC" dataDxfId="14"/>
    <tableColumn id="9" xr3:uid="{4F88CC2C-A480-4C5B-BA01-24B210AB447A}" name="WP_ACS" dataDxfId="13">
      <calculatedColumnFormula>WeeklyPlanned(Output_0501[[#Headers],[WP_ACS]], Output_0501[[#This Row],[Date]])</calculatedColumnFormula>
    </tableColumn>
    <tableColumn id="10" xr3:uid="{48C24C77-4D2B-435F-BBC2-FAD4AD540AB6}" name="WA_ACS" dataDxfId="12"/>
    <tableColumn id="11" xr3:uid="{75D5C587-305D-4077-9FAA-C79F65923E57}" name="WP_AL1" dataDxfId="11">
      <calculatedColumnFormula>WeeklyPlanned(Output_0501[[#Headers],[WP_AL1]], Output_0501[[#This Row],[Date]])</calculatedColumnFormula>
    </tableColumn>
    <tableColumn id="12" xr3:uid="{8077796C-E6FC-4EE3-89F7-798709387F7F}" name="WA_AL1" dataDxfId="10"/>
    <tableColumn id="13" xr3:uid="{792F3323-B0E8-4776-9689-FD45E57B619D}" name="WP_HBase" dataDxfId="9">
      <calculatedColumnFormula>WeeklyPlanned(Output_0501[[#Headers],[WP_HBase]], Output_0501[[#This Row],[Date]])</calculatedColumnFormula>
    </tableColumn>
    <tableColumn id="14" xr3:uid="{9E7E74B1-B432-4576-8F57-2DCED559C004}" name="WA_HBase" dataDxfId="8"/>
    <tableColumn id="15" xr3:uid="{6C8A9406-B3E7-4378-8961-19DE99A823B8}" name="WP_HWST" dataDxfId="7">
      <calculatedColumnFormula>WeeklyPlanned(Output_0501[[#Headers],[WP_HWST]], Output_0501[[#This Row],[Date]])</calculatedColumnFormula>
    </tableColumn>
    <tableColumn id="16" xr3:uid="{85632008-1A06-41BF-96BF-DF4F2942C8E3}" name="WA_HWST" dataDxfId="6"/>
    <tableColumn id="17" xr3:uid="{4ED0746A-56E1-4B9A-8D82-621AD6A805EE}" name="WP_HWSR" dataDxfId="5">
      <calculatedColumnFormula>WeeklyPlanned(Output_0501[[#Headers],[WP_HWSR]], Output_0501[[#This Row],[Date]])</calculatedColumnFormula>
    </tableColumn>
    <tableColumn id="18" xr3:uid="{616A2447-10D3-4C5E-BE98-C8594A351722}" name="WA_HWSR" dataDxfId="4"/>
    <tableColumn id="19" xr3:uid="{13711C20-54F0-41FE-93CC-92DB5745C53C}" name="WP_HL2" dataDxfId="3">
      <calculatedColumnFormula>WeeklyPlanned(Output_0501[[#Headers],[WP_HL2]], Output_0501[[#This Row],[Date]])</calculatedColumnFormula>
    </tableColumn>
    <tableColumn id="20" xr3:uid="{AE155A80-4969-4902-8DAF-8DC808584420}" name="WA_HL2" dataDxfId="2"/>
    <tableColumn id="21" xr3:uid="{186F9C43-2DF5-47B7-A779-6A42D4C3454E}" name="WP_HBCeil" dataDxfId="1">
      <calculatedColumnFormula>WeeklyPlanned(Output_0501[[#Headers],[WP_HBCeil]], Output_0501[[#This Row],[Date]])</calculatedColumnFormula>
    </tableColumn>
    <tableColumn id="22" xr3:uid="{7F8ADB3E-C083-4C51-8B5A-9EACC6ABF4A0}" name="WA_HBCei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opLeftCell="C1" zoomScale="85" zoomScaleNormal="85" workbookViewId="0">
      <selection activeCell="X26" sqref="X2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70">
        <f ca="1">1-N5</f>
        <v>0.47272727272727277</v>
      </c>
      <c r="AA2" s="53"/>
      <c r="AB2" s="54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70">
        <f ca="1">1-O5</f>
        <v>0.64444444444444438</v>
      </c>
      <c r="AA3" s="53"/>
      <c r="AB3" s="54"/>
      <c r="AC3" s="64">
        <v>43993.726458333331</v>
      </c>
      <c r="AE3" s="38"/>
      <c r="AF3" s="64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3"/>
      <c r="AB4" s="54"/>
      <c r="AC4" s="64">
        <v>43993.726909722223</v>
      </c>
      <c r="AE4" s="38"/>
      <c r="AF4" s="64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3"/>
      <c r="AB5" s="54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3"/>
      <c r="AB6" s="54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7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157</v>
      </c>
      <c r="V10" s="85"/>
      <c r="W10" s="85"/>
      <c r="X10" s="85"/>
      <c r="AB10" s="66"/>
      <c r="AC10" s="65"/>
      <c r="AD10" s="63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5"/>
      <c r="V11" s="85"/>
      <c r="W11" s="85"/>
      <c r="X11" s="85"/>
      <c r="AC11" s="63"/>
      <c r="AD11" s="63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0" t="s">
        <v>46</v>
      </c>
      <c r="K13" s="80"/>
      <c r="L13" s="80"/>
      <c r="M13" s="80"/>
      <c r="N13" s="81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81</v>
      </c>
      <c r="AH13" s="57" t="s">
        <v>83</v>
      </c>
      <c r="AI13" s="57" t="s">
        <v>82</v>
      </c>
      <c r="AJ13" s="57" t="s">
        <v>84</v>
      </c>
      <c r="AK13" s="57" t="s">
        <v>85</v>
      </c>
      <c r="AL13" s="57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126" priority="10">
      <formula>ISERROR(AF14)</formula>
    </cfRule>
  </conditionalFormatting>
  <conditionalFormatting sqref="W13:X13">
    <cfRule type="expression" dxfId="125" priority="8">
      <formula>IF(OR($S$8 = "Assemble Addin", $S$8 = "Bluebeam QL"), TRUE, FALSE)</formula>
    </cfRule>
  </conditionalFormatting>
  <conditionalFormatting sqref="N6:O6">
    <cfRule type="expression" dxfId="124" priority="7">
      <formula>IF($N$6=$O$6, FALSE, TRUE)</formula>
    </cfRule>
  </conditionalFormatting>
  <conditionalFormatting sqref="W14:X16">
    <cfRule type="expression" dxfId="123" priority="5">
      <formula>IF(OR($S$8 = "Assemble Addin", $S$8 = "Bluebeam QL"), TRUE, FALSE)</formula>
    </cfRule>
    <cfRule type="expression" dxfId="122" priority="6">
      <formula>IF(OR($S$8 = "Assemble Addin", $S$8 = "Bluebeam QL"), MOD(ROW(), 2)=0, FALSE)</formula>
    </cfRule>
  </conditionalFormatting>
  <conditionalFormatting sqref="R13">
    <cfRule type="expression" dxfId="121" priority="2">
      <formula>IF($S$8 = "Assemble Addin", TRUE, FALSE)</formula>
    </cfRule>
  </conditionalFormatting>
  <conditionalFormatting sqref="R14:R16">
    <cfRule type="expression" dxfId="120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9" t="str">
        <f>UPPER("Structural Steel 07/01/2020")</f>
        <v>STRUCTURAL STEEL 07/01/2020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x14ac:dyDescent="0.3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4" spans="1:14" x14ac:dyDescent="0.35">
      <c r="A34" s="100" t="s">
        <v>116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tabSelected="1" workbookViewId="0">
      <selection activeCell="C4" sqref="C4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2" t="s">
        <v>5</v>
      </c>
      <c r="F1" s="102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3" t="s">
        <v>6</v>
      </c>
      <c r="C2" s="103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s="4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zoomScale="115" zoomScaleNormal="115" workbookViewId="0">
      <selection activeCell="G41" sqref="G41"/>
    </sheetView>
  </sheetViews>
  <sheetFormatPr defaultRowHeight="14" x14ac:dyDescent="0.3"/>
  <cols>
    <col min="1" max="1" width="2.1796875" style="71" customWidth="1"/>
    <col min="2" max="2" width="45.1796875" style="71" customWidth="1"/>
    <col min="3" max="3" width="27.453125" style="71" customWidth="1"/>
    <col min="4" max="5" width="10.81640625" style="10" customWidth="1"/>
    <col min="6" max="6" width="2.26953125" style="71" customWidth="1"/>
    <col min="7" max="7" width="21.54296875" style="65" bestFit="1" customWidth="1"/>
    <col min="8" max="8" width="15.1796875" style="71" customWidth="1"/>
    <col min="9" max="9" width="19.08984375" style="71" bestFit="1" customWidth="1"/>
    <col min="10" max="11" width="14.1796875" style="71" customWidth="1"/>
    <col min="12" max="16384" width="8.7265625" style="71"/>
  </cols>
  <sheetData>
    <row r="2" spans="2:12" ht="28" customHeight="1" x14ac:dyDescent="0.3">
      <c r="B2" s="105" t="str">
        <f>"PROGRESS REPORT "&amp; TEXT(Report_Date, "mm/dd/yyy")</f>
        <v>PROGRESS REPORT 07/01/2020</v>
      </c>
      <c r="C2" s="105"/>
      <c r="D2" s="105"/>
      <c r="E2" s="105"/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71" t="str">
        <f>"Project Manager(s): " &amp; Project_Manager</f>
        <v>Project Manager(s): Ryan Thomas</v>
      </c>
      <c r="G6" s="77" t="s">
        <v>16</v>
      </c>
      <c r="H6" s="72">
        <v>44013</v>
      </c>
    </row>
    <row r="7" spans="2:12" x14ac:dyDescent="0.3">
      <c r="B7" s="71" t="str">
        <f>"Project Engineer(s): " &amp; Project_Engineer</f>
        <v>Project Engineer(s): Camron Walker (North Add &amp; Site) &amp; David Adams (Historic)</v>
      </c>
      <c r="G7" s="77" t="s">
        <v>31</v>
      </c>
      <c r="H7" s="73" t="s">
        <v>18</v>
      </c>
    </row>
    <row r="8" spans="2:12" x14ac:dyDescent="0.3">
      <c r="B8" s="71" t="str">
        <f>"Superintendent(s):  " &amp; Superintendent</f>
        <v>Superintendent(s):  Jay W. (North Add), Dion G. (Historic), Jason F. (MEP) &amp; Zac G. (Site)</v>
      </c>
      <c r="G8" s="77" t="s">
        <v>32</v>
      </c>
      <c r="H8" s="74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104" t="s">
        <v>26</v>
      </c>
      <c r="C11" s="104"/>
      <c r="D11" s="104"/>
      <c r="E11" s="104"/>
      <c r="F11" s="16"/>
      <c r="G11" s="16"/>
      <c r="H11" s="16"/>
      <c r="I11" s="16"/>
      <c r="J11" s="16"/>
      <c r="K11" s="16"/>
      <c r="L11" s="71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104" t="s">
        <v>27</v>
      </c>
      <c r="C13" s="104"/>
      <c r="D13" s="104"/>
      <c r="E13" s="104"/>
      <c r="F13" s="16"/>
      <c r="G13" s="16"/>
      <c r="H13" s="16"/>
      <c r="I13" s="16"/>
      <c r="J13" s="16"/>
      <c r="K13" s="16"/>
      <c r="L13" s="71" t="s">
        <v>136</v>
      </c>
    </row>
    <row r="14" spans="2:12" hidden="1" x14ac:dyDescent="0.3">
      <c r="B14" s="9"/>
      <c r="G14" s="75"/>
      <c r="H14" s="37"/>
    </row>
    <row r="15" spans="2:12" ht="15" x14ac:dyDescent="0.3">
      <c r="B15" s="104" t="s">
        <v>28</v>
      </c>
      <c r="C15" s="104"/>
      <c r="D15" s="104"/>
      <c r="E15" s="104"/>
      <c r="F15" s="16"/>
      <c r="G15" s="16"/>
      <c r="H15" s="16"/>
      <c r="I15" s="16"/>
      <c r="J15" s="16"/>
      <c r="K15" s="16"/>
      <c r="L15" s="71" t="s">
        <v>136</v>
      </c>
    </row>
    <row r="16" spans="2:12" x14ac:dyDescent="0.3">
      <c r="B16" s="9" t="s">
        <v>151</v>
      </c>
      <c r="C16" s="71" t="s">
        <v>149</v>
      </c>
      <c r="D16" s="10">
        <f ca="1">'0501'!N5</f>
        <v>0</v>
      </c>
      <c r="E16" s="10">
        <f ca="1">'0501'!O5</f>
        <v>0.10714285714285712</v>
      </c>
      <c r="G16" s="75"/>
      <c r="H16" s="37" t="s">
        <v>150</v>
      </c>
      <c r="I16" s="76" t="str">
        <f ca="1">IF(Report_Date = INDIRECT(H16 &amp; "!S9"), "Ready", "Not Ready")</f>
        <v>Ready</v>
      </c>
      <c r="J16" s="71" t="s">
        <v>160</v>
      </c>
      <c r="K16" s="71" t="s">
        <v>161</v>
      </c>
    </row>
    <row r="17" spans="2:12" x14ac:dyDescent="0.3">
      <c r="B17" s="9"/>
      <c r="G17" s="75"/>
      <c r="H17" s="37"/>
    </row>
    <row r="18" spans="2:12" ht="15" hidden="1" x14ac:dyDescent="0.3">
      <c r="B18" s="104" t="s">
        <v>29</v>
      </c>
      <c r="C18" s="104"/>
      <c r="D18" s="104"/>
      <c r="E18" s="104"/>
      <c r="F18" s="16"/>
      <c r="G18" s="16"/>
      <c r="H18" s="16"/>
      <c r="I18" s="16"/>
      <c r="J18" s="16"/>
      <c r="K18" s="16"/>
      <c r="L18" s="71" t="s">
        <v>136</v>
      </c>
    </row>
    <row r="19" spans="2:12" hidden="1" x14ac:dyDescent="0.3">
      <c r="B19" s="9"/>
      <c r="G19" s="75"/>
      <c r="H19" s="37"/>
    </row>
    <row r="20" spans="2:12" ht="15" hidden="1" x14ac:dyDescent="0.3">
      <c r="B20" s="104" t="s">
        <v>30</v>
      </c>
      <c r="C20" s="104"/>
      <c r="D20" s="104"/>
      <c r="E20" s="104"/>
      <c r="F20" s="16"/>
      <c r="G20" s="16"/>
      <c r="H20" s="16"/>
      <c r="I20" s="16"/>
      <c r="J20" s="16"/>
      <c r="K20" s="16"/>
      <c r="L20" s="71" t="s">
        <v>136</v>
      </c>
    </row>
    <row r="21" spans="2:12" hidden="1" x14ac:dyDescent="0.3">
      <c r="B21" s="9"/>
      <c r="G21" s="75"/>
      <c r="H21" s="37"/>
    </row>
    <row r="22" spans="2:12" ht="15" hidden="1" x14ac:dyDescent="0.3">
      <c r="B22" s="104" t="s">
        <v>127</v>
      </c>
      <c r="C22" s="104"/>
      <c r="D22" s="104"/>
      <c r="E22" s="104"/>
      <c r="F22" s="16"/>
      <c r="G22" s="16"/>
      <c r="H22" s="16"/>
      <c r="I22" s="16"/>
      <c r="J22" s="16"/>
      <c r="K22" s="16"/>
      <c r="L22" s="71" t="s">
        <v>136</v>
      </c>
    </row>
    <row r="23" spans="2:12" hidden="1" x14ac:dyDescent="0.3">
      <c r="B23" s="9"/>
      <c r="G23" s="75"/>
      <c r="H23" s="37"/>
    </row>
    <row r="24" spans="2:12" ht="15" hidden="1" x14ac:dyDescent="0.3">
      <c r="B24" s="104" t="s">
        <v>128</v>
      </c>
      <c r="C24" s="104"/>
      <c r="D24" s="104"/>
      <c r="E24" s="104"/>
      <c r="F24" s="16"/>
      <c r="G24" s="16"/>
      <c r="H24" s="16"/>
      <c r="I24" s="16"/>
      <c r="J24" s="16"/>
      <c r="K24" s="16"/>
      <c r="L24" s="71" t="s">
        <v>136</v>
      </c>
    </row>
    <row r="25" spans="2:12" hidden="1" x14ac:dyDescent="0.3">
      <c r="B25" s="9"/>
      <c r="G25" s="75"/>
      <c r="H25" s="37"/>
    </row>
    <row r="26" spans="2:12" ht="15" hidden="1" x14ac:dyDescent="0.3">
      <c r="B26" s="104" t="s">
        <v>129</v>
      </c>
      <c r="C26" s="104"/>
      <c r="D26" s="104"/>
      <c r="E26" s="104"/>
      <c r="F26" s="16"/>
      <c r="G26" s="16"/>
      <c r="H26" s="16"/>
      <c r="I26" s="16"/>
      <c r="J26" s="16"/>
      <c r="K26" s="16"/>
      <c r="L26" s="71" t="s">
        <v>136</v>
      </c>
    </row>
    <row r="27" spans="2:12" hidden="1" x14ac:dyDescent="0.3">
      <c r="B27" s="9"/>
      <c r="G27" s="75"/>
      <c r="H27" s="37"/>
    </row>
    <row r="28" spans="2:12" ht="15" hidden="1" x14ac:dyDescent="0.3">
      <c r="B28" s="104" t="s">
        <v>130</v>
      </c>
      <c r="C28" s="104"/>
      <c r="D28" s="104"/>
      <c r="E28" s="104"/>
      <c r="F28" s="16"/>
      <c r="G28" s="16"/>
      <c r="H28" s="16"/>
      <c r="I28" s="16"/>
      <c r="J28" s="16"/>
      <c r="K28" s="16"/>
      <c r="L28" s="71" t="s">
        <v>136</v>
      </c>
    </row>
    <row r="29" spans="2:12" hidden="1" x14ac:dyDescent="0.3">
      <c r="B29" s="9"/>
      <c r="G29" s="75"/>
      <c r="H29" s="37"/>
    </row>
    <row r="30" spans="2:12" ht="15" hidden="1" x14ac:dyDescent="0.3">
      <c r="B30" s="104" t="s">
        <v>131</v>
      </c>
      <c r="C30" s="104"/>
      <c r="D30" s="104"/>
      <c r="E30" s="104"/>
      <c r="F30" s="16"/>
      <c r="G30" s="16"/>
      <c r="H30" s="16"/>
      <c r="I30" s="16"/>
      <c r="J30" s="16"/>
      <c r="K30" s="16"/>
      <c r="L30" s="71" t="s">
        <v>136</v>
      </c>
    </row>
    <row r="31" spans="2:12" hidden="1" x14ac:dyDescent="0.3">
      <c r="B31" s="9"/>
      <c r="G31" s="75"/>
      <c r="H31" s="37"/>
    </row>
    <row r="32" spans="2:12" ht="15" x14ac:dyDescent="0.3">
      <c r="B32" s="104" t="s">
        <v>132</v>
      </c>
      <c r="C32" s="104"/>
      <c r="D32" s="104"/>
      <c r="E32" s="104"/>
      <c r="F32" s="16"/>
      <c r="G32" s="16"/>
      <c r="H32" s="16"/>
      <c r="I32" s="16"/>
      <c r="J32" s="16"/>
      <c r="K32" s="16"/>
      <c r="L32" s="71" t="s">
        <v>136</v>
      </c>
    </row>
    <row r="33" spans="2:8" x14ac:dyDescent="0.3">
      <c r="B33" s="9" t="s">
        <v>154</v>
      </c>
      <c r="C33" s="71" t="s">
        <v>133</v>
      </c>
      <c r="G33" s="75"/>
      <c r="H33" s="37" t="s">
        <v>134</v>
      </c>
    </row>
    <row r="34" spans="2:8" x14ac:dyDescent="0.3">
      <c r="G34" s="38"/>
      <c r="H34" s="37"/>
    </row>
    <row r="35" spans="2:8" x14ac:dyDescent="0.3">
      <c r="G35" s="38"/>
      <c r="H35" s="37"/>
    </row>
    <row r="36" spans="2:8" x14ac:dyDescent="0.3">
      <c r="G36" s="38"/>
      <c r="H36" s="37"/>
    </row>
    <row r="37" spans="2:8" x14ac:dyDescent="0.3">
      <c r="G37" s="38"/>
      <c r="H37" s="37"/>
    </row>
    <row r="38" spans="2:8" x14ac:dyDescent="0.3">
      <c r="G38" s="38"/>
      <c r="H38" s="37"/>
    </row>
    <row r="39" spans="2:8" x14ac:dyDescent="0.3">
      <c r="G39" s="38"/>
      <c r="H39" s="37"/>
    </row>
    <row r="40" spans="2:8" x14ac:dyDescent="0.3">
      <c r="G40" s="38"/>
      <c r="H40" s="37"/>
    </row>
    <row r="41" spans="2:8" x14ac:dyDescent="0.3">
      <c r="G41" s="38"/>
      <c r="H41" s="37"/>
    </row>
    <row r="42" spans="2:8" x14ac:dyDescent="0.3">
      <c r="G42" s="38"/>
      <c r="H42" s="37"/>
    </row>
    <row r="43" spans="2:8" x14ac:dyDescent="0.3">
      <c r="G43" s="38"/>
      <c r="H43" s="37"/>
    </row>
    <row r="44" spans="2:8" x14ac:dyDescent="0.3">
      <c r="G44" s="38"/>
      <c r="H44" s="37"/>
    </row>
    <row r="45" spans="2:8" x14ac:dyDescent="0.3">
      <c r="G45" s="38"/>
      <c r="H45" s="37"/>
    </row>
    <row r="46" spans="2:8" x14ac:dyDescent="0.3">
      <c r="G46" s="38"/>
      <c r="H46" s="37"/>
    </row>
    <row r="47" spans="2:8" x14ac:dyDescent="0.3">
      <c r="G47" s="38"/>
      <c r="H47" s="37"/>
    </row>
    <row r="48" spans="2:8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2:E15 E17:E21">
    <cfRule type="expression" dxfId="97" priority="53">
      <formula>IF(ISBLANK($D12), FALSE, IF(RedGreen_Formatting = "Enabled", $D12 &lt;= $E12 + Percent_Error, FALSE))</formula>
    </cfRule>
    <cfRule type="expression" dxfId="96" priority="54">
      <formula>IF(ISBLANK($D12), FALSE, IF(RedGreen_Formatting = "Enabled", $D12 &gt; $E12 + Percent_Error, FALSE))</formula>
    </cfRule>
  </conditionalFormatting>
  <conditionalFormatting sqref="E22">
    <cfRule type="expression" dxfId="95" priority="51">
      <formula>IF(ISBLANK($D22), FALSE, IF(RedGreen_Formatting = "Enabled", $D22 &lt;= $E22 + Percent_Error, FALSE))</formula>
    </cfRule>
    <cfRule type="expression" dxfId="94" priority="52">
      <formula>IF(ISBLANK($D22), FALSE, IF(RedGreen_Formatting = "Enabled", $D22 &gt; $E22 + Percent_Error, FALSE))</formula>
    </cfRule>
  </conditionalFormatting>
  <conditionalFormatting sqref="E24">
    <cfRule type="expression" dxfId="93" priority="49">
      <formula>IF(ISBLANK($D24), FALSE, IF(RedGreen_Formatting = "Enabled", $D24 &lt;= $E24 + Percent_Error, FALSE))</formula>
    </cfRule>
    <cfRule type="expression" dxfId="92" priority="50">
      <formula>IF(ISBLANK($D24), FALSE, IF(RedGreen_Formatting = "Enabled", $D24 &gt; $E24 + Percent_Error, FALSE))</formula>
    </cfRule>
  </conditionalFormatting>
  <conditionalFormatting sqref="E26">
    <cfRule type="expression" dxfId="91" priority="47">
      <formula>IF(ISBLANK($D26), FALSE, IF(RedGreen_Formatting = "Enabled", $D26 &lt;= $E26 + Percent_Error, FALSE))</formula>
    </cfRule>
    <cfRule type="expression" dxfId="90" priority="48">
      <formula>IF(ISBLANK($D26), FALSE, IF(RedGreen_Formatting = "Enabled", $D26 &gt; $E26 + Percent_Error, FALSE))</formula>
    </cfRule>
  </conditionalFormatting>
  <conditionalFormatting sqref="E28">
    <cfRule type="expression" dxfId="89" priority="45">
      <formula>IF(ISBLANK($D28), FALSE, IF(RedGreen_Formatting = "Enabled", $D28 &lt;= $E28 + Percent_Error, FALSE))</formula>
    </cfRule>
    <cfRule type="expression" dxfId="88" priority="46">
      <formula>IF(ISBLANK($D28), FALSE, IF(RedGreen_Formatting = "Enabled", $D28 &gt; $E28 + Percent_Error, FALSE))</formula>
    </cfRule>
  </conditionalFormatting>
  <conditionalFormatting sqref="E30">
    <cfRule type="expression" dxfId="87" priority="43">
      <formula>IF(ISBLANK($D30), FALSE, IF(RedGreen_Formatting = "Enabled", $D30 &lt;= $E30 + Percent_Error, FALSE))</formula>
    </cfRule>
    <cfRule type="expression" dxfId="86" priority="44">
      <formula>IF(ISBLANK($D30), FALSE, IF(RedGreen_Formatting = "Enabled", $D30 &gt; $E30 + Percent_Error, FALSE))</formula>
    </cfRule>
  </conditionalFormatting>
  <conditionalFormatting sqref="E32">
    <cfRule type="expression" dxfId="85" priority="41">
      <formula>IF(ISBLANK($D32), FALSE, IF(RedGreen_Formatting = "Enabled", $D32 &lt;= $E32 + Percent_Error, FALSE))</formula>
    </cfRule>
    <cfRule type="expression" dxfId="84" priority="42">
      <formula>IF(ISBLANK($D32), FALSE, IF(RedGreen_Formatting = "Enabled", $D32 &gt; $E32 + Percent_Error, FALSE))</formula>
    </cfRule>
  </conditionalFormatting>
  <conditionalFormatting sqref="E34">
    <cfRule type="expression" dxfId="83" priority="23">
      <formula>IF(ISBLANK($D34), FALSE, IF(RedGreen_Formatting = "Enabled", $D34 &lt;= $E34 + Percent_Error, FALSE))</formula>
    </cfRule>
    <cfRule type="expression" dxfId="82" priority="24">
      <formula>IF(ISBLANK($D34), FALSE, IF(RedGreen_Formatting = "Enabled", $D34 &gt; $E34 + Percent_Error, FALSE))</formula>
    </cfRule>
  </conditionalFormatting>
  <conditionalFormatting sqref="E33">
    <cfRule type="expression" dxfId="81" priority="3">
      <formula>IF(ISBLANK($D33), FALSE, IF(RedGreen_Formatting = "Enabled", $D33 &lt;= $E33 + Percent_Error, FALSE))</formula>
    </cfRule>
    <cfRule type="expression" dxfId="80" priority="4">
      <formula>IF(ISBLANK($D33), FALSE, IF(RedGreen_Formatting = "Enabled", $D33 &gt; $E33 + Percent_Error, FALSE))</formula>
    </cfRule>
  </conditionalFormatting>
  <conditionalFormatting sqref="E16">
    <cfRule type="expression" dxfId="79" priority="1">
      <formula>IF(ISBLANK($D16), FALSE, IF(RedGreen_Formatting = "Enabled", $D16 &lt;= $E16 + Percent_Error, FALSE))</formula>
    </cfRule>
    <cfRule type="expression" dxfId="78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IDontWorkYet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B2" sqref="B2:O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78" t="s">
        <v>80</v>
      </c>
      <c r="AB1" s="79"/>
    </row>
    <row r="2" spans="2:49" ht="14" customHeight="1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0000</v>
      </c>
      <c r="T2" s="17" t="s">
        <v>59</v>
      </c>
      <c r="U2" s="27" t="b">
        <v>1</v>
      </c>
      <c r="AA2" s="53"/>
      <c r="AB2" s="54"/>
    </row>
    <row r="3" spans="2:49" ht="14" customHeight="1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AA3" s="53"/>
      <c r="AB3" s="54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MIN(Input_0000[Start Date])+(7-WEEKDAY(MIN(Input_0000[Start Date]),2)+_xlfn.SWITCH(Reporting_Day, "Sunday", 7, "Monday", 1, "Tuesday", 2, "Wednesday", 3, "Thursday", 4, "Friday", 5, "Saturday", 6))</f>
        <v>44048</v>
      </c>
      <c r="T4" s="17" t="s">
        <v>61</v>
      </c>
      <c r="U4" s="27" t="b">
        <v>1</v>
      </c>
      <c r="AA4" s="53"/>
      <c r="AB4" s="54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</v>
      </c>
      <c r="R5" s="17" t="s">
        <v>79</v>
      </c>
      <c r="S5" s="24">
        <f>MAX(Input_0000[Finish Date])+(7-WEEKDAY(MAX(Input_0000[Finish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97" t="e">
        <f>Main!#REF!</f>
        <v>#REF!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1068</v>
      </c>
      <c r="O6" s="29">
        <f ca="1">SUM(INDIRECT("Output_"&amp;$S$2&amp;"[Weekly Plan]"))</f>
        <v>1053.1999999999998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  <c r="AD6" s="38"/>
    </row>
    <row r="7" spans="2:49" ht="15.5" thickBot="1" x14ac:dyDescent="0.35">
      <c r="B7" s="21" t="s">
        <v>44</v>
      </c>
      <c r="C7" s="97" t="e">
        <f>RIGHT(Main!#REF!, LEN(Main!#REF!) - 4)</f>
        <v>#REF!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 t="e">
        <f ca="1">VLOOKUP($S$3, INDIRECT("Output_"&amp;$S$2), 5, FALSE)</f>
        <v>#N/A</v>
      </c>
      <c r="O7" s="29">
        <f ca="1">_xlfn.IFNA(VLOOKUP($S$3, INDIRECT("Output_"&amp;$S$2), 6, FALSE), 0)</f>
        <v>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</row>
    <row r="8" spans="2:49" ht="15" x14ac:dyDescent="0.3">
      <c r="B8" s="30"/>
      <c r="C8" s="52"/>
      <c r="D8" s="52"/>
      <c r="E8" s="52"/>
      <c r="F8" s="52"/>
      <c r="G8" s="52"/>
      <c r="H8" s="52"/>
      <c r="I8" s="52"/>
      <c r="J8" s="90" t="str">
        <f>_xlfn.CONCAT("This Week's Production (", IF(ISBLANK($S$6),"",$S$6), ")")</f>
        <v>This Week's Production (Count)</v>
      </c>
      <c r="K8" s="90"/>
      <c r="L8" s="90"/>
      <c r="M8" s="90"/>
      <c r="N8" s="28" t="e">
        <f ca="1">VLOOKUP($S$3, INDIRECT("Output_"&amp;$S$2), 3, FALSE)</f>
        <v>#N/A</v>
      </c>
      <c r="O8" s="29" t="e">
        <f ca="1">VLOOKUP($S$3, INDIRECT("Output_"&amp;$S$2), 4, FALSE)</f>
        <v>#N/A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52"/>
      <c r="D9" s="52"/>
      <c r="E9" s="52"/>
      <c r="F9" s="52"/>
      <c r="G9" s="52"/>
      <c r="H9" s="52"/>
      <c r="I9" s="52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45.791304347826078</v>
      </c>
      <c r="O9" s="33" t="e">
        <f ca="1">AVERAGE(INDIRECT("AD14:AD" &amp;MATCH($S$3,INDIRECT("Output_"&amp;$S$2&amp;"[Date]"),0)+13))</f>
        <v>#N/A</v>
      </c>
      <c r="T9" s="17" t="s">
        <v>114</v>
      </c>
      <c r="U9" s="27"/>
    </row>
    <row r="10" spans="2:49" ht="15" x14ac:dyDescent="0.3">
      <c r="B10" s="30"/>
      <c r="C10" s="52"/>
      <c r="D10" s="52"/>
      <c r="E10" s="52"/>
      <c r="F10" s="52"/>
      <c r="G10" s="52"/>
      <c r="H10" s="52"/>
      <c r="I10" s="52"/>
      <c r="J10" s="90" t="str">
        <f>_xlfn.CONCAT("Average Past 4 Weeks (", IF(ISBLANK($S$6),"",$S$6), ")")</f>
        <v>Average Past 4 Weeks (Count)</v>
      </c>
      <c r="K10" s="90"/>
      <c r="L10" s="90"/>
      <c r="M10" s="90"/>
      <c r="N10" s="32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33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17" t="s">
        <v>115</v>
      </c>
      <c r="U10" s="62"/>
    </row>
    <row r="11" spans="2:49" ht="15" x14ac:dyDescent="0.3">
      <c r="B11" s="30"/>
      <c r="C11" s="52"/>
      <c r="D11" s="52"/>
      <c r="E11" s="52"/>
      <c r="F11" s="52"/>
      <c r="G11" s="52"/>
      <c r="H11" s="52"/>
      <c r="I11" s="52"/>
      <c r="J11" s="90" t="str">
        <f>_xlfn.CONCAT("On Schedule Average (", IF(ISBLANK($S$6),"",$S$6), ")")</f>
        <v>On Schedule Average (Count)</v>
      </c>
      <c r="K11" s="90"/>
      <c r="L11" s="90"/>
      <c r="M11" s="90"/>
      <c r="N11" s="32"/>
      <c r="O11" s="33"/>
    </row>
    <row r="12" spans="2:49" ht="15" x14ac:dyDescent="0.3">
      <c r="B12" s="30"/>
      <c r="C12" s="52"/>
      <c r="D12" s="52"/>
      <c r="E12" s="52"/>
      <c r="F12" s="52"/>
      <c r="G12" s="52"/>
      <c r="H12" s="52"/>
      <c r="I12" s="52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52"/>
      <c r="D13" s="52"/>
      <c r="E13" s="52"/>
      <c r="F13" s="52"/>
      <c r="G13" s="52"/>
      <c r="H13" s="52"/>
      <c r="I13" s="52"/>
      <c r="J13" s="80" t="s">
        <v>46</v>
      </c>
      <c r="K13" s="80"/>
      <c r="L13" s="80"/>
      <c r="M13" s="80"/>
      <c r="N13" s="81"/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52"/>
      <c r="D14" s="52"/>
      <c r="E14" s="52"/>
      <c r="F14" s="52"/>
      <c r="G14" s="52"/>
      <c r="H14" s="52"/>
      <c r="I14" s="52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8">
        <v>148</v>
      </c>
      <c r="X14" s="8">
        <v>12</v>
      </c>
      <c r="AA14" s="47">
        <f t="shared" ref="AA14" si="0">IF(AA13 = "Date", $S$4, AA13+7)</f>
        <v>44048</v>
      </c>
      <c r="AB14" s="49" t="str">
        <f t="shared" ref="AB14:AB36" ca="1" si="1">PrimaryAreas(8)</f>
        <v>ABC</v>
      </c>
      <c r="AC1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1">
        <f ca="1">SUM($AC$14:AC14)</f>
        <v>74</v>
      </c>
      <c r="AF14" s="51" t="e">
        <f>IF(AD14="",NA(),SUM($AD$14:AD14))</f>
        <v>#N/A</v>
      </c>
      <c r="AG14" s="51">
        <f ca="1">WeeklyPlanned(Output_0000[[#Headers],[WP_ABC]], Output_0000[[#This Row],[Date]])</f>
        <v>74</v>
      </c>
      <c r="AH14" s="51"/>
      <c r="AI14" s="51" t="str">
        <f ca="1">WeeklyPlanned(Output_0000[[#Headers],[WP_ACS]], Output_0000[[#This Row],[Date]])</f>
        <v/>
      </c>
      <c r="AJ14" s="51"/>
      <c r="AK14" s="51" t="str">
        <f ca="1">WeeklyPlanned(Output_0000[[#Headers],[WP_AL1]], Output_0000[[#This Row],[Date]])</f>
        <v/>
      </c>
      <c r="AL14" s="51"/>
      <c r="AM14" s="51" t="str">
        <f ca="1">WeeklyPlanned(Output_0000[[#Headers],[WP_HBase]], Output_0000[[#This Row],[Date]])</f>
        <v/>
      </c>
      <c r="AN14" s="51"/>
      <c r="AO14" s="51" t="str">
        <f ca="1">WeeklyPlanned(Output_0000[[#Headers],[WP_HWST]], Output_0000[[#This Row],[Date]])</f>
        <v/>
      </c>
      <c r="AP14" s="51"/>
      <c r="AQ14" s="51" t="str">
        <f ca="1">WeeklyPlanned(Output_0000[[#Headers],[WP_HWSR]], Output_0000[[#This Row],[Date]])</f>
        <v/>
      </c>
      <c r="AR14" s="51"/>
      <c r="AS14" s="51" t="str">
        <f ca="1">WeeklyPlanned(Output_0000[[#Headers],[WP_HL2]], Output_0000[[#This Row],[Date]])</f>
        <v/>
      </c>
      <c r="AT14" s="51"/>
      <c r="AU14" s="51" t="str">
        <f ca="1">WeeklyPlanned(Output_0000[[#Headers],[WP_HBCeil]], Output_0000[[#This Row],[Date]])</f>
        <v/>
      </c>
      <c r="AV14" s="51"/>
    </row>
    <row r="15" spans="2:49" ht="16" thickBot="1" x14ac:dyDescent="0.4">
      <c r="B15" s="30"/>
      <c r="C15" s="52"/>
      <c r="D15" s="52"/>
      <c r="E15" s="52"/>
      <c r="F15" s="52"/>
      <c r="G15" s="52"/>
      <c r="H15" s="52"/>
      <c r="I15" s="52"/>
      <c r="J15" s="39"/>
      <c r="K15" s="39"/>
      <c r="L15" s="88"/>
      <c r="M15" s="88"/>
      <c r="N15" s="88"/>
      <c r="O15" s="8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8">
        <v>102</v>
      </c>
      <c r="X15" s="8">
        <v>0</v>
      </c>
      <c r="AA15" s="47">
        <f t="shared" ref="AA15:AA20" si="2">IF(AA14 = "Date", $S$4, AA14+7)</f>
        <v>44055</v>
      </c>
      <c r="AB15" s="49" t="str">
        <f t="shared" ca="1" si="1"/>
        <v>ABC</v>
      </c>
      <c r="AC1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1">
        <f ca="1">SUM($AC$14:AC15)</f>
        <v>133.19999999999999</v>
      </c>
      <c r="AF15" s="51" t="e">
        <f>IF(AD15="",NA(),SUM($AD$14:AD15))</f>
        <v>#N/A</v>
      </c>
      <c r="AG15" s="51">
        <f ca="1">WeeklyPlanned(Output_0000[[#Headers],[WP_ABC]], Output_0000[[#This Row],[Date]])</f>
        <v>59.2</v>
      </c>
      <c r="AH15" s="51"/>
      <c r="AI15" s="51" t="str">
        <f ca="1">WeeklyPlanned(Output_0000[[#Headers],[WP_ACS]], Output_0000[[#This Row],[Date]])</f>
        <v/>
      </c>
      <c r="AJ15" s="51"/>
      <c r="AK15" s="51" t="str">
        <f ca="1">WeeklyPlanned(Output_0000[[#Headers],[WP_AL1]], Output_0000[[#This Row],[Date]])</f>
        <v/>
      </c>
      <c r="AL15" s="51"/>
      <c r="AM15" s="51" t="str">
        <f ca="1">WeeklyPlanned(Output_0000[[#Headers],[WP_HBase]], Output_0000[[#This Row],[Date]])</f>
        <v/>
      </c>
      <c r="AN15" s="51"/>
      <c r="AO15" s="51" t="str">
        <f ca="1">WeeklyPlanned(Output_0000[[#Headers],[WP_HWST]], Output_0000[[#This Row],[Date]])</f>
        <v/>
      </c>
      <c r="AP15" s="51"/>
      <c r="AQ15" s="51" t="str">
        <f ca="1">WeeklyPlanned(Output_0000[[#Headers],[WP_HWSR]], Output_0000[[#This Row],[Date]])</f>
        <v/>
      </c>
      <c r="AR15" s="51"/>
      <c r="AS15" s="51" t="str">
        <f ca="1">WeeklyPlanned(Output_0000[[#Headers],[WP_HL2]], Output_0000[[#This Row],[Date]])</f>
        <v/>
      </c>
      <c r="AT15" s="51"/>
      <c r="AU15" s="51" t="str">
        <f ca="1">WeeklyPlanned(Output_0000[[#Headers],[WP_HBCeil]], Output_0000[[#This Row],[Date]])</f>
        <v/>
      </c>
      <c r="AV15" s="51"/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8">
        <v>279</v>
      </c>
      <c r="X16" s="8">
        <v>0</v>
      </c>
      <c r="AA16" s="47">
        <f t="shared" si="2"/>
        <v>44062</v>
      </c>
      <c r="AB16" s="49">
        <f t="shared" ca="1" si="1"/>
        <v>0</v>
      </c>
      <c r="AC1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1">
        <f ca="1">SUM($AC$14:AC16)</f>
        <v>133.19999999999999</v>
      </c>
      <c r="AF16" s="51" t="e">
        <f>IF(AD16="",NA(),SUM($AD$14:AD16))</f>
        <v>#N/A</v>
      </c>
      <c r="AG16" s="51" t="str">
        <f ca="1">WeeklyPlanned(Output_0000[[#Headers],[WP_ABC]], Output_0000[[#This Row],[Date]])</f>
        <v/>
      </c>
      <c r="AH16" s="51"/>
      <c r="AI16" s="51" t="str">
        <f ca="1">WeeklyPlanned(Output_0000[[#Headers],[WP_ACS]], Output_0000[[#This Row],[Date]])</f>
        <v/>
      </c>
      <c r="AJ16" s="51"/>
      <c r="AK16" s="51" t="str">
        <f ca="1">WeeklyPlanned(Output_0000[[#Headers],[WP_AL1]], Output_0000[[#This Row],[Date]])</f>
        <v/>
      </c>
      <c r="AL16" s="51"/>
      <c r="AM16" s="51" t="str">
        <f ca="1">WeeklyPlanned(Output_0000[[#Headers],[WP_HBase]], Output_0000[[#This Row],[Date]])</f>
        <v/>
      </c>
      <c r="AN16" s="51"/>
      <c r="AO16" s="51" t="str">
        <f ca="1">WeeklyPlanned(Output_0000[[#Headers],[WP_HWST]], Output_0000[[#This Row],[Date]])</f>
        <v/>
      </c>
      <c r="AP16" s="51"/>
      <c r="AQ16" s="51" t="str">
        <f ca="1">WeeklyPlanned(Output_0000[[#Headers],[WP_HWSR]], Output_0000[[#This Row],[Date]])</f>
        <v/>
      </c>
      <c r="AR16" s="51"/>
      <c r="AS16" s="51" t="str">
        <f ca="1">WeeklyPlanned(Output_0000[[#Headers],[WP_HL2]], Output_0000[[#This Row],[Date]])</f>
        <v/>
      </c>
      <c r="AT16" s="51"/>
      <c r="AU16" s="51" t="str">
        <f ca="1">WeeklyPlanned(Output_0000[[#Headers],[WP_HBCeil]], Output_0000[[#This Row],[Date]])</f>
        <v/>
      </c>
      <c r="AV16" s="51"/>
    </row>
    <row r="17" spans="2:48" ht="15.5" x14ac:dyDescent="0.35">
      <c r="B17" s="30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43"/>
      <c r="R17" s="58"/>
      <c r="S17" s="59" t="s">
        <v>140</v>
      </c>
      <c r="T17" s="59" t="s">
        <v>95</v>
      </c>
      <c r="U17" s="60">
        <v>44131</v>
      </c>
      <c r="V17" s="60">
        <v>44140</v>
      </c>
      <c r="W17" s="61">
        <v>132</v>
      </c>
      <c r="X17" s="61">
        <v>0</v>
      </c>
      <c r="AA17" s="47">
        <f t="shared" si="2"/>
        <v>44069</v>
      </c>
      <c r="AB17" s="49">
        <f t="shared" ca="1" si="1"/>
        <v>0</v>
      </c>
      <c r="AC1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1">
        <f ca="1">SUM($AC$14:AC17)</f>
        <v>133.19999999999999</v>
      </c>
      <c r="AF17" s="51" t="e">
        <f>IF(AD17="",NA(),SUM($AD$14:AD17))</f>
        <v>#N/A</v>
      </c>
      <c r="AG17" s="51" t="str">
        <f ca="1">WeeklyPlanned(Output_0000[[#Headers],[WP_ABC]], Output_0000[[#This Row],[Date]])</f>
        <v/>
      </c>
      <c r="AH17" s="51"/>
      <c r="AI17" s="51" t="str">
        <f ca="1">WeeklyPlanned(Output_0000[[#Headers],[WP_ACS]], Output_0000[[#This Row],[Date]])</f>
        <v/>
      </c>
      <c r="AJ17" s="51"/>
      <c r="AK17" s="51" t="str">
        <f ca="1">WeeklyPlanned(Output_0000[[#Headers],[WP_AL1]], Output_0000[[#This Row],[Date]])</f>
        <v/>
      </c>
      <c r="AL17" s="51"/>
      <c r="AM17" s="51" t="str">
        <f ca="1">WeeklyPlanned(Output_0000[[#Headers],[WP_HBase]], Output_0000[[#This Row],[Date]])</f>
        <v/>
      </c>
      <c r="AN17" s="51"/>
      <c r="AO17" s="51" t="str">
        <f ca="1">WeeklyPlanned(Output_0000[[#Headers],[WP_HWST]], Output_0000[[#This Row],[Date]])</f>
        <v/>
      </c>
      <c r="AP17" s="51"/>
      <c r="AQ17" s="51" t="str">
        <f ca="1">WeeklyPlanned(Output_0000[[#Headers],[WP_HWSR]], Output_0000[[#This Row],[Date]])</f>
        <v/>
      </c>
      <c r="AR17" s="51"/>
      <c r="AS17" s="51" t="str">
        <f ca="1">WeeklyPlanned(Output_0000[[#Headers],[WP_HL2]], Output_0000[[#This Row],[Date]])</f>
        <v/>
      </c>
      <c r="AT17" s="51"/>
      <c r="AU17" s="51" t="str">
        <f ca="1">WeeklyPlanned(Output_0000[[#Headers],[WP_HBCeil]], Output_0000[[#This Row],[Date]])</f>
        <v/>
      </c>
      <c r="AV17" s="51"/>
    </row>
    <row r="18" spans="2:48" ht="15.5" x14ac:dyDescent="0.35">
      <c r="B18" s="30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43"/>
      <c r="R18" s="58"/>
      <c r="S18" s="59" t="s">
        <v>144</v>
      </c>
      <c r="T18" s="59" t="s">
        <v>96</v>
      </c>
      <c r="U18" s="60">
        <v>44113</v>
      </c>
      <c r="V18" s="60">
        <v>44181</v>
      </c>
      <c r="W18" s="61">
        <v>103</v>
      </c>
      <c r="X18" s="61">
        <v>0</v>
      </c>
      <c r="AA18" s="47">
        <f t="shared" si="2"/>
        <v>44076</v>
      </c>
      <c r="AB18" s="49">
        <f t="shared" ca="1" si="1"/>
        <v>0</v>
      </c>
      <c r="AC1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1">
        <f ca="1">SUM($AC$14:AC18)</f>
        <v>133.19999999999999</v>
      </c>
      <c r="AF18" s="51" t="e">
        <f>IF(AD18="",NA(),SUM($AD$14:AD18))</f>
        <v>#N/A</v>
      </c>
      <c r="AG18" s="51" t="str">
        <f ca="1">WeeklyPlanned(Output_0000[[#Headers],[WP_ABC]], Output_0000[[#This Row],[Date]])</f>
        <v/>
      </c>
      <c r="AH18" s="51"/>
      <c r="AI18" s="51" t="str">
        <f ca="1">WeeklyPlanned(Output_0000[[#Headers],[WP_ACS]], Output_0000[[#This Row],[Date]])</f>
        <v/>
      </c>
      <c r="AJ18" s="51"/>
      <c r="AK18" s="51" t="str">
        <f ca="1">WeeklyPlanned(Output_0000[[#Headers],[WP_AL1]], Output_0000[[#This Row],[Date]])</f>
        <v/>
      </c>
      <c r="AL18" s="51"/>
      <c r="AM18" s="51" t="str">
        <f ca="1">WeeklyPlanned(Output_0000[[#Headers],[WP_HBase]], Output_0000[[#This Row],[Date]])</f>
        <v/>
      </c>
      <c r="AN18" s="51"/>
      <c r="AO18" s="51" t="str">
        <f ca="1">WeeklyPlanned(Output_0000[[#Headers],[WP_HWST]], Output_0000[[#This Row],[Date]])</f>
        <v/>
      </c>
      <c r="AP18" s="51"/>
      <c r="AQ18" s="51" t="str">
        <f ca="1">WeeklyPlanned(Output_0000[[#Headers],[WP_HWSR]], Output_0000[[#This Row],[Date]])</f>
        <v/>
      </c>
      <c r="AR18" s="51"/>
      <c r="AS18" s="51" t="str">
        <f ca="1">WeeklyPlanned(Output_0000[[#Headers],[WP_HL2]], Output_0000[[#This Row],[Date]])</f>
        <v/>
      </c>
      <c r="AT18" s="51"/>
      <c r="AU18" s="51" t="str">
        <f ca="1">WeeklyPlanned(Output_0000[[#Headers],[WP_HBCeil]], Output_0000[[#This Row],[Date]])</f>
        <v/>
      </c>
      <c r="AV18" s="51"/>
    </row>
    <row r="19" spans="2:48" ht="15.5" x14ac:dyDescent="0.35">
      <c r="B19" s="30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43"/>
      <c r="R19" s="58"/>
      <c r="S19" s="59" t="s">
        <v>143</v>
      </c>
      <c r="T19" s="59" t="s">
        <v>97</v>
      </c>
      <c r="U19" s="60">
        <v>44182</v>
      </c>
      <c r="V19" s="60">
        <v>44195</v>
      </c>
      <c r="W19" s="61">
        <v>30</v>
      </c>
      <c r="X19" s="61">
        <v>0</v>
      </c>
      <c r="AA19" s="47">
        <f t="shared" si="2"/>
        <v>44083</v>
      </c>
      <c r="AB19" s="49">
        <f t="shared" ca="1" si="1"/>
        <v>0</v>
      </c>
      <c r="AC1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1">
        <f ca="1">SUM($AC$14:AC19)</f>
        <v>133.19999999999999</v>
      </c>
      <c r="AF19" s="51" t="e">
        <f>IF(AD19="",NA(),SUM($AD$14:AD19))</f>
        <v>#N/A</v>
      </c>
      <c r="AG19" s="51" t="str">
        <f ca="1">WeeklyPlanned(Output_0000[[#Headers],[WP_ABC]], Output_0000[[#This Row],[Date]])</f>
        <v/>
      </c>
      <c r="AH19" s="51"/>
      <c r="AI19" s="51" t="str">
        <f ca="1">WeeklyPlanned(Output_0000[[#Headers],[WP_ACS]], Output_0000[[#This Row],[Date]])</f>
        <v/>
      </c>
      <c r="AJ19" s="51"/>
      <c r="AK19" s="51" t="str">
        <f ca="1">WeeklyPlanned(Output_0000[[#Headers],[WP_AL1]], Output_0000[[#This Row],[Date]])</f>
        <v/>
      </c>
      <c r="AL19" s="51"/>
      <c r="AM19" s="51" t="str">
        <f ca="1">WeeklyPlanned(Output_0000[[#Headers],[WP_HBase]], Output_0000[[#This Row],[Date]])</f>
        <v/>
      </c>
      <c r="AN19" s="51"/>
      <c r="AO19" s="51" t="str">
        <f ca="1">WeeklyPlanned(Output_0000[[#Headers],[WP_HWST]], Output_0000[[#This Row],[Date]])</f>
        <v/>
      </c>
      <c r="AP19" s="51"/>
      <c r="AQ19" s="51" t="str">
        <f ca="1">WeeklyPlanned(Output_0000[[#Headers],[WP_HWSR]], Output_0000[[#This Row],[Date]])</f>
        <v/>
      </c>
      <c r="AR19" s="51"/>
      <c r="AS19" s="51" t="str">
        <f ca="1">WeeklyPlanned(Output_0000[[#Headers],[WP_HL2]], Output_0000[[#This Row],[Date]])</f>
        <v/>
      </c>
      <c r="AT19" s="51"/>
      <c r="AU19" s="51" t="str">
        <f ca="1">WeeklyPlanned(Output_0000[[#Headers],[WP_HBCeil]], Output_0000[[#This Row],[Date]])</f>
        <v/>
      </c>
      <c r="AV19" s="51"/>
    </row>
    <row r="20" spans="2:48" ht="15.5" x14ac:dyDescent="0.35">
      <c r="B20" s="30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43"/>
      <c r="R20" s="58"/>
      <c r="S20" s="59" t="s">
        <v>142</v>
      </c>
      <c r="T20" s="59" t="s">
        <v>98</v>
      </c>
      <c r="U20" s="60">
        <v>44109</v>
      </c>
      <c r="V20" s="60">
        <v>44127</v>
      </c>
      <c r="W20" s="61">
        <v>245</v>
      </c>
      <c r="X20" s="61">
        <v>0</v>
      </c>
      <c r="AA20" s="47">
        <f t="shared" si="2"/>
        <v>44090</v>
      </c>
      <c r="AB20" s="49" t="str">
        <f t="shared" ca="1" si="1"/>
        <v>HBCeil</v>
      </c>
      <c r="AC2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1">
        <f ca="1">SUM($AC$14:AC20)</f>
        <v>135.61666666666665</v>
      </c>
      <c r="AF20" s="51" t="e">
        <f>IF(AD20="",NA(),SUM($AD$14:AD20))</f>
        <v>#N/A</v>
      </c>
      <c r="AG20" s="51" t="str">
        <f ca="1">WeeklyPlanned(Output_0000[[#Headers],[WP_ABC]], Output_0000[[#This Row],[Date]])</f>
        <v/>
      </c>
      <c r="AH20" s="51"/>
      <c r="AI20" s="51" t="str">
        <f ca="1">WeeklyPlanned(Output_0000[[#Headers],[WP_ACS]], Output_0000[[#This Row],[Date]])</f>
        <v/>
      </c>
      <c r="AJ20" s="51"/>
      <c r="AK20" s="51" t="str">
        <f ca="1">WeeklyPlanned(Output_0000[[#Headers],[WP_AL1]], Output_0000[[#This Row],[Date]])</f>
        <v/>
      </c>
      <c r="AL20" s="51"/>
      <c r="AM20" s="51" t="str">
        <f ca="1">WeeklyPlanned(Output_0000[[#Headers],[WP_HBase]], Output_0000[[#This Row],[Date]])</f>
        <v/>
      </c>
      <c r="AN20" s="51"/>
      <c r="AO20" s="51" t="str">
        <f ca="1">WeeklyPlanned(Output_0000[[#Headers],[WP_HWST]], Output_0000[[#This Row],[Date]])</f>
        <v/>
      </c>
      <c r="AP20" s="51"/>
      <c r="AQ20" s="51" t="str">
        <f ca="1">WeeklyPlanned(Output_0000[[#Headers],[WP_HWSR]], Output_0000[[#This Row],[Date]])</f>
        <v/>
      </c>
      <c r="AR20" s="51"/>
      <c r="AS20" s="51" t="str">
        <f ca="1">WeeklyPlanned(Output_0000[[#Headers],[WP_HL2]], Output_0000[[#This Row],[Date]])</f>
        <v/>
      </c>
      <c r="AT20" s="51"/>
      <c r="AU20" s="51">
        <f ca="1">WeeklyPlanned(Output_0000[[#Headers],[WP_HBCeil]], Output_0000[[#This Row],[Date]])</f>
        <v>2.4166666666666665</v>
      </c>
      <c r="AV20" s="51"/>
    </row>
    <row r="21" spans="2:48" ht="15.5" x14ac:dyDescent="0.35">
      <c r="B21" s="30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43"/>
      <c r="R21" s="58"/>
      <c r="S21" s="59" t="s">
        <v>141</v>
      </c>
      <c r="T21" s="59" t="s">
        <v>99</v>
      </c>
      <c r="U21" s="60">
        <v>44089</v>
      </c>
      <c r="V21" s="60">
        <v>44104</v>
      </c>
      <c r="W21" s="61">
        <v>29</v>
      </c>
      <c r="X21" s="61">
        <v>0</v>
      </c>
      <c r="AA21" s="47">
        <f t="shared" ref="AA21:AA36" si="3">IF(AA20 = "Date", $S$4, AA20+7)</f>
        <v>44097</v>
      </c>
      <c r="AB21" s="49" t="str">
        <f t="shared" ca="1" si="1"/>
        <v>HBCeil</v>
      </c>
      <c r="AC2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1">
        <f ca="1">SUM($AC$14:AC21)</f>
        <v>147.69999999999999</v>
      </c>
      <c r="AF21" s="51" t="e">
        <f>IF(AD21="",NA(),SUM($AD$14:AD21))</f>
        <v>#N/A</v>
      </c>
      <c r="AG21" s="51" t="str">
        <f ca="1">WeeklyPlanned(Output_0000[[#Headers],[WP_ABC]], Output_0000[[#This Row],[Date]])</f>
        <v/>
      </c>
      <c r="AH21" s="51"/>
      <c r="AI21" s="51" t="str">
        <f ca="1">WeeklyPlanned(Output_0000[[#Headers],[WP_ACS]], Output_0000[[#This Row],[Date]])</f>
        <v/>
      </c>
      <c r="AJ21" s="51"/>
      <c r="AK21" s="51" t="str">
        <f ca="1">WeeklyPlanned(Output_0000[[#Headers],[WP_AL1]], Output_0000[[#This Row],[Date]])</f>
        <v/>
      </c>
      <c r="AL21" s="51"/>
      <c r="AM21" s="51" t="str">
        <f ca="1">WeeklyPlanned(Output_0000[[#Headers],[WP_HBase]], Output_0000[[#This Row],[Date]])</f>
        <v/>
      </c>
      <c r="AN21" s="51"/>
      <c r="AO21" s="51" t="str">
        <f ca="1">WeeklyPlanned(Output_0000[[#Headers],[WP_HWST]], Output_0000[[#This Row],[Date]])</f>
        <v/>
      </c>
      <c r="AP21" s="51"/>
      <c r="AQ21" s="51" t="str">
        <f ca="1">WeeklyPlanned(Output_0000[[#Headers],[WP_HWSR]], Output_0000[[#This Row],[Date]])</f>
        <v/>
      </c>
      <c r="AR21" s="51"/>
      <c r="AS21" s="51" t="str">
        <f ca="1">WeeklyPlanned(Output_0000[[#Headers],[WP_HL2]], Output_0000[[#This Row],[Date]])</f>
        <v/>
      </c>
      <c r="AT21" s="51"/>
      <c r="AU21" s="51">
        <f ca="1">WeeklyPlanned(Output_0000[[#Headers],[WP_HBCeil]], Output_0000[[#This Row],[Date]])</f>
        <v>12.083333333333332</v>
      </c>
      <c r="AV21" s="51"/>
    </row>
    <row r="22" spans="2:48" ht="15.5" x14ac:dyDescent="0.35">
      <c r="B22" s="30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43"/>
      <c r="AA22" s="47">
        <f t="shared" si="3"/>
        <v>44104</v>
      </c>
      <c r="AB22" s="49" t="str">
        <f t="shared" ca="1" si="1"/>
        <v>HBCeil</v>
      </c>
      <c r="AC2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1">
        <f ca="1">SUM($AC$14:AC22)</f>
        <v>159.78333333333333</v>
      </c>
      <c r="AF22" s="51" t="e">
        <f>IF(AD22="",NA(),SUM($AD$14:AD22))</f>
        <v>#N/A</v>
      </c>
      <c r="AG22" s="51" t="str">
        <f ca="1">WeeklyPlanned(Output_0000[[#Headers],[WP_ABC]], Output_0000[[#This Row],[Date]])</f>
        <v/>
      </c>
      <c r="AH22" s="51"/>
      <c r="AI22" s="51" t="str">
        <f ca="1">WeeklyPlanned(Output_0000[[#Headers],[WP_ACS]], Output_0000[[#This Row],[Date]])</f>
        <v/>
      </c>
      <c r="AJ22" s="51"/>
      <c r="AK22" s="51" t="str">
        <f ca="1">WeeklyPlanned(Output_0000[[#Headers],[WP_AL1]], Output_0000[[#This Row],[Date]])</f>
        <v/>
      </c>
      <c r="AL22" s="51"/>
      <c r="AM22" s="51" t="str">
        <f ca="1">WeeklyPlanned(Output_0000[[#Headers],[WP_HBase]], Output_0000[[#This Row],[Date]])</f>
        <v/>
      </c>
      <c r="AN22" s="51"/>
      <c r="AO22" s="51" t="str">
        <f ca="1">WeeklyPlanned(Output_0000[[#Headers],[WP_HWST]], Output_0000[[#This Row],[Date]])</f>
        <v/>
      </c>
      <c r="AP22" s="51"/>
      <c r="AQ22" s="51" t="str">
        <f ca="1">WeeklyPlanned(Output_0000[[#Headers],[WP_HWSR]], Output_0000[[#This Row],[Date]])</f>
        <v/>
      </c>
      <c r="AR22" s="51"/>
      <c r="AS22" s="51" t="str">
        <f ca="1">WeeklyPlanned(Output_0000[[#Headers],[WP_HL2]], Output_0000[[#This Row],[Date]])</f>
        <v/>
      </c>
      <c r="AT22" s="51"/>
      <c r="AU22" s="51">
        <f ca="1">WeeklyPlanned(Output_0000[[#Headers],[WP_HBCeil]], Output_0000[[#This Row],[Date]])</f>
        <v>12.083333333333332</v>
      </c>
      <c r="AV22" s="51"/>
    </row>
    <row r="23" spans="2:48" ht="15.5" x14ac:dyDescent="0.35">
      <c r="B23" s="30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43"/>
      <c r="AA23" s="47">
        <f t="shared" si="3"/>
        <v>44111</v>
      </c>
      <c r="AB23" s="49" t="str">
        <f t="shared" ca="1" si="1"/>
        <v>ACS, HL2, HBCeil</v>
      </c>
      <c r="AC2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1">
        <f ca="1">SUM($AC$14:AC23)</f>
        <v>276.46666666666664</v>
      </c>
      <c r="AF23" s="51" t="e">
        <f>IF(AD23="",NA(),SUM($AD$14:AD23))</f>
        <v>#N/A</v>
      </c>
      <c r="AG23" s="51" t="str">
        <f ca="1">WeeklyPlanned(Output_0000[[#Headers],[WP_ABC]], Output_0000[[#This Row],[Date]])</f>
        <v/>
      </c>
      <c r="AH23" s="51"/>
      <c r="AI23" s="51">
        <f ca="1">WeeklyPlanned(Output_0000[[#Headers],[WP_ACS]], Output_0000[[#This Row],[Date]])</f>
        <v>81.599999999999994</v>
      </c>
      <c r="AJ23" s="51"/>
      <c r="AK23" s="51" t="str">
        <f ca="1">WeeklyPlanned(Output_0000[[#Headers],[WP_AL1]], Output_0000[[#This Row],[Date]])</f>
        <v/>
      </c>
      <c r="AL23" s="51"/>
      <c r="AM23" s="51" t="str">
        <f ca="1">WeeklyPlanned(Output_0000[[#Headers],[WP_HBase]], Output_0000[[#This Row],[Date]])</f>
        <v/>
      </c>
      <c r="AN23" s="51"/>
      <c r="AO23" s="51" t="str">
        <f ca="1">WeeklyPlanned(Output_0000[[#Headers],[WP_HWST]], Output_0000[[#This Row],[Date]])</f>
        <v/>
      </c>
      <c r="AP23" s="51"/>
      <c r="AQ23" s="51" t="str">
        <f ca="1">WeeklyPlanned(Output_0000[[#Headers],[WP_HWSR]], Output_0000[[#This Row],[Date]])</f>
        <v/>
      </c>
      <c r="AR23" s="51"/>
      <c r="AS23" s="51">
        <f ca="1">WeeklyPlanned(Output_0000[[#Headers],[WP_HL2]], Output_0000[[#This Row],[Date]])</f>
        <v>32.666666666666664</v>
      </c>
      <c r="AT23" s="51"/>
      <c r="AU23" s="51">
        <f ca="1">WeeklyPlanned(Output_0000[[#Headers],[WP_HBCeil]], Output_0000[[#This Row],[Date]])</f>
        <v>2.4166666666666665</v>
      </c>
      <c r="AV23" s="51"/>
    </row>
    <row r="24" spans="2:48" ht="15.5" x14ac:dyDescent="0.35">
      <c r="B24" s="30"/>
      <c r="C24" s="52" t="s">
        <v>47</v>
      </c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43"/>
      <c r="AA24" s="47">
        <f t="shared" si="3"/>
        <v>44118</v>
      </c>
      <c r="AB24" s="49" t="str">
        <f t="shared" ca="1" si="1"/>
        <v>ACS, HWST, HL2</v>
      </c>
      <c r="AC2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1">
        <f ca="1">SUM($AC$14:AC24)</f>
        <v>384.83945578231288</v>
      </c>
      <c r="AF24" s="51" t="e">
        <f>IF(AD24="",NA(),SUM($AD$14:AD24))</f>
        <v>#N/A</v>
      </c>
      <c r="AG24" s="51" t="str">
        <f ca="1">WeeklyPlanned(Output_0000[[#Headers],[WP_ABC]], Output_0000[[#This Row],[Date]])</f>
        <v/>
      </c>
      <c r="AH24" s="51"/>
      <c r="AI24" s="51">
        <f ca="1">WeeklyPlanned(Output_0000[[#Headers],[WP_ACS]], Output_0000[[#This Row],[Date]])</f>
        <v>20.399999999999999</v>
      </c>
      <c r="AJ24" s="51"/>
      <c r="AK24" s="51" t="str">
        <f ca="1">WeeklyPlanned(Output_0000[[#Headers],[WP_AL1]], Output_0000[[#This Row],[Date]])</f>
        <v/>
      </c>
      <c r="AL24" s="51"/>
      <c r="AM24" s="51" t="str">
        <f ca="1">WeeklyPlanned(Output_0000[[#Headers],[WP_HBase]], Output_0000[[#This Row],[Date]])</f>
        <v/>
      </c>
      <c r="AN24" s="51"/>
      <c r="AO24" s="51">
        <f ca="1">WeeklyPlanned(Output_0000[[#Headers],[WP_HWST]], Output_0000[[#This Row],[Date]])</f>
        <v>6.3061224489795915</v>
      </c>
      <c r="AP24" s="51"/>
      <c r="AQ24" s="51" t="str">
        <f ca="1">WeeklyPlanned(Output_0000[[#Headers],[WP_HWSR]], Output_0000[[#This Row],[Date]])</f>
        <v/>
      </c>
      <c r="AR24" s="51"/>
      <c r="AS24" s="51">
        <f ca="1">WeeklyPlanned(Output_0000[[#Headers],[WP_HL2]], Output_0000[[#This Row],[Date]])</f>
        <v>81.666666666666657</v>
      </c>
      <c r="AT24" s="51"/>
      <c r="AU24" s="51" t="str">
        <f ca="1">WeeklyPlanned(Output_0000[[#Headers],[WP_HBCeil]], Output_0000[[#This Row],[Date]])</f>
        <v/>
      </c>
      <c r="AV24" s="51"/>
    </row>
    <row r="25" spans="2:48" ht="15.5" x14ac:dyDescent="0.35">
      <c r="B25" s="30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43"/>
      <c r="AA25" s="47">
        <f t="shared" si="3"/>
        <v>44125</v>
      </c>
      <c r="AB25" s="49" t="str">
        <f t="shared" ca="1" si="1"/>
        <v>HWST, HL2</v>
      </c>
      <c r="AC2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1">
        <f ca="1">SUM($AC$14:AC25)</f>
        <v>477.01632653061222</v>
      </c>
      <c r="AF25" s="51" t="e">
        <f>IF(AD25="",NA(),SUM($AD$14:AD25))</f>
        <v>#N/A</v>
      </c>
      <c r="AG25" s="51" t="str">
        <f ca="1">WeeklyPlanned(Output_0000[[#Headers],[WP_ABC]], Output_0000[[#This Row],[Date]])</f>
        <v/>
      </c>
      <c r="AH25" s="51"/>
      <c r="AI25" s="51" t="str">
        <f ca="1">WeeklyPlanned(Output_0000[[#Headers],[WP_ACS]], Output_0000[[#This Row],[Date]])</f>
        <v/>
      </c>
      <c r="AJ25" s="51"/>
      <c r="AK25" s="51" t="str">
        <f ca="1">WeeklyPlanned(Output_0000[[#Headers],[WP_AL1]], Output_0000[[#This Row],[Date]])</f>
        <v/>
      </c>
      <c r="AL25" s="51"/>
      <c r="AM25" s="51" t="str">
        <f ca="1">WeeklyPlanned(Output_0000[[#Headers],[WP_HBase]], Output_0000[[#This Row],[Date]])</f>
        <v/>
      </c>
      <c r="AN25" s="51"/>
      <c r="AO25" s="51">
        <f ca="1">WeeklyPlanned(Output_0000[[#Headers],[WP_HWST]], Output_0000[[#This Row],[Date]])</f>
        <v>10.510204081632653</v>
      </c>
      <c r="AP25" s="51"/>
      <c r="AQ25" s="51" t="str">
        <f ca="1">WeeklyPlanned(Output_0000[[#Headers],[WP_HWSR]], Output_0000[[#This Row],[Date]])</f>
        <v/>
      </c>
      <c r="AR25" s="51"/>
      <c r="AS25" s="51">
        <f ca="1">WeeklyPlanned(Output_0000[[#Headers],[WP_HL2]], Output_0000[[#This Row],[Date]])</f>
        <v>81.666666666666657</v>
      </c>
      <c r="AT25" s="51"/>
      <c r="AU25" s="51" t="str">
        <f ca="1">WeeklyPlanned(Output_0000[[#Headers],[WP_HBCeil]], Output_0000[[#This Row],[Date]])</f>
        <v/>
      </c>
      <c r="AV25" s="51"/>
    </row>
    <row r="26" spans="2:48" ht="15.5" x14ac:dyDescent="0.35">
      <c r="B26" s="30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43"/>
      <c r="S26" s="37"/>
      <c r="AA26" s="47">
        <f t="shared" si="3"/>
        <v>44132</v>
      </c>
      <c r="AB26" s="49" t="str">
        <f t="shared" ca="1" si="1"/>
        <v>HBase, HWST, HL2</v>
      </c>
      <c r="AC2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1">
        <f ca="1">SUM($AC$14:AC26)</f>
        <v>553.02653061224487</v>
      </c>
      <c r="AF26" s="51" t="e">
        <f>IF(AD26="",NA(),SUM($AD$14:AD26))</f>
        <v>#N/A</v>
      </c>
      <c r="AG26" s="51" t="str">
        <f ca="1">WeeklyPlanned(Output_0000[[#Headers],[WP_ABC]], Output_0000[[#This Row],[Date]])</f>
        <v/>
      </c>
      <c r="AH26" s="51"/>
      <c r="AI26" s="51" t="str">
        <f ca="1">WeeklyPlanned(Output_0000[[#Headers],[WP_ACS]], Output_0000[[#This Row],[Date]])</f>
        <v/>
      </c>
      <c r="AJ26" s="51"/>
      <c r="AK26" s="51" t="str">
        <f ca="1">WeeklyPlanned(Output_0000[[#Headers],[WP_AL1]], Output_0000[[#This Row],[Date]])</f>
        <v/>
      </c>
      <c r="AL26" s="51"/>
      <c r="AM26" s="51">
        <f ca="1">WeeklyPlanned(Output_0000[[#Headers],[WP_HBase]], Output_0000[[#This Row],[Date]])</f>
        <v>16.5</v>
      </c>
      <c r="AN26" s="51"/>
      <c r="AO26" s="51">
        <f ca="1">WeeklyPlanned(Output_0000[[#Headers],[WP_HWST]], Output_0000[[#This Row],[Date]])</f>
        <v>10.510204081632653</v>
      </c>
      <c r="AP26" s="51"/>
      <c r="AQ26" s="51" t="str">
        <f ca="1">WeeklyPlanned(Output_0000[[#Headers],[WP_HWSR]], Output_0000[[#This Row],[Date]])</f>
        <v/>
      </c>
      <c r="AR26" s="51"/>
      <c r="AS26" s="51">
        <f ca="1">WeeklyPlanned(Output_0000[[#Headers],[WP_HL2]], Output_0000[[#This Row],[Date]])</f>
        <v>49</v>
      </c>
      <c r="AT26" s="51"/>
      <c r="AU26" s="51" t="str">
        <f ca="1">WeeklyPlanned(Output_0000[[#Headers],[WP_HBCeil]], Output_0000[[#This Row],[Date]])</f>
        <v/>
      </c>
      <c r="AV26" s="51"/>
    </row>
    <row r="27" spans="2:48" ht="15.5" x14ac:dyDescent="0.35">
      <c r="B27" s="30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43"/>
      <c r="AA27" s="47">
        <f t="shared" si="3"/>
        <v>44139</v>
      </c>
      <c r="AB27" s="49" t="str">
        <f t="shared" ca="1" si="1"/>
        <v>AL1, HBase, HWST</v>
      </c>
      <c r="AC2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1">
        <f ca="1">SUM($AC$14:AC27)</f>
        <v>757.63673469387754</v>
      </c>
      <c r="AF27" s="51" t="e">
        <f>IF(AD27="",NA(),SUM($AD$14:AD27))</f>
        <v>#N/A</v>
      </c>
      <c r="AG27" s="51" t="str">
        <f ca="1">WeeklyPlanned(Output_0000[[#Headers],[WP_ABC]], Output_0000[[#This Row],[Date]])</f>
        <v/>
      </c>
      <c r="AH27" s="51"/>
      <c r="AI27" s="51" t="str">
        <f ca="1">WeeklyPlanned(Output_0000[[#Headers],[WP_ACS]], Output_0000[[#This Row],[Date]])</f>
        <v/>
      </c>
      <c r="AJ27" s="51"/>
      <c r="AK27" s="51">
        <f ca="1">WeeklyPlanned(Output_0000[[#Headers],[WP_AL1]], Output_0000[[#This Row],[Date]])</f>
        <v>111.6</v>
      </c>
      <c r="AL27" s="51"/>
      <c r="AM27" s="51">
        <f ca="1">WeeklyPlanned(Output_0000[[#Headers],[WP_HBase]], Output_0000[[#This Row],[Date]])</f>
        <v>82.5</v>
      </c>
      <c r="AN27" s="51"/>
      <c r="AO27" s="51">
        <f ca="1">WeeklyPlanned(Output_0000[[#Headers],[WP_HWST]], Output_0000[[#This Row],[Date]])</f>
        <v>10.510204081632653</v>
      </c>
      <c r="AP27" s="51"/>
      <c r="AQ27" s="51" t="str">
        <f ca="1">WeeklyPlanned(Output_0000[[#Headers],[WP_HWSR]], Output_0000[[#This Row],[Date]])</f>
        <v/>
      </c>
      <c r="AR27" s="51"/>
      <c r="AS27" s="51" t="str">
        <f ca="1">WeeklyPlanned(Output_0000[[#Headers],[WP_HL2]], Output_0000[[#This Row],[Date]])</f>
        <v/>
      </c>
      <c r="AT27" s="51"/>
      <c r="AU27" s="51" t="str">
        <f ca="1">WeeklyPlanned(Output_0000[[#Headers],[WP_HBCeil]], Output_0000[[#This Row],[Date]])</f>
        <v/>
      </c>
      <c r="AV27" s="51"/>
    </row>
    <row r="28" spans="2:48" ht="15.5" x14ac:dyDescent="0.35">
      <c r="B28" s="30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43"/>
      <c r="AA28" s="47">
        <f t="shared" si="3"/>
        <v>44146</v>
      </c>
      <c r="AB28" s="49" t="str">
        <f t="shared" ca="1" si="1"/>
        <v>AL1, HBase, HWST</v>
      </c>
      <c r="AC2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1">
        <f ca="1">SUM($AC$14:AC28)</f>
        <v>940.64693877551019</v>
      </c>
      <c r="AF28" s="51" t="e">
        <f>IF(AD28="",NA(),SUM($AD$14:AD28))</f>
        <v>#N/A</v>
      </c>
      <c r="AG28" s="51" t="str">
        <f ca="1">WeeklyPlanned(Output_0000[[#Headers],[WP_ABC]], Output_0000[[#This Row],[Date]])</f>
        <v/>
      </c>
      <c r="AH28" s="51"/>
      <c r="AI28" s="51" t="str">
        <f ca="1">WeeklyPlanned(Output_0000[[#Headers],[WP_ACS]], Output_0000[[#This Row],[Date]])</f>
        <v/>
      </c>
      <c r="AJ28" s="51"/>
      <c r="AK28" s="51">
        <f ca="1">WeeklyPlanned(Output_0000[[#Headers],[WP_AL1]], Output_0000[[#This Row],[Date]])</f>
        <v>139.5</v>
      </c>
      <c r="AL28" s="51"/>
      <c r="AM28" s="51">
        <f ca="1">WeeklyPlanned(Output_0000[[#Headers],[WP_HBase]], Output_0000[[#This Row],[Date]])</f>
        <v>33</v>
      </c>
      <c r="AN28" s="51"/>
      <c r="AO28" s="51">
        <f ca="1">WeeklyPlanned(Output_0000[[#Headers],[WP_HWST]], Output_0000[[#This Row],[Date]])</f>
        <v>10.510204081632653</v>
      </c>
      <c r="AP28" s="51"/>
      <c r="AQ28" s="51" t="str">
        <f ca="1">WeeklyPlanned(Output_0000[[#Headers],[WP_HWSR]], Output_0000[[#This Row],[Date]])</f>
        <v/>
      </c>
      <c r="AR28" s="51"/>
      <c r="AS28" s="51" t="str">
        <f ca="1">WeeklyPlanned(Output_0000[[#Headers],[WP_HL2]], Output_0000[[#This Row],[Date]])</f>
        <v/>
      </c>
      <c r="AT28" s="51"/>
      <c r="AU28" s="51" t="str">
        <f ca="1">WeeklyPlanned(Output_0000[[#Headers],[WP_HBCeil]], Output_0000[[#This Row],[Date]])</f>
        <v/>
      </c>
      <c r="AV28" s="51"/>
    </row>
    <row r="29" spans="2:48" ht="15.5" x14ac:dyDescent="0.35">
      <c r="B29" s="30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43"/>
      <c r="AA29" s="47">
        <f t="shared" si="3"/>
        <v>44153</v>
      </c>
      <c r="AB29" s="49" t="str">
        <f t="shared" ca="1" si="1"/>
        <v>AL1, HWST</v>
      </c>
      <c r="AC2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1">
        <f ca="1">SUM($AC$14:AC29)</f>
        <v>979.05714285714282</v>
      </c>
      <c r="AF29" s="51" t="e">
        <f>IF(AD29="",NA(),SUM($AD$14:AD29))</f>
        <v>#N/A</v>
      </c>
      <c r="AG29" s="51" t="str">
        <f ca="1">WeeklyPlanned(Output_0000[[#Headers],[WP_ABC]], Output_0000[[#This Row],[Date]])</f>
        <v/>
      </c>
      <c r="AH29" s="51"/>
      <c r="AI29" s="51" t="str">
        <f ca="1">WeeklyPlanned(Output_0000[[#Headers],[WP_ACS]], Output_0000[[#This Row],[Date]])</f>
        <v/>
      </c>
      <c r="AJ29" s="51"/>
      <c r="AK29" s="51">
        <f ca="1">WeeklyPlanned(Output_0000[[#Headers],[WP_AL1]], Output_0000[[#This Row],[Date]])</f>
        <v>27.9</v>
      </c>
      <c r="AL29" s="51"/>
      <c r="AM29" s="51" t="str">
        <f ca="1">WeeklyPlanned(Output_0000[[#Headers],[WP_HBase]], Output_0000[[#This Row],[Date]])</f>
        <v/>
      </c>
      <c r="AN29" s="51"/>
      <c r="AO29" s="51">
        <f ca="1">WeeklyPlanned(Output_0000[[#Headers],[WP_HWST]], Output_0000[[#This Row],[Date]])</f>
        <v>10.510204081632653</v>
      </c>
      <c r="AP29" s="51"/>
      <c r="AQ29" s="51" t="str">
        <f ca="1">WeeklyPlanned(Output_0000[[#Headers],[WP_HWSR]], Output_0000[[#This Row],[Date]])</f>
        <v/>
      </c>
      <c r="AR29" s="51"/>
      <c r="AS29" s="51" t="str">
        <f ca="1">WeeklyPlanned(Output_0000[[#Headers],[WP_HL2]], Output_0000[[#This Row],[Date]])</f>
        <v/>
      </c>
      <c r="AT29" s="51"/>
      <c r="AU29" s="51" t="str">
        <f ca="1">WeeklyPlanned(Output_0000[[#Headers],[WP_HBCeil]], Output_0000[[#This Row],[Date]])</f>
        <v/>
      </c>
      <c r="AV29" s="51"/>
    </row>
    <row r="30" spans="2:48" ht="15.5" x14ac:dyDescent="0.35">
      <c r="B30" s="30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43"/>
      <c r="AA30" s="47">
        <f t="shared" si="3"/>
        <v>44160</v>
      </c>
      <c r="AB30" s="49" t="str">
        <f t="shared" ca="1" si="1"/>
        <v>HWST</v>
      </c>
      <c r="AC3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1">
        <f ca="1">SUM($AC$14:AC30)</f>
        <v>989.56734693877547</v>
      </c>
      <c r="AF30" s="51" t="e">
        <f>IF(AD30="",NA(),SUM($AD$14:AD30))</f>
        <v>#N/A</v>
      </c>
      <c r="AG30" s="51" t="str">
        <f ca="1">WeeklyPlanned(Output_0000[[#Headers],[WP_ABC]], Output_0000[[#This Row],[Date]])</f>
        <v/>
      </c>
      <c r="AH30" s="51"/>
      <c r="AI30" s="51" t="str">
        <f ca="1">WeeklyPlanned(Output_0000[[#Headers],[WP_ACS]], Output_0000[[#This Row],[Date]])</f>
        <v/>
      </c>
      <c r="AJ30" s="51"/>
      <c r="AK30" s="51" t="str">
        <f ca="1">WeeklyPlanned(Output_0000[[#Headers],[WP_AL1]], Output_0000[[#This Row],[Date]])</f>
        <v/>
      </c>
      <c r="AL30" s="51"/>
      <c r="AM30" s="51" t="str">
        <f ca="1">WeeklyPlanned(Output_0000[[#Headers],[WP_HBase]], Output_0000[[#This Row],[Date]])</f>
        <v/>
      </c>
      <c r="AN30" s="51"/>
      <c r="AO30" s="51">
        <f ca="1">WeeklyPlanned(Output_0000[[#Headers],[WP_HWST]], Output_0000[[#This Row],[Date]])</f>
        <v>10.510204081632653</v>
      </c>
      <c r="AP30" s="51"/>
      <c r="AQ30" s="51" t="str">
        <f ca="1">WeeklyPlanned(Output_0000[[#Headers],[WP_HWSR]], Output_0000[[#This Row],[Date]])</f>
        <v/>
      </c>
      <c r="AR30" s="51"/>
      <c r="AS30" s="51" t="str">
        <f ca="1">WeeklyPlanned(Output_0000[[#Headers],[WP_HL2]], Output_0000[[#This Row],[Date]])</f>
        <v/>
      </c>
      <c r="AT30" s="51"/>
      <c r="AU30" s="51" t="str">
        <f ca="1">WeeklyPlanned(Output_0000[[#Headers],[WP_HBCeil]], Output_0000[[#This Row],[Date]])</f>
        <v/>
      </c>
      <c r="AV30" s="51"/>
    </row>
    <row r="31" spans="2:48" ht="15.5" x14ac:dyDescent="0.35">
      <c r="B31" s="30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43"/>
      <c r="AA31" s="47">
        <f t="shared" si="3"/>
        <v>44167</v>
      </c>
      <c r="AB31" s="49" t="str">
        <f t="shared" ca="1" si="1"/>
        <v>HWST</v>
      </c>
      <c r="AC3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1">
        <f ca="1">SUM($AC$14:AC31)</f>
        <v>1000.0775510204081</v>
      </c>
      <c r="AF31" s="51" t="e">
        <f>IF(AD31="",NA(),SUM($AD$14:AD31))</f>
        <v>#N/A</v>
      </c>
      <c r="AG31" s="51" t="str">
        <f ca="1">WeeklyPlanned(Output_0000[[#Headers],[WP_ABC]], Output_0000[[#This Row],[Date]])</f>
        <v/>
      </c>
      <c r="AH31" s="51"/>
      <c r="AI31" s="51" t="str">
        <f ca="1">WeeklyPlanned(Output_0000[[#Headers],[WP_ACS]], Output_0000[[#This Row],[Date]])</f>
        <v/>
      </c>
      <c r="AJ31" s="51"/>
      <c r="AK31" s="51" t="str">
        <f ca="1">WeeklyPlanned(Output_0000[[#Headers],[WP_AL1]], Output_0000[[#This Row],[Date]])</f>
        <v/>
      </c>
      <c r="AL31" s="51"/>
      <c r="AM31" s="51" t="str">
        <f ca="1">WeeklyPlanned(Output_0000[[#Headers],[WP_HBase]], Output_0000[[#This Row],[Date]])</f>
        <v/>
      </c>
      <c r="AN31" s="51"/>
      <c r="AO31" s="51">
        <f ca="1">WeeklyPlanned(Output_0000[[#Headers],[WP_HWST]], Output_0000[[#This Row],[Date]])</f>
        <v>10.510204081632653</v>
      </c>
      <c r="AP31" s="51"/>
      <c r="AQ31" s="51" t="str">
        <f ca="1">WeeklyPlanned(Output_0000[[#Headers],[WP_HWSR]], Output_0000[[#This Row],[Date]])</f>
        <v/>
      </c>
      <c r="AR31" s="51"/>
      <c r="AS31" s="51" t="str">
        <f ca="1">WeeklyPlanned(Output_0000[[#Headers],[WP_HL2]], Output_0000[[#This Row],[Date]])</f>
        <v/>
      </c>
      <c r="AT31" s="51"/>
      <c r="AU31" s="51" t="str">
        <f ca="1">WeeklyPlanned(Output_0000[[#Headers],[WP_HBCeil]], Output_0000[[#This Row],[Date]])</f>
        <v/>
      </c>
      <c r="AV31" s="51"/>
    </row>
    <row r="32" spans="2:48" ht="15.5" x14ac:dyDescent="0.35">
      <c r="B32" s="30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43"/>
      <c r="AA32" s="47">
        <f t="shared" si="3"/>
        <v>44174</v>
      </c>
      <c r="AB32" s="49" t="str">
        <f t="shared" ca="1" si="1"/>
        <v>HWST</v>
      </c>
      <c r="AC3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1">
        <f ca="1">SUM($AC$14:AC32)</f>
        <v>1010.5877551020408</v>
      </c>
      <c r="AF32" s="51" t="e">
        <f>IF(AD32="",NA(),SUM($AD$14:AD32))</f>
        <v>#N/A</v>
      </c>
      <c r="AG32" s="51" t="str">
        <f ca="1">WeeklyPlanned(Output_0000[[#Headers],[WP_ABC]], Output_0000[[#This Row],[Date]])</f>
        <v/>
      </c>
      <c r="AH32" s="51"/>
      <c r="AI32" s="51" t="str">
        <f ca="1">WeeklyPlanned(Output_0000[[#Headers],[WP_ACS]], Output_0000[[#This Row],[Date]])</f>
        <v/>
      </c>
      <c r="AJ32" s="51"/>
      <c r="AK32" s="51" t="str">
        <f ca="1">WeeklyPlanned(Output_0000[[#Headers],[WP_AL1]], Output_0000[[#This Row],[Date]])</f>
        <v/>
      </c>
      <c r="AL32" s="51"/>
      <c r="AM32" s="51" t="str">
        <f ca="1">WeeklyPlanned(Output_0000[[#Headers],[WP_HBase]], Output_0000[[#This Row],[Date]])</f>
        <v/>
      </c>
      <c r="AN32" s="51"/>
      <c r="AO32" s="51">
        <f ca="1">WeeklyPlanned(Output_0000[[#Headers],[WP_HWST]], Output_0000[[#This Row],[Date]])</f>
        <v>10.510204081632653</v>
      </c>
      <c r="AP32" s="51"/>
      <c r="AQ32" s="51" t="str">
        <f ca="1">WeeklyPlanned(Output_0000[[#Headers],[WP_HWSR]], Output_0000[[#This Row],[Date]])</f>
        <v/>
      </c>
      <c r="AR32" s="51"/>
      <c r="AS32" s="51" t="str">
        <f ca="1">WeeklyPlanned(Output_0000[[#Headers],[WP_HL2]], Output_0000[[#This Row],[Date]])</f>
        <v/>
      </c>
      <c r="AT32" s="51"/>
      <c r="AU32" s="51" t="str">
        <f ca="1">WeeklyPlanned(Output_0000[[#Headers],[WP_HBCeil]], Output_0000[[#This Row],[Date]])</f>
        <v/>
      </c>
      <c r="AV32" s="51"/>
    </row>
    <row r="33" spans="2:48" ht="15.5" x14ac:dyDescent="0.35">
      <c r="B33" s="30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43"/>
      <c r="AA33" s="47">
        <f t="shared" si="3"/>
        <v>44181</v>
      </c>
      <c r="AB33" s="49" t="str">
        <f t="shared" ca="1" si="1"/>
        <v>HWST</v>
      </c>
      <c r="AC3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1">
        <f ca="1">SUM($AC$14:AC33)</f>
        <v>1021.0979591836734</v>
      </c>
      <c r="AF33" s="51" t="e">
        <f>IF(AD33="",NA(),SUM($AD$14:AD33))</f>
        <v>#N/A</v>
      </c>
      <c r="AG33" s="51" t="str">
        <f ca="1">WeeklyPlanned(Output_0000[[#Headers],[WP_ABC]], Output_0000[[#This Row],[Date]])</f>
        <v/>
      </c>
      <c r="AH33" s="51"/>
      <c r="AI33" s="51" t="str">
        <f ca="1">WeeklyPlanned(Output_0000[[#Headers],[WP_ACS]], Output_0000[[#This Row],[Date]])</f>
        <v/>
      </c>
      <c r="AJ33" s="51"/>
      <c r="AK33" s="51" t="str">
        <f ca="1">WeeklyPlanned(Output_0000[[#Headers],[WP_AL1]], Output_0000[[#This Row],[Date]])</f>
        <v/>
      </c>
      <c r="AL33" s="51"/>
      <c r="AM33" s="51" t="str">
        <f ca="1">WeeklyPlanned(Output_0000[[#Headers],[WP_HBase]], Output_0000[[#This Row],[Date]])</f>
        <v/>
      </c>
      <c r="AN33" s="51"/>
      <c r="AO33" s="51">
        <f ca="1">WeeklyPlanned(Output_0000[[#Headers],[WP_HWST]], Output_0000[[#This Row],[Date]])</f>
        <v>10.510204081632653</v>
      </c>
      <c r="AP33" s="51"/>
      <c r="AQ33" s="51" t="str">
        <f ca="1">WeeklyPlanned(Output_0000[[#Headers],[WP_HWSR]], Output_0000[[#This Row],[Date]])</f>
        <v/>
      </c>
      <c r="AR33" s="51"/>
      <c r="AS33" s="51" t="str">
        <f ca="1">WeeklyPlanned(Output_0000[[#Headers],[WP_HL2]], Output_0000[[#This Row],[Date]])</f>
        <v/>
      </c>
      <c r="AT33" s="51"/>
      <c r="AU33" s="51" t="str">
        <f ca="1">WeeklyPlanned(Output_0000[[#Headers],[WP_HBCeil]], Output_0000[[#This Row],[Date]])</f>
        <v/>
      </c>
      <c r="AV33" s="51"/>
    </row>
    <row r="34" spans="2:48" ht="15.5" x14ac:dyDescent="0.35">
      <c r="B34" s="30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43"/>
      <c r="AA34" s="47">
        <f t="shared" si="3"/>
        <v>44188</v>
      </c>
      <c r="AB34" s="49" t="str">
        <f t="shared" ca="1" si="1"/>
        <v>HWST, HWSR</v>
      </c>
      <c r="AC3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1">
        <f ca="1">SUM($AC$14:AC34)</f>
        <v>1036.5333333333333</v>
      </c>
      <c r="AF34" s="51" t="e">
        <f>IF(AD34="",NA(),SUM($AD$14:AD34))</f>
        <v>#N/A</v>
      </c>
      <c r="AG34" s="51" t="str">
        <f ca="1">WeeklyPlanned(Output_0000[[#Headers],[WP_ABC]], Output_0000[[#This Row],[Date]])</f>
        <v/>
      </c>
      <c r="AH34" s="51"/>
      <c r="AI34" s="51" t="str">
        <f ca="1">WeeklyPlanned(Output_0000[[#Headers],[WP_ACS]], Output_0000[[#This Row],[Date]])</f>
        <v/>
      </c>
      <c r="AJ34" s="51"/>
      <c r="AK34" s="51" t="str">
        <f ca="1">WeeklyPlanned(Output_0000[[#Headers],[WP_AL1]], Output_0000[[#This Row],[Date]])</f>
        <v/>
      </c>
      <c r="AL34" s="51"/>
      <c r="AM34" s="51" t="str">
        <f ca="1">WeeklyPlanned(Output_0000[[#Headers],[WP_HBase]], Output_0000[[#This Row],[Date]])</f>
        <v/>
      </c>
      <c r="AN34" s="51"/>
      <c r="AO34" s="51">
        <f ca="1">WeeklyPlanned(Output_0000[[#Headers],[WP_HWST]], Output_0000[[#This Row],[Date]])</f>
        <v>2.1020408163265305</v>
      </c>
      <c r="AP34" s="51"/>
      <c r="AQ34" s="51">
        <f ca="1">WeeklyPlanned(Output_0000[[#Headers],[WP_HWSR]], Output_0000[[#This Row],[Date]])</f>
        <v>13.333333333333334</v>
      </c>
      <c r="AR34" s="51"/>
      <c r="AS34" s="51" t="str">
        <f ca="1">WeeklyPlanned(Output_0000[[#Headers],[WP_HL2]], Output_0000[[#This Row],[Date]])</f>
        <v/>
      </c>
      <c r="AT34" s="51"/>
      <c r="AU34" s="51" t="str">
        <f ca="1">WeeklyPlanned(Output_0000[[#Headers],[WP_HBCeil]], Output_0000[[#This Row],[Date]])</f>
        <v/>
      </c>
      <c r="AV34" s="51"/>
    </row>
    <row r="35" spans="2:48" ht="15.5" x14ac:dyDescent="0.35">
      <c r="B35" s="30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43"/>
      <c r="AA35" s="47">
        <f t="shared" si="3"/>
        <v>44195</v>
      </c>
      <c r="AB35" s="49" t="str">
        <f t="shared" ca="1" si="1"/>
        <v>HWSR</v>
      </c>
      <c r="AC3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1">
        <f ca="1">SUM($AC$14:AC35)</f>
        <v>1049.8666666666666</v>
      </c>
      <c r="AF35" s="51" t="e">
        <f>IF(AD35="",NA(),SUM($AD$14:AD35))</f>
        <v>#N/A</v>
      </c>
      <c r="AG35" s="51" t="str">
        <f ca="1">WeeklyPlanned(Output_0000[[#Headers],[WP_ABC]], Output_0000[[#This Row],[Date]])</f>
        <v/>
      </c>
      <c r="AH35" s="51"/>
      <c r="AI35" s="51" t="str">
        <f ca="1">WeeklyPlanned(Output_0000[[#Headers],[WP_ACS]], Output_0000[[#This Row],[Date]])</f>
        <v/>
      </c>
      <c r="AJ35" s="51"/>
      <c r="AK35" s="51" t="str">
        <f ca="1">WeeklyPlanned(Output_0000[[#Headers],[WP_AL1]], Output_0000[[#This Row],[Date]])</f>
        <v/>
      </c>
      <c r="AL35" s="51"/>
      <c r="AM35" s="51" t="str">
        <f ca="1">WeeklyPlanned(Output_0000[[#Headers],[WP_HBase]], Output_0000[[#This Row],[Date]])</f>
        <v/>
      </c>
      <c r="AN35" s="51"/>
      <c r="AO35" s="51" t="str">
        <f ca="1">WeeklyPlanned(Output_0000[[#Headers],[WP_HWST]], Output_0000[[#This Row],[Date]])</f>
        <v/>
      </c>
      <c r="AP35" s="51"/>
      <c r="AQ35" s="51">
        <f ca="1">WeeklyPlanned(Output_0000[[#Headers],[WP_HWSR]], Output_0000[[#This Row],[Date]])</f>
        <v>13.333333333333334</v>
      </c>
      <c r="AR35" s="51"/>
      <c r="AS35" s="51" t="str">
        <f ca="1">WeeklyPlanned(Output_0000[[#Headers],[WP_HL2]], Output_0000[[#This Row],[Date]])</f>
        <v/>
      </c>
      <c r="AT35" s="51"/>
      <c r="AU35" s="51" t="str">
        <f ca="1">WeeklyPlanned(Output_0000[[#Headers],[WP_HBCeil]], Output_0000[[#This Row],[Date]])</f>
        <v/>
      </c>
      <c r="AV35" s="51"/>
    </row>
    <row r="36" spans="2:48" ht="15.5" x14ac:dyDescent="0.35">
      <c r="B36" s="30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43"/>
      <c r="AA36" s="47">
        <f t="shared" si="3"/>
        <v>44202</v>
      </c>
      <c r="AB36" s="49" t="str">
        <f t="shared" ca="1" si="1"/>
        <v>HWSR</v>
      </c>
      <c r="AC3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1">
        <f ca="1">SUM($AC$14:AC36)</f>
        <v>1053.1999999999998</v>
      </c>
      <c r="AF36" s="51" t="e">
        <f>IF(AD36="",NA(),SUM($AD$14:AD36))</f>
        <v>#N/A</v>
      </c>
      <c r="AG36" s="51" t="str">
        <f ca="1">WeeklyPlanned(Output_0000[[#Headers],[WP_ABC]], Output_0000[[#This Row],[Date]])</f>
        <v/>
      </c>
      <c r="AH36" s="51"/>
      <c r="AI36" s="51" t="str">
        <f ca="1">WeeklyPlanned(Output_0000[[#Headers],[WP_ACS]], Output_0000[[#This Row],[Date]])</f>
        <v/>
      </c>
      <c r="AJ36" s="51"/>
      <c r="AK36" s="51" t="str">
        <f ca="1">WeeklyPlanned(Output_0000[[#Headers],[WP_AL1]], Output_0000[[#This Row],[Date]])</f>
        <v/>
      </c>
      <c r="AL36" s="51"/>
      <c r="AM36" s="51" t="str">
        <f ca="1">WeeklyPlanned(Output_0000[[#Headers],[WP_HBase]], Output_0000[[#This Row],[Date]])</f>
        <v/>
      </c>
      <c r="AN36" s="51"/>
      <c r="AO36" s="51" t="str">
        <f ca="1">WeeklyPlanned(Output_0000[[#Headers],[WP_HWST]], Output_0000[[#This Row],[Date]])</f>
        <v/>
      </c>
      <c r="AP36" s="51"/>
      <c r="AQ36" s="51">
        <f ca="1">WeeklyPlanned(Output_0000[[#Headers],[WP_HWSR]], Output_0000[[#This Row],[Date]])</f>
        <v>3.3333333333333335</v>
      </c>
      <c r="AR36" s="51"/>
      <c r="AS36" s="51" t="str">
        <f ca="1">WeeklyPlanned(Output_0000[[#Headers],[WP_HL2]], Output_0000[[#This Row],[Date]])</f>
        <v/>
      </c>
      <c r="AT36" s="51"/>
      <c r="AU36" s="51" t="str">
        <f ca="1">WeeklyPlanned(Output_0000[[#Headers],[WP_HBCeil]], Output_0000[[#This Row],[Date]])</f>
        <v/>
      </c>
      <c r="AV36" s="51"/>
    </row>
    <row r="37" spans="2:48" ht="15" x14ac:dyDescent="0.3">
      <c r="B37" s="30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43"/>
    </row>
    <row r="38" spans="2:48" ht="15" x14ac:dyDescent="0.3">
      <c r="B38" s="30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43"/>
    </row>
    <row r="39" spans="2:48" ht="15" x14ac:dyDescent="0.3">
      <c r="B39" s="30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43"/>
    </row>
    <row r="40" spans="2:48" ht="15.5" thickBot="1" x14ac:dyDescent="0.35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77" priority="7">
      <formula>ISERROR(AF14)</formula>
    </cfRule>
  </conditionalFormatting>
  <conditionalFormatting sqref="W13:X13">
    <cfRule type="expression" dxfId="76" priority="6">
      <formula>IF(OR($S$8 = "Assemble Addin", $S$8 = "Bluebeam QL"), TRUE, FALSE)</formula>
    </cfRule>
  </conditionalFormatting>
  <conditionalFormatting sqref="N6:O6">
    <cfRule type="expression" dxfId="75" priority="5">
      <formula>IF($N$6=$O$6, FALSE, TRUE)</formula>
    </cfRule>
  </conditionalFormatting>
  <conditionalFormatting sqref="W14:X21">
    <cfRule type="expression" dxfId="74" priority="3">
      <formula>IF(OR($S$8 = "Assemble Addin", $S$8 = "Bluebeam QL"), TRUE, FALSE)</formula>
    </cfRule>
    <cfRule type="expression" dxfId="73" priority="4">
      <formula>IF(OR($S$8 = "Assemble Addin", $S$8 = "Bluebeam QL"), MOD(ROW(), 2)=0, FALSE)</formula>
    </cfRule>
  </conditionalFormatting>
  <conditionalFormatting sqref="R13">
    <cfRule type="expression" dxfId="72" priority="2">
      <formula>IF($S$8 = "Assemble Addin", TRUE, FALSE)</formula>
    </cfRule>
  </conditionalFormatting>
  <conditionalFormatting sqref="R14:R21">
    <cfRule type="expression" dxfId="71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="85" zoomScaleNormal="85" workbookViewId="0">
      <selection activeCell="V27" sqref="V27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2" width="9.453125" style="69" customWidth="1"/>
    <col min="13" max="13" width="12.0898437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49" ht="14.5" thickBot="1" x14ac:dyDescent="0.35">
      <c r="AA1" s="78" t="s">
        <v>80</v>
      </c>
      <c r="AB1" s="79"/>
    </row>
    <row r="2" spans="2:4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3"/>
      <c r="AB2" s="54"/>
    </row>
    <row r="3" spans="2:4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3"/>
      <c r="AB3" s="54"/>
      <c r="AC3" s="64">
        <v>44022.573796296296</v>
      </c>
      <c r="AE3" s="38"/>
      <c r="AF3" s="64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3"/>
      <c r="AB4" s="54"/>
      <c r="AC4" s="64">
        <v>44022.575659722221</v>
      </c>
      <c r="AE4" s="38"/>
      <c r="AF4" s="64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97" t="str">
        <f>Main!C16</f>
        <v>Glassey Steel Works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</row>
    <row r="7" spans="2:49" ht="15.5" thickBot="1" x14ac:dyDescent="0.35">
      <c r="B7" s="21" t="s">
        <v>44</v>
      </c>
      <c r="C7" s="97" t="str">
        <f>RIGHT(Main!B16, LEN(Main!B16) - 4)</f>
        <v>Structural Steel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5"/>
      <c r="AB7" s="56"/>
      <c r="AC7" s="69" t="str">
        <f>TEXT(AC4-AC3, "hh:mm:ss")</f>
        <v>00:02:41</v>
      </c>
    </row>
    <row r="8" spans="2:49" ht="15" x14ac:dyDescent="0.3">
      <c r="B8" s="30"/>
      <c r="C8" s="68"/>
      <c r="D8" s="68"/>
      <c r="E8" s="68"/>
      <c r="F8" s="68"/>
      <c r="G8" s="68"/>
      <c r="H8" s="68"/>
      <c r="I8" s="68"/>
      <c r="J8" s="90" t="str">
        <f>_xlfn.CONCAT("This Week's Production (", IF(ISBLANK($S$6),"",$S$6), ")")</f>
        <v>This Week's Production (Count)</v>
      </c>
      <c r="K8" s="90"/>
      <c r="L8" s="90"/>
      <c r="M8" s="9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8"/>
      <c r="D9" s="68"/>
      <c r="E9" s="68"/>
      <c r="F9" s="68"/>
      <c r="G9" s="68"/>
      <c r="H9" s="68"/>
      <c r="I9" s="68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7"/>
    </row>
    <row r="10" spans="2:49" ht="15" x14ac:dyDescent="0.3">
      <c r="B10" s="30"/>
      <c r="C10" s="68"/>
      <c r="D10" s="68"/>
      <c r="E10" s="68"/>
      <c r="F10" s="68"/>
      <c r="G10" s="68"/>
      <c r="H10" s="68"/>
      <c r="I10" s="68"/>
      <c r="J10" s="90" t="str">
        <f>_xlfn.CONCAT("Average Past 4 Weeks (", IF(ISBLANK($S$6),"",$S$6), ")")</f>
        <v>Average Past 4 Weeks (Count)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5"/>
      <c r="V10" s="85"/>
      <c r="W10" s="85"/>
      <c r="X10" s="85"/>
      <c r="AB10" s="66"/>
      <c r="AC10" s="65"/>
      <c r="AD10" s="63"/>
    </row>
    <row r="11" spans="2:49" ht="15" x14ac:dyDescent="0.3">
      <c r="B11" s="30"/>
      <c r="C11" s="68"/>
      <c r="D11" s="68"/>
      <c r="E11" s="68"/>
      <c r="F11" s="68"/>
      <c r="G11" s="68"/>
      <c r="H11" s="68"/>
      <c r="I11" s="68"/>
      <c r="J11" s="90" t="str">
        <f>_xlfn.CONCAT("On Schedule Average (", IF(ISBLANK($S$6),"",$S$6), ")")</f>
        <v>On Schedule Average (Count)</v>
      </c>
      <c r="K11" s="90"/>
      <c r="L11" s="90"/>
      <c r="M11" s="9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5"/>
      <c r="V11" s="85"/>
      <c r="W11" s="85"/>
      <c r="X11" s="85"/>
      <c r="AC11" s="63"/>
      <c r="AD11" s="63"/>
    </row>
    <row r="12" spans="2:49" ht="15" x14ac:dyDescent="0.3">
      <c r="B12" s="30"/>
      <c r="C12" s="68"/>
      <c r="D12" s="68"/>
      <c r="E12" s="68"/>
      <c r="F12" s="68"/>
      <c r="G12" s="68"/>
      <c r="H12" s="68"/>
      <c r="I12" s="68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68"/>
      <c r="D13" s="68"/>
      <c r="E13" s="68"/>
      <c r="F13" s="68"/>
      <c r="G13" s="68"/>
      <c r="H13" s="68"/>
      <c r="I13" s="68"/>
      <c r="J13" s="80" t="s">
        <v>46</v>
      </c>
      <c r="K13" s="80"/>
      <c r="L13" s="80"/>
      <c r="M13" s="80"/>
      <c r="N13" s="81">
        <f ca="1">IF($O$5&gt;0.999, "Completed", WORKDAY($S$3, ROUNDUP((SUM(Input_0501[Total])-(INDIRECT("AF"&amp;MATCH($S$3, Output_0501[Date],0)+13)))/($O$10/COUNTIF($U$2:$U$8, TRUE)),0), Holidays_Table[Holidays]))</f>
        <v>44285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6"/>
      <c r="N14" s="86"/>
      <c r="O14" s="8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9">
        <v>202</v>
      </c>
      <c r="X14" s="69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8"/>
      <c r="M15" s="88"/>
      <c r="N15" s="88"/>
      <c r="O15" s="8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9">
        <v>102</v>
      </c>
      <c r="X15" s="69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9">
        <v>324</v>
      </c>
      <c r="X16" s="69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59" t="s">
        <v>140</v>
      </c>
      <c r="T17" s="59" t="s">
        <v>95</v>
      </c>
      <c r="U17" s="60">
        <v>44131</v>
      </c>
      <c r="V17" s="60">
        <v>44140</v>
      </c>
      <c r="W17" s="69">
        <v>132</v>
      </c>
      <c r="X17" s="69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59" t="s">
        <v>144</v>
      </c>
      <c r="T18" s="59" t="s">
        <v>96</v>
      </c>
      <c r="U18" s="60">
        <v>44113</v>
      </c>
      <c r="V18" s="60">
        <v>44181</v>
      </c>
      <c r="W18" s="69">
        <v>273</v>
      </c>
      <c r="X18" s="69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R19" s="36"/>
      <c r="S19" s="59" t="s">
        <v>143</v>
      </c>
      <c r="T19" s="59" t="s">
        <v>97</v>
      </c>
      <c r="U19" s="60">
        <v>44182</v>
      </c>
      <c r="V19" s="60">
        <v>44195</v>
      </c>
      <c r="W19" s="69">
        <v>32</v>
      </c>
      <c r="X19" s="69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R20" s="36"/>
      <c r="S20" s="59" t="s">
        <v>142</v>
      </c>
      <c r="T20" s="59" t="s">
        <v>98</v>
      </c>
      <c r="U20" s="60">
        <v>44109</v>
      </c>
      <c r="V20" s="60">
        <v>44127</v>
      </c>
      <c r="W20" s="69">
        <v>250</v>
      </c>
      <c r="X20" s="69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R21" s="36"/>
      <c r="S21" s="59" t="s">
        <v>141</v>
      </c>
      <c r="T21" s="59" t="s">
        <v>99</v>
      </c>
      <c r="U21" s="60">
        <v>44089</v>
      </c>
      <c r="V21" s="60">
        <v>44104</v>
      </c>
      <c r="W21" s="69">
        <v>29</v>
      </c>
      <c r="X21" s="69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38" priority="7">
      <formula>ISERROR(AF14)</formula>
    </cfRule>
  </conditionalFormatting>
  <conditionalFormatting sqref="W13:X13">
    <cfRule type="expression" dxfId="37" priority="6">
      <formula>IF(OR($S$8 = "Assemble Addin", $S$8 = "Bluebeam QL"), TRUE, FALSE)</formula>
    </cfRule>
  </conditionalFormatting>
  <conditionalFormatting sqref="N6:O6">
    <cfRule type="expression" dxfId="36" priority="5">
      <formula>IF($N$6=$O$6, FALSE, TRUE)</formula>
    </cfRule>
  </conditionalFormatting>
  <conditionalFormatting sqref="W14:X21">
    <cfRule type="expression" dxfId="35" priority="3">
      <formula>IF(OR($S$8 = "Assemble Addin", $S$8 = "Bluebeam QL"), TRUE, FALSE)</formula>
    </cfRule>
    <cfRule type="expression" dxfId="34" priority="4">
      <formula>IF(OR($S$8 = "Assemble Addin", $S$8 = "Bluebeam QL"), MOD(ROW(), 2)=0, FALSE)</formula>
    </cfRule>
  </conditionalFormatting>
  <conditionalFormatting sqref="R13">
    <cfRule type="expression" dxfId="33" priority="2">
      <formula>IF($S$8 = "Assemble Addin", TRUE, FALSE)</formula>
    </cfRule>
  </conditionalFormatting>
  <conditionalFormatting sqref="R14:R21">
    <cfRule type="expression" dxfId="32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2020-07-15T00:16:27Z</cp:lastPrinted>
  <dcterms:created xsi:type="dcterms:W3CDTF">2019-04-09T17:53:55Z</dcterms:created>
  <dcterms:modified xsi:type="dcterms:W3CDTF">2020-07-15T15:10:54Z</dcterms:modified>
</cp:coreProperties>
</file>