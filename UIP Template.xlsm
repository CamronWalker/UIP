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7BE41307-4F20-4F20-B615-C9FEEF45937B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5" i="3" l="1"/>
  <c r="AC16" i="3"/>
  <c r="AC17" i="3"/>
  <c r="AC18" i="3"/>
  <c r="AC19" i="3"/>
  <c r="AC20" i="3"/>
  <c r="AC21" i="3"/>
  <c r="AC22" i="3"/>
  <c r="AC23" i="3"/>
  <c r="AC24" i="3"/>
  <c r="AC25" i="3"/>
  <c r="AC26" i="3"/>
  <c r="AC14" i="3"/>
  <c r="AA14" i="3" l="1"/>
  <c r="J11" i="3"/>
  <c r="J10" i="3"/>
  <c r="J9" i="3"/>
  <c r="J8" i="3"/>
  <c r="J7" i="3"/>
  <c r="J6" i="3"/>
  <c r="AA15" i="3" l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N6" i="3" l="1"/>
  <c r="U4" i="3" l="1"/>
  <c r="L14" i="3" s="1"/>
  <c r="S3" i="3"/>
  <c r="B2" i="3" s="1"/>
  <c r="S2" i="3"/>
  <c r="AB14" i="3"/>
  <c r="C7" i="3" l="1"/>
  <c r="C6" i="3"/>
  <c r="C5" i="3"/>
  <c r="C4" i="3"/>
  <c r="N12" i="3"/>
  <c r="O11" i="3"/>
  <c r="O8" i="3"/>
  <c r="N8" i="3"/>
  <c r="O7" i="3"/>
  <c r="N7" i="3"/>
  <c r="N5" i="3" s="1"/>
  <c r="O6" i="3"/>
  <c r="O10" i="3"/>
  <c r="O9" i="3"/>
  <c r="N11" i="3"/>
  <c r="N10" i="3"/>
  <c r="N9" i="3"/>
  <c r="O5" i="3" l="1"/>
  <c r="N13" i="3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<sst xmlns="http://schemas.openxmlformats.org/spreadsheetml/2006/main" count="111" uniqueCount="98">
  <si>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</si>
  <si>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</si>
  <si>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</si>
  <si>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</si>
  <si>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</si>
  <si>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</si>
  <si>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</si>
  <si>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</si>
  <si>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</si>
  <si>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</si>
  <si>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</si>
  <si>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</si>
  <si>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</si>
  <si>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</si>
  <si>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</si>
  <si>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</si>
  <si>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</si>
  <si>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</si>
  <si>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</si>
  <si>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</si>
  <si>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</si>
  <si>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</si>
  <si>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</si>
  <si>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</si>
  <si>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</si>
  <si>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</si>
  <si>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</si>
  <si>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</si>
  <si>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</si>
  <si>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</si>
  <si>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</si>
  <si>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</si>
  <si>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</si>
  <si>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</si>
  <si>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</si>
  <si>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</si>
  <si>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</si>
  <si>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</si>
  <si>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</si>
  <si>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</si>
  <si>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</si>
  <si>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</si>
  <si>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</si>
  <si>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</si>
  <si>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</si>
  <si>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</si>
  <si>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</si>
  <si>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</si>
  <si>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</si>
  <si>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</si>
  <si>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</si>
  <si>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</si>
  <si>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</si>
  <si>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</si>
  <si>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</si>
  <si>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</si>
  <si>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</si>
  <si>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</si>
  <si>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</si>
  <si>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</si>
  <si>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</si>
  <si>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</si>
  <si>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</si>
  <si>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</si>
  <si>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</si>
  <si>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</si>
  <si>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</si>
  <si>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</si>
  <si>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</si>
  <si>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</si>
  <si>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</si>
  <si>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</si>
  <si>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</si>
  <si>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</si>
  <si>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</si>
  <si>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</si>
  <si>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</si>
  <si>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</si>
  <si>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</si>
  <si>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</si>
  <si>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</si>
  <si>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</si>
  <si>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</si>
  <si>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</si>
  <si>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</si>
  <si>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</si>
  <si>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</si>
  <si>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</t>
  </si>
  <si>
    <t xml:space="preserve"> 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</si>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</sst>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7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0" fillId="0" borderId="0" xfId="0" applyFont="1" applyFill="1"/>
  </cellXfs>
  <cellStyles count="3">
    <cellStyle name="Calculation" xfId="2" builtinId="22"/>
    <cellStyle name="Input" xfId="1" builtinId="20"/>
    <cellStyle name="Normal" xfId="0" builtinId="0"/>
  </cellStyles>
  <dxfs count="25">
    <dxf>
      <numFmt numFmtId="0" formatCode="General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45B9289-421B-44A5-AD54-EE7DC8C4F9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13D5CA-DF16-46D2-98F6-43B920460F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2B4B40-E64D-4E85-877A-44C1F02F03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6698F2-59EB-41BD-A439-C6CE8642B2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D8CA13-0664-4B03-B394-D9509789F9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17A511-C93A-4BA8-B8C5-D84CEF8EA9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1641AA-3D59-4E25-9076-41904FF2FD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4A4144-EE08-43D3-A513-15209DB817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1AEB9E-7F12-4B1A-AF03-27D1A4C7A6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287C37-A946-4938-A500-727240E5BB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2408CD-A279-42F3-AE2D-B5395B793F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B0F1A9-E8D3-409D-A593-C04D534606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D9A02F-DDCA-4488-95DA-3297BE8F48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Template!$AC$14:$AC$26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5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Template!$AB$14:$AB$26</c15:f>
                <c15:dlblRangeCache>
                  <c:ptCount val="13"/>
                  <c:pt idx="0">
                    <c:v>A1,A2,A3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Template!$AD$14:$AD$26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Template!$AE$14:$AE$26</c:f>
              <c:numCache>
                <c:formatCode>General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25</c:v>
                </c:pt>
                <c:pt idx="4">
                  <c:v>35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Template!$AF$14:$AF$26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606951</xdr:colOff>
      <xdr:row>0</xdr:row>
      <xdr:rowOff>164658</xdr:rowOff>
    </xdr:from>
    <xdr:to>
      <xdr:col>15</xdr:col>
      <xdr:colOff>1</xdr:colOff>
      <xdr:row>3</xdr:row>
      <xdr:rowOff>25736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309127" y="164658"/>
          <a:ext cx="1529639" cy="41804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 refreshError="1"/>
      <sheetData sheetId="1" refreshError="1"/>
      <sheetData sheetId="2" refreshError="1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4" dataDxfId="23">
  <autoFilter ref="R13:X16" xr:uid="{FF2C9E8B-1A62-479C-AF68-79B236C0B7BB}"/>
  <tableColumns count="7">
    <tableColumn id="1" xr3:uid="{727C6146-39EA-4E15-8783-53CAA87FAF36}" name="Zone ID" dataDxfId="22"/>
    <tableColumn id="2" xr3:uid="{2CA65110-6DD7-46D8-BFC2-5EB0C0E57567}" name="Description" dataDxfId="21"/>
    <tableColumn id="3" xr3:uid="{12D64F80-6A69-494F-BF8F-E326D34A185A}" name="Short Description" dataDxfId="20"/>
    <tableColumn id="4" xr3:uid="{71F3F5B2-8F6B-4985-B1FC-5A9D60095474}" name="Start Date" dataDxfId="19"/>
    <tableColumn id="5" xr3:uid="{57258378-8FED-4727-89AC-D938CB414B7B}" name="Finish Date" dataDxfId="18"/>
    <tableColumn id="6" xr3:uid="{ED4D3C9E-A6C7-420C-BE38-7AA6F80835A2}" name="Total" dataDxfId="17"/>
    <tableColumn id="7" xr3:uid="{AC25D65C-9FB4-4F8A-9A72-57F6F2EC5CEF}" name="Completed Tota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26" totalsRowShown="0" headerRowDxfId="15">
  <autoFilter ref="AA13:AL26" xr:uid="{2EFBB27C-F70F-4E8D-93C9-B9166FB374ED}"/>
  <tableColumns count="12">
    <tableColumn id="1" xr3:uid="{13F9A169-BFE8-4436-A535-BADFC0E7BD6C}" name="Date" dataDxfId="14">
      <calculatedColumnFormula>IF(AA13 = "Date", $S$4, AA13+7)</calculatedColumnFormula>
    </tableColumn>
    <tableColumn id="6" xr3:uid="{5740AC03-CF53-4345-8667-6AC0CA6843D0}" name="Primary Areas" dataDxfId="13"/>
    <tableColumn id="2" xr3:uid="{AF232D3D-EC3F-4232-BA5D-1427173C2D6A}" name="Weekly Plan">
      <calculatedColumnFormula>Output_Template[[#This Row],[WP_A1]]+Output_Template[[#This Row],[WP_A2]]+Output_Template[[#This Row],[WP_A3]]</calculatedColumnFormula>
    </tableColumn>
    <tableColumn id="3" xr3:uid="{B28103F6-7596-4848-9F0D-3E4A9E5CBEFE}" name="Weekly Actual"/>
    <tableColumn id="4" xr3:uid="{EF1C6009-71E6-491B-B64F-04049D2D9103}" name="Accumulated Plan" dataDxfId="12">
      <calculatedColumnFormula>SUM($AC$14:AC14)</calculatedColumnFormula>
    </tableColumn>
    <tableColumn id="5" xr3:uid="{442DAB73-1233-4C61-8DE9-3B44CE2C5D69}" name="Accumulated Actual" dataDxfId="11">
      <calculatedColumnFormula>IF(AD14="",NA(),SUM($S$10:AD14))</calculatedColumnFormula>
    </tableColumn>
    <tableColumn id="7" xr3:uid="{C71B056F-0F1B-418C-9E21-9566BE586102}" name="WP_A1" dataDxfId="8"/>
    <tableColumn id="8" xr3:uid="{BF12EBF7-5588-40A5-9FAE-AD5C3A9F23F6}" name="WA_A1" dataDxfId="7"/>
    <tableColumn id="9" xr3:uid="{4C553480-82CB-423E-BF6D-AB889C019369}" name="WP_A2" dataDxfId="6"/>
    <tableColumn id="10" xr3:uid="{EA9217A5-F82A-4561-A975-8F8B89795CA5}" name="WA_A2" dataDxfId="5"/>
    <tableColumn id="11" xr3:uid="{4CFB5069-7142-4C29-B2F0-47AE101569E4}" name="WP_A3" dataDxfId="4"/>
    <tableColumn id="12" xr3:uid="{2D7F8CE2-B1B5-42DC-BD5F-850AD0CC6F12}" name="WA_A3" dataDxfId="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">
  <autoFilter ref="H2:H5" xr:uid="{1041DC80-58D6-4308-9DE1-A4EC8AAD3C20}"/>
  <tableColumns count="1">
    <tableColumn id="1" xr3:uid="{0E6D3E77-7CB7-40A1-BCA6-DDC8164AAEB9}" name="Holidays" dataDxfId="9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0"/>
  <sheetViews>
    <sheetView tabSelected="1" topLeftCell="U1" zoomScaleNormal="100" workbookViewId="0">
      <selection activeCell="AD30" sqref="AD30"/>
    </sheetView>
  </sheetViews>
  <sheetFormatPr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" style="24" bestFit="1" customWidth="1"/>
    <col min="19" max="19" width="24.7265625" style="8" customWidth="1"/>
    <col min="20" max="20" width="18.5429687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38" width="10.6328125" style="8" customWidth="1"/>
    <col min="39" max="16384" width="8.7265625" style="8"/>
  </cols>
  <sheetData>
    <row r="1" spans="2:39" ht="14.5" thickBot="1" x14ac:dyDescent="0.35"/>
    <row r="2" spans="2:39" x14ac:dyDescent="0.3">
      <c r="B2" s="65" t="str">
        <f>_xlfn.CONCAT("PROGRESS REPORT ", TEXT(S3,"mm/dd/yyyy"))</f>
        <v>PROGRESS REPORT 05/20/2020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7"/>
      <c r="R2" s="24" t="s">
        <v>61</v>
      </c>
      <c r="S2" s="25" t="str">
        <f ca="1">MID(CELL("filename",B1),FIND("]",CELL("filename",B1))+1,LEN(CELL("filename",B1))-FIND("]",CELL("filename",B1)))</f>
        <v>Template</v>
      </c>
      <c r="T2" s="24" t="s">
        <v>64</v>
      </c>
      <c r="U2" s="26" t="s">
        <v>63</v>
      </c>
    </row>
    <row r="3" spans="2:39" x14ac:dyDescent="0.3">
      <c r="B3" s="68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70"/>
      <c r="R3" s="24" t="s">
        <v>18</v>
      </c>
      <c r="S3" s="27">
        <f>Report_Date</f>
        <v>43971</v>
      </c>
      <c r="T3" s="24" t="s">
        <v>65</v>
      </c>
      <c r="U3" s="26" t="s">
        <v>66</v>
      </c>
    </row>
    <row r="4" spans="2:39" ht="15" x14ac:dyDescent="0.3">
      <c r="B4" s="28" t="s">
        <v>50</v>
      </c>
      <c r="C4" s="71" t="str">
        <f>Project_Name</f>
        <v>Westland Super Cool Project</v>
      </c>
      <c r="D4" s="71"/>
      <c r="E4" s="71"/>
      <c r="F4" s="71"/>
      <c r="G4" s="71"/>
      <c r="H4" s="71"/>
      <c r="I4" s="71"/>
      <c r="J4" s="72" t="s">
        <v>51</v>
      </c>
      <c r="K4" s="72"/>
      <c r="L4" s="72"/>
      <c r="M4" s="72"/>
      <c r="N4" s="29" t="s">
        <v>52</v>
      </c>
      <c r="O4" s="30" t="s">
        <v>53</v>
      </c>
      <c r="R4" s="24" t="s">
        <v>62</v>
      </c>
      <c r="S4" s="25"/>
      <c r="T4" s="24" t="s">
        <v>80</v>
      </c>
      <c r="U4" s="31">
        <f>Schedule_Run_Date</f>
        <v>44652</v>
      </c>
    </row>
    <row r="5" spans="2:39" ht="15" x14ac:dyDescent="0.3">
      <c r="B5" s="28" t="s">
        <v>54</v>
      </c>
      <c r="C5" s="71" t="str">
        <f>Project_Number</f>
        <v>S000</v>
      </c>
      <c r="D5" s="71"/>
      <c r="E5" s="71"/>
      <c r="F5" s="71"/>
      <c r="G5" s="71"/>
      <c r="H5" s="71"/>
      <c r="I5" s="71"/>
      <c r="J5" s="64" t="s">
        <v>55</v>
      </c>
      <c r="K5" s="64"/>
      <c r="L5" s="64"/>
      <c r="M5" s="64"/>
      <c r="N5" s="32">
        <f>IF(ISERROR(N7/N6), 0, N7/N6)</f>
        <v>0</v>
      </c>
      <c r="O5" s="33">
        <f>IF(ISERROR(O7/O6), 0, O7/O6)</f>
        <v>0</v>
      </c>
      <c r="R5" s="24" t="s">
        <v>73</v>
      </c>
      <c r="S5" s="34" t="b">
        <v>1</v>
      </c>
    </row>
    <row r="6" spans="2:39" ht="15" x14ac:dyDescent="0.3">
      <c r="B6" s="28" t="s">
        <v>56</v>
      </c>
      <c r="C6" s="71" t="str">
        <f>Main!C12</f>
        <v>XYZ Corp</v>
      </c>
      <c r="D6" s="71"/>
      <c r="E6" s="71"/>
      <c r="F6" s="71"/>
      <c r="G6" s="71"/>
      <c r="H6" s="71"/>
      <c r="I6" s="71"/>
      <c r="J6" s="64" t="str">
        <f>_xlfn.CONCAT("Overall Totals (", IF(ISBLANK($U$3),"",$U$3), ")")</f>
        <v>Overall Totals (SF)</v>
      </c>
      <c r="K6" s="64"/>
      <c r="L6" s="64"/>
      <c r="M6" s="64"/>
      <c r="N6" s="35" t="str">
        <f>$T$4</f>
        <v>Schedule Run Date:</v>
      </c>
      <c r="O6" s="36">
        <f>$V$4</f>
        <v>0</v>
      </c>
      <c r="R6" s="24" t="s">
        <v>74</v>
      </c>
      <c r="S6" s="34" t="b">
        <v>1</v>
      </c>
    </row>
    <row r="7" spans="2:39" ht="15" x14ac:dyDescent="0.3">
      <c r="B7" s="28" t="s">
        <v>57</v>
      </c>
      <c r="C7" s="71" t="str">
        <f>RIGHT(Main!B13, LEN(Main!B13) - 4)</f>
        <v>Foundation Walls</v>
      </c>
      <c r="D7" s="71"/>
      <c r="E7" s="71"/>
      <c r="F7" s="71"/>
      <c r="G7" s="71"/>
      <c r="H7" s="71"/>
      <c r="I7" s="71"/>
      <c r="J7" s="64" t="str">
        <f>_xlfn.CONCAT("Overall Completed Totals (", IF(ISBLANK($U$3),"",$U$3), ")")</f>
        <v>Overall Completed Totals (SF)</v>
      </c>
      <c r="K7" s="64"/>
      <c r="L7" s="64"/>
      <c r="M7" s="64"/>
      <c r="N7" s="35" t="str">
        <f>$T$16</f>
        <v>A3</v>
      </c>
      <c r="O7" s="36">
        <f>$U$16</f>
        <v>0</v>
      </c>
      <c r="R7" s="24" t="s">
        <v>75</v>
      </c>
      <c r="S7" s="34" t="b">
        <v>1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4" t="str">
        <f>_xlfn.CONCAT("This Week's Production (", IF(ISBLANK($U$3),"",$U$3), ")")</f>
        <v>This Week's Production (SF)</v>
      </c>
      <c r="K8" s="64"/>
      <c r="L8" s="64"/>
      <c r="M8" s="64"/>
      <c r="N8" s="35">
        <f>$R$16</f>
        <v>0</v>
      </c>
      <c r="O8" s="36">
        <f>$S$16</f>
        <v>0</v>
      </c>
      <c r="R8" s="24" t="s">
        <v>76</v>
      </c>
      <c r="S8" s="34" t="b">
        <v>1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4" t="str">
        <f>_xlfn.CONCAT("Weekly Average (", IF(ISBLANK($U$3),"",$U$3), ")")</f>
        <v>Weekly Average (SF)</v>
      </c>
      <c r="K9" s="64"/>
      <c r="L9" s="64"/>
      <c r="M9" s="64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  <c r="R9" s="24" t="s">
        <v>77</v>
      </c>
      <c r="S9" s="34" t="b">
        <v>1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4" t="str">
        <f>_xlfn.CONCAT("Average Past 4 Weeks (", IF(ISBLANK($U$3),"",$U$3), ")")</f>
        <v>Average Past 4 Weeks (SF)</v>
      </c>
      <c r="K10" s="64"/>
      <c r="L10" s="64"/>
      <c r="M10" s="64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  <c r="R10" s="24" t="s">
        <v>78</v>
      </c>
      <c r="S10" s="34" t="b">
        <v>0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4" t="str">
        <f>_xlfn.CONCAT("On Schedule Average (", IF(ISBLANK($U$3),"",$U$3), ")")</f>
        <v>On Schedule Average (SF)</v>
      </c>
      <c r="K11" s="64"/>
      <c r="L11" s="64"/>
      <c r="M11" s="64"/>
      <c r="N11" s="39" t="e">
        <f ca="1">AVERAGE(INDIRECT("Main_"&amp;$R$2&amp;"[Weekly Plan]"))</f>
        <v>#REF!</v>
      </c>
      <c r="O11" s="40" t="e">
        <f>IF(($R$5-$R$3)&gt;0,($T$4-$T$5)/(CEILING(($R$5-$R$3),7)/7),"N/A")</f>
        <v>#VALUE!</v>
      </c>
      <c r="R11" s="24" t="s">
        <v>79</v>
      </c>
      <c r="S11" s="34" t="b">
        <v>0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6" t="s">
        <v>58</v>
      </c>
      <c r="K12" s="56"/>
      <c r="L12" s="56"/>
      <c r="M12" s="56"/>
      <c r="N12" s="57" t="str">
        <f>$R$5</f>
        <v>Works Monday:</v>
      </c>
      <c r="O12" s="58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6" t="s">
        <v>59</v>
      </c>
      <c r="K13" s="56"/>
      <c r="L13" s="56"/>
      <c r="M13" s="56"/>
      <c r="N13" s="57" t="e">
        <f ca="1">$R$3+ROUNDUP(($T$4-$T$5)/($O$10/IF($R$7="NO", 5,6)),0)+(TRUNC(ROUNDUP(($T$4-$T$5)/($O$10/IF($R$7="NO", 5,6)),0)/7)*IF($R$7="NO",2,1))</f>
        <v>#VALUE!</v>
      </c>
      <c r="O13" s="59"/>
      <c r="R13" s="41" t="s">
        <v>67</v>
      </c>
      <c r="S13" s="41" t="s">
        <v>51</v>
      </c>
      <c r="T13" s="41" t="s">
        <v>68</v>
      </c>
      <c r="U13" s="41" t="s">
        <v>69</v>
      </c>
      <c r="V13" s="41" t="s">
        <v>70</v>
      </c>
      <c r="W13" s="41" t="s">
        <v>71</v>
      </c>
      <c r="X13" s="41" t="s">
        <v>72</v>
      </c>
      <c r="AA13" t="s">
        <v>81</v>
      </c>
      <c r="AB13" t="s">
        <v>86</v>
      </c>
      <c r="AC13" t="s">
        <v>82</v>
      </c>
      <c r="AD13" t="s">
        <v>83</v>
      </c>
      <c r="AE13" t="s">
        <v>84</v>
      </c>
      <c r="AF13" t="s">
        <v>85</v>
      </c>
      <c r="AG13" s="77" t="s">
        <v>92</v>
      </c>
      <c r="AH13" s="77" t="s">
        <v>94</v>
      </c>
      <c r="AI13" s="77" t="s">
        <v>93</v>
      </c>
      <c r="AJ13" s="77" t="s">
        <v>95</v>
      </c>
      <c r="AK13" s="77" t="s">
        <v>96</v>
      </c>
      <c r="AL13" s="77" t="s">
        <v>97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0" t="str">
        <f>_xlfn.CONCAT("Values were calculated using the attached takeoff sheets and Westland's project schedule with a run date of ", TEXT($U$4, "mm/dd/yyyy"), ".")</f>
        <v>Values were calculated using the attached takeoff sheets and Westland's project schedule with a run date of 04/01/2022.</v>
      </c>
      <c r="M14" s="60"/>
      <c r="N14" s="60"/>
      <c r="O14" s="61"/>
      <c r="R14" s="43" t="s">
        <v>88</v>
      </c>
      <c r="S14" s="44"/>
      <c r="T14" s="44" t="s">
        <v>89</v>
      </c>
      <c r="U14" s="45"/>
      <c r="V14" s="45"/>
      <c r="AA14" s="54">
        <f>IF(AA13 = "Date", $S$4, AA13+7)</f>
        <v>0</v>
      </c>
      <c r="AB14" t="str">
        <f ca="1">PrimaryAreas(3)</f>
        <v>A1,A2,A3</v>
      </c>
      <c r="AC14">
        <f>Output_Template[[#This Row],[WP_A1]]+Output_Template[[#This Row],[WP_A2]]+Output_Template[[#This Row],[WP_A3]]</f>
        <v>5</v>
      </c>
      <c r="AD14"/>
      <c r="AE14">
        <f>SUM($AC$14:AC14)</f>
        <v>5</v>
      </c>
      <c r="AF14" t="e">
        <f>IF(AD14="",NA(),SUM($S$10:AD14))</f>
        <v>#N/A</v>
      </c>
      <c r="AG14" s="19">
        <v>5</v>
      </c>
      <c r="AH14" s="19"/>
      <c r="AI14" s="19"/>
      <c r="AJ14" s="19"/>
      <c r="AK14" s="19"/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2"/>
      <c r="M15" s="62"/>
      <c r="N15" s="62"/>
      <c r="O15" s="63"/>
      <c r="R15" s="43"/>
      <c r="S15" s="44"/>
      <c r="T15" s="44" t="s">
        <v>90</v>
      </c>
      <c r="U15" s="45"/>
      <c r="V15" s="45"/>
      <c r="AA15" s="54">
        <f t="shared" ref="AA15:AA26" si="0">IF(AA14 = "Date", $S$4, AA14+7)</f>
        <v>7</v>
      </c>
      <c r="AB15" t="s">
        <v>87</v>
      </c>
      <c r="AC15">
        <f>Output_Template[[#This Row],[WP_A1]]+Output_Template[[#This Row],[WP_A2]]+Output_Template[[#This Row],[WP_A3]]</f>
        <v>5</v>
      </c>
      <c r="AD15"/>
      <c r="AE15">
        <f>SUM($AC$14:AC15)</f>
        <v>10</v>
      </c>
      <c r="AF15" t="e">
        <f>IF(AD15="",NA(),SUM($S$10:AD15))</f>
        <v>#N/A</v>
      </c>
      <c r="AG15" s="19">
        <v>5</v>
      </c>
      <c r="AH15" s="19"/>
      <c r="AI15" s="19"/>
      <c r="AJ15" s="19"/>
      <c r="AK15" s="19"/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/>
      <c r="T16" s="44" t="s">
        <v>91</v>
      </c>
      <c r="U16" s="45"/>
      <c r="V16" s="45"/>
      <c r="AA16" s="54">
        <f t="shared" si="0"/>
        <v>14</v>
      </c>
      <c r="AB16" t="s">
        <v>87</v>
      </c>
      <c r="AC16">
        <f>Output_Template[[#This Row],[WP_A1]]+Output_Template[[#This Row],[WP_A2]]+Output_Template[[#This Row],[WP_A3]]</f>
        <v>5</v>
      </c>
      <c r="AD16"/>
      <c r="AE16">
        <f>SUM($AC$14:AC16)</f>
        <v>15</v>
      </c>
      <c r="AF16" t="e">
        <f>IF(AD16="",NA(),SUM($S$10:AD16))</f>
        <v>#N/A</v>
      </c>
      <c r="AG16" s="19">
        <v>5</v>
      </c>
      <c r="AH16" s="19"/>
      <c r="AI16" s="19"/>
      <c r="AJ16" s="19"/>
      <c r="AK16" s="19"/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21</v>
      </c>
      <c r="AB17" t="s">
        <v>87</v>
      </c>
      <c r="AC17">
        <f>Output_Template[[#This Row],[WP_A1]]+Output_Template[[#This Row],[WP_A2]]+Output_Template[[#This Row],[WP_A3]]</f>
        <v>10</v>
      </c>
      <c r="AD17"/>
      <c r="AE17">
        <f>SUM($AC$14:AC17)</f>
        <v>25</v>
      </c>
      <c r="AF17" t="e">
        <f>IF(AD17="",NA(),SUM($S$10:AD17))</f>
        <v>#N/A</v>
      </c>
      <c r="AG17" s="19">
        <v>5</v>
      </c>
      <c r="AH17" s="19"/>
      <c r="AI17" s="19">
        <v>5</v>
      </c>
      <c r="AJ17" s="19"/>
      <c r="AK17" s="19"/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28</v>
      </c>
      <c r="AB18" t="s">
        <v>87</v>
      </c>
      <c r="AC18">
        <f>Output_Template[[#This Row],[WP_A1]]+Output_Template[[#This Row],[WP_A2]]+Output_Template[[#This Row],[WP_A3]]</f>
        <v>10</v>
      </c>
      <c r="AD18"/>
      <c r="AE18">
        <f>SUM($AC$14:AC18)</f>
        <v>35</v>
      </c>
      <c r="AF18" t="e">
        <f>IF(AD18="",NA(),SUM($S$10:AD18))</f>
        <v>#N/A</v>
      </c>
      <c r="AG18" s="19">
        <v>5</v>
      </c>
      <c r="AH18" s="19"/>
      <c r="AI18" s="19">
        <v>5</v>
      </c>
      <c r="AJ18" s="19"/>
      <c r="AK18" s="19"/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35</v>
      </c>
      <c r="AB19" t="s">
        <v>87</v>
      </c>
      <c r="AC19">
        <f>Output_Template[[#This Row],[WP_A1]]+Output_Template[[#This Row],[WP_A2]]+Output_Template[[#This Row],[WP_A3]]</f>
        <v>5</v>
      </c>
      <c r="AD19"/>
      <c r="AE19">
        <f>SUM($AC$14:AC19)</f>
        <v>40</v>
      </c>
      <c r="AF19" t="e">
        <f>IF(AD19="",NA(),SUM($S$10:AD19))</f>
        <v>#N/A</v>
      </c>
      <c r="AG19" s="19"/>
      <c r="AH19" s="19"/>
      <c r="AI19" s="19">
        <v>5</v>
      </c>
      <c r="AJ19" s="19"/>
      <c r="AK19" s="19"/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42</v>
      </c>
      <c r="AB20" t="s">
        <v>87</v>
      </c>
      <c r="AC20">
        <f>Output_Template[[#This Row],[WP_A1]]+Output_Template[[#This Row],[WP_A2]]+Output_Template[[#This Row],[WP_A3]]</f>
        <v>10</v>
      </c>
      <c r="AD20"/>
      <c r="AE20">
        <f>SUM($AC$14:AC20)</f>
        <v>50</v>
      </c>
      <c r="AF20" t="e">
        <f>IF(AD20="",NA(),SUM($S$10:AD20))</f>
        <v>#N/A</v>
      </c>
      <c r="AG20" s="19"/>
      <c r="AH20" s="19"/>
      <c r="AI20" s="19">
        <v>5</v>
      </c>
      <c r="AJ20" s="19"/>
      <c r="AK20" s="19">
        <v>5</v>
      </c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49</v>
      </c>
      <c r="AB21" t="s">
        <v>87</v>
      </c>
      <c r="AC21">
        <f>Output_Template[[#This Row],[WP_A1]]+Output_Template[[#This Row],[WP_A2]]+Output_Template[[#This Row],[WP_A3]]</f>
        <v>10</v>
      </c>
      <c r="AD21"/>
      <c r="AE21">
        <f>SUM($AC$14:AC21)</f>
        <v>60</v>
      </c>
      <c r="AF21" t="e">
        <f>IF(AD21="",NA(),SUM($S$10:AD21))</f>
        <v>#N/A</v>
      </c>
      <c r="AG21" s="19"/>
      <c r="AH21" s="19"/>
      <c r="AI21" s="19">
        <v>5</v>
      </c>
      <c r="AJ21" s="19"/>
      <c r="AK21" s="19">
        <v>5</v>
      </c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56</v>
      </c>
      <c r="AB22" t="s">
        <v>87</v>
      </c>
      <c r="AC22">
        <f>Output_Template[[#This Row],[WP_A1]]+Output_Template[[#This Row],[WP_A2]]+Output_Template[[#This Row],[WP_A3]]</f>
        <v>5</v>
      </c>
      <c r="AD22"/>
      <c r="AE22">
        <f>SUM($AC$14:AC22)</f>
        <v>65</v>
      </c>
      <c r="AF22" t="e">
        <f>IF(AD22="",NA(),SUM($S$10:AD22))</f>
        <v>#N/A</v>
      </c>
      <c r="AG22" s="19"/>
      <c r="AH22" s="19"/>
      <c r="AI22" s="19"/>
      <c r="AJ22" s="19"/>
      <c r="AK22" s="19">
        <v>5</v>
      </c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63</v>
      </c>
      <c r="AB23" t="s">
        <v>87</v>
      </c>
      <c r="AC23">
        <f>Output_Template[[#This Row],[WP_A1]]+Output_Template[[#This Row],[WP_A2]]+Output_Template[[#This Row],[WP_A3]]</f>
        <v>5</v>
      </c>
      <c r="AD23"/>
      <c r="AE23">
        <f>SUM($AC$14:AC23)</f>
        <v>70</v>
      </c>
      <c r="AF23" t="e">
        <f>IF(AD23="",NA(),SUM($S$10:AD23))</f>
        <v>#N/A</v>
      </c>
      <c r="AG23" s="19"/>
      <c r="AH23" s="19"/>
      <c r="AI23" s="19"/>
      <c r="AJ23" s="19"/>
      <c r="AK23" s="19">
        <v>5</v>
      </c>
      <c r="AL23" s="19"/>
    </row>
    <row r="24" spans="2:38" ht="15.5" x14ac:dyDescent="0.35">
      <c r="B24" s="37"/>
      <c r="C24" s="38" t="s">
        <v>60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70</v>
      </c>
      <c r="AB24" t="s">
        <v>87</v>
      </c>
      <c r="AC24">
        <f>Output_Template[[#This Row],[WP_A1]]+Output_Template[[#This Row],[WP_A2]]+Output_Template[[#This Row],[WP_A3]]</f>
        <v>5</v>
      </c>
      <c r="AD24"/>
      <c r="AE24">
        <f>SUM($AC$14:AC24)</f>
        <v>75</v>
      </c>
      <c r="AF24" t="e">
        <f>IF(AD24="",NA(),SUM($S$10:AD24))</f>
        <v>#N/A</v>
      </c>
      <c r="AG24" s="19"/>
      <c r="AH24" s="19"/>
      <c r="AI24" s="19"/>
      <c r="AJ24" s="19"/>
      <c r="AK24" s="19">
        <v>5</v>
      </c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77</v>
      </c>
      <c r="AB25" t="s">
        <v>87</v>
      </c>
      <c r="AC25">
        <f>Output_Template[[#This Row],[WP_A1]]+Output_Template[[#This Row],[WP_A2]]+Output_Template[[#This Row],[WP_A3]]</f>
        <v>5</v>
      </c>
      <c r="AD25"/>
      <c r="AE25">
        <f>SUM($AC$14:AC25)</f>
        <v>80</v>
      </c>
      <c r="AF25" t="e">
        <f>IF(AD25="",NA(),SUM($S$10:AD25))</f>
        <v>#N/A</v>
      </c>
      <c r="AG25" s="19"/>
      <c r="AH25" s="19"/>
      <c r="AI25" s="19"/>
      <c r="AJ25" s="19"/>
      <c r="AK25" s="19">
        <v>5</v>
      </c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AA26" s="54">
        <f t="shared" si="0"/>
        <v>84</v>
      </c>
      <c r="AB26" t="s">
        <v>87</v>
      </c>
      <c r="AC26">
        <f>Output_Template[[#This Row],[WP_A1]]+Output_Template[[#This Row],[WP_A2]]+Output_Template[[#This Row],[WP_A3]]</f>
        <v>10</v>
      </c>
      <c r="AD26"/>
      <c r="AE26">
        <f>SUM($AC$14:AC26)</f>
        <v>90</v>
      </c>
      <c r="AF26" t="e">
        <f>IF(AD26="",NA(),SUM($S$10:AD26))</f>
        <v>#N/A</v>
      </c>
      <c r="AG26" s="19"/>
      <c r="AH26" s="19"/>
      <c r="AI26" s="19">
        <v>5</v>
      </c>
      <c r="AJ26" s="19"/>
      <c r="AK26" s="19">
        <v>5</v>
      </c>
      <c r="AL26" s="19"/>
    </row>
    <row r="27" spans="2:38" ht="15" x14ac:dyDescent="0.3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</row>
    <row r="28" spans="2:38" ht="15" x14ac:dyDescent="0.3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</row>
    <row r="29" spans="2:38" ht="15" x14ac:dyDescent="0.3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</row>
    <row r="30" spans="2:38" ht="15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</row>
    <row r="31" spans="2:38" ht="15" x14ac:dyDescent="0.3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</row>
    <row r="32" spans="2:38" ht="15" x14ac:dyDescent="0.3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</row>
    <row r="33" spans="2:15" ht="15" x14ac:dyDescent="0.3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</row>
    <row r="34" spans="2:15" ht="15" x14ac:dyDescent="0.3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</row>
    <row r="35" spans="2:15" ht="15" x14ac:dyDescent="0.3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</row>
    <row r="36" spans="2:15" ht="15" x14ac:dyDescent="0.3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</row>
    <row r="37" spans="2:15" ht="15" x14ac:dyDescent="0.3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</row>
    <row r="38" spans="2:15" ht="15" x14ac:dyDescent="0.3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</row>
    <row r="39" spans="2:15" ht="15" x14ac:dyDescent="0.3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</row>
    <row r="40" spans="2:15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26">
    <cfRule type="containsErrors" dxfId="3" priority="1">
      <formula>ISERROR(AF14)</formula>
    </cfRule>
  </conditionalFormatting>
  <dataValidations count="2">
    <dataValidation type="list" showInputMessage="1" showErrorMessage="1" sqref="U2" xr:uid="{87A05692-0E71-429C-8F5D-6A6BF79ADEFF}">
      <formula1>"Manual, Assemble Addin, Bluebeam QL"</formula1>
    </dataValidation>
    <dataValidation type="list" showInputMessage="1" showErrorMessage="1" sqref="S5:S11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3" t="s">
        <v>5</v>
      </c>
      <c r="F1" s="73"/>
      <c r="H1" s="2" t="s">
        <v>9</v>
      </c>
      <c r="K1" s="5" t="s">
        <v>12</v>
      </c>
      <c r="L1" s="5" t="s">
        <v>17</v>
      </c>
    </row>
    <row r="2" spans="2:12" ht="15.5" x14ac:dyDescent="0.35">
      <c r="B2" s="74" t="s">
        <v>6</v>
      </c>
      <c r="C2" s="74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22</v>
      </c>
      <c r="C8" s="4" t="s">
        <v>24</v>
      </c>
      <c r="H8" s="1"/>
    </row>
    <row r="9" spans="2:12" x14ac:dyDescent="0.35">
      <c r="B9" t="s">
        <v>23</v>
      </c>
      <c r="C9" s="4" t="s">
        <v>25</v>
      </c>
      <c r="H9" s="1"/>
    </row>
    <row r="10" spans="2:12" x14ac:dyDescent="0.35">
      <c r="B10" t="s">
        <v>27</v>
      </c>
      <c r="C10" s="4" t="s">
        <v>26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6" t="str">
        <f>"PROGRESS REPORT "&amp; TEXT(Report_Date, "mm/dd/yyy")</f>
        <v>PROGRESS REPORT 05/20/2020</v>
      </c>
      <c r="C2" s="76"/>
      <c r="D2" s="76"/>
      <c r="E2" s="76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37</v>
      </c>
      <c r="H7" s="15" t="s">
        <v>21</v>
      </c>
    </row>
    <row r="8" spans="2:11" x14ac:dyDescent="0.35">
      <c r="B8" s="8" t="str">
        <f>"Superintendent(s):  " &amp; Superintendent</f>
        <v>Superintendent(s):  Default 3</v>
      </c>
      <c r="G8" s="20" t="s">
        <v>40</v>
      </c>
      <c r="H8" s="16">
        <v>0.06</v>
      </c>
    </row>
    <row r="9" spans="2:11" ht="10" customHeight="1" x14ac:dyDescent="0.35"/>
    <row r="10" spans="2:11" ht="16.5" x14ac:dyDescent="0.35">
      <c r="B10" s="11" t="s">
        <v>28</v>
      </c>
      <c r="C10" s="11" t="s">
        <v>29</v>
      </c>
      <c r="D10" s="12" t="s">
        <v>30</v>
      </c>
      <c r="E10" s="12" t="s">
        <v>31</v>
      </c>
      <c r="F10" s="21"/>
      <c r="G10" s="21" t="s">
        <v>47</v>
      </c>
      <c r="H10" s="18" t="s">
        <v>43</v>
      </c>
      <c r="I10" s="12" t="s">
        <v>46</v>
      </c>
      <c r="J10" s="12" t="s">
        <v>45</v>
      </c>
    </row>
    <row r="11" spans="2:11" ht="15" x14ac:dyDescent="0.35">
      <c r="B11" s="75" t="s">
        <v>32</v>
      </c>
      <c r="C11" s="75"/>
      <c r="D11" s="75"/>
      <c r="E11" s="75"/>
      <c r="F11" s="23"/>
      <c r="G11" s="23"/>
      <c r="H11" s="23"/>
      <c r="I11" s="23"/>
      <c r="J11" s="23"/>
      <c r="K11" t="s">
        <v>49</v>
      </c>
    </row>
    <row r="12" spans="2:11" x14ac:dyDescent="0.35">
      <c r="B12" s="9" t="s">
        <v>41</v>
      </c>
      <c r="C12" s="8" t="s">
        <v>38</v>
      </c>
      <c r="D12" s="10">
        <v>0.5</v>
      </c>
      <c r="E12" s="10">
        <v>0.45</v>
      </c>
      <c r="G12" s="22"/>
      <c r="H12" s="17" t="s">
        <v>44</v>
      </c>
    </row>
    <row r="13" spans="2:11" x14ac:dyDescent="0.35">
      <c r="B13" s="9" t="s">
        <v>42</v>
      </c>
      <c r="C13" s="8" t="s">
        <v>39</v>
      </c>
      <c r="D13" s="10">
        <v>0.34</v>
      </c>
      <c r="E13" s="10">
        <v>0.4</v>
      </c>
      <c r="G13" s="1"/>
      <c r="H13" s="17" t="s">
        <v>48</v>
      </c>
    </row>
    <row r="14" spans="2:11" x14ac:dyDescent="0.35">
      <c r="B14" s="13"/>
      <c r="G14" s="1"/>
      <c r="H14" s="17"/>
    </row>
    <row r="15" spans="2:11" ht="15" x14ac:dyDescent="0.35">
      <c r="B15" s="75" t="s">
        <v>33</v>
      </c>
      <c r="C15" s="75"/>
      <c r="D15" s="75"/>
      <c r="E15" s="75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5" t="s">
        <v>34</v>
      </c>
      <c r="C18" s="75"/>
      <c r="D18" s="75"/>
      <c r="E18" s="75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5" t="s">
        <v>35</v>
      </c>
      <c r="C21" s="75"/>
      <c r="D21" s="75"/>
      <c r="E21" s="75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5" t="s">
        <v>36</v>
      </c>
      <c r="C24" s="75"/>
      <c r="D24" s="75"/>
      <c r="E24" s="75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2" priority="1">
      <formula>IF(ISBLANK($D12), FALSE, IF(RedGreen_Formatting = "Enabled", $D12 &lt;= $E12 + Percent_Error, FALSE))</formula>
    </cfRule>
    <cfRule type="expression" dxfId="1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2020-05-18T15:27:58Z</cp:lastPrinted>
  <dcterms:created xsi:type="dcterms:W3CDTF">2019-04-09T17:53:55Z</dcterms:created>
  <dcterms:modified xsi:type="dcterms:W3CDTF">2020-05-19T18:18:14Z</dcterms:modified>
</cp:coreProperties>
</file>