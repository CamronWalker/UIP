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730F6470-9332-458B-ADBE-61F7B66360EC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43" i="3" l="1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F15" i="3" s="1"/>
  <c r="AD14" i="3"/>
  <c r="AF14" i="3" s="1"/>
  <c r="AF24" i="3" l="1"/>
  <c r="AF23" i="3"/>
  <c r="S5" i="3"/>
  <c r="S4" i="3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O9" i="3"/>
  <c r="N6" i="3"/>
  <c r="N12" i="3"/>
  <c r="O10" i="3"/>
  <c r="AG15" i="3"/>
  <c r="AK15" i="3"/>
  <c r="AI15" i="3"/>
  <c r="AB14" i="3"/>
  <c r="AB15" i="3"/>
  <c r="AC15" i="3" l="1"/>
  <c r="AA16" i="3"/>
  <c r="AE14" i="3"/>
  <c r="B2" i="3"/>
  <c r="C7" i="3"/>
  <c r="C6" i="3"/>
  <c r="C5" i="3"/>
  <c r="C4" i="3"/>
  <c r="AI16" i="3"/>
  <c r="AG16" i="3"/>
  <c r="AK16" i="3"/>
  <c r="AE15" i="3" l="1"/>
  <c r="AC16" i="3"/>
  <c r="AA17" i="3"/>
  <c r="AB16" i="3"/>
  <c r="AI17" i="3"/>
  <c r="AK17" i="3"/>
  <c r="AG17" i="3"/>
  <c r="AB17" i="3"/>
  <c r="AC17" i="3" l="1"/>
  <c r="AA18" i="3"/>
  <c r="AE16" i="3"/>
  <c r="B8" i="2"/>
  <c r="B7" i="2"/>
  <c r="B6" i="2"/>
  <c r="AG18" i="3"/>
  <c r="AI18" i="3"/>
  <c r="AK18" i="3"/>
  <c r="AE17" i="3" l="1"/>
  <c r="AC18" i="3"/>
  <c r="AA19" i="3"/>
  <c r="B2" i="2"/>
  <c r="B4" i="2"/>
  <c r="AG19" i="3"/>
  <c r="AI19" i="3"/>
  <c r="AK19" i="3"/>
  <c r="AB18" i="3"/>
  <c r="AC19" i="3" l="1"/>
  <c r="AA20" i="3"/>
  <c r="AE18" i="3"/>
  <c r="C6" i="1"/>
  <c r="AG20" i="3"/>
  <c r="AK20" i="3"/>
  <c r="AI20" i="3"/>
  <c r="AB19" i="3"/>
  <c r="AE19" i="3" l="1"/>
  <c r="AC20" i="3"/>
  <c r="AA21" i="3"/>
  <c r="AG21" i="3"/>
  <c r="AI21" i="3"/>
  <c r="AB20" i="3"/>
  <c r="AK21" i="3"/>
  <c r="AC21" i="3" l="1"/>
  <c r="AA22" i="3"/>
  <c r="AE20" i="3"/>
  <c r="AB21" i="3"/>
  <c r="AK22" i="3"/>
  <c r="AG22" i="3"/>
  <c r="AI22" i="3"/>
  <c r="AE21" i="3" l="1"/>
  <c r="AC22" i="3"/>
  <c r="AA23" i="3"/>
  <c r="AG23" i="3"/>
  <c r="O8" i="3"/>
  <c r="O7" i="3"/>
  <c r="AB22" i="3"/>
  <c r="AI23" i="3"/>
  <c r="AK23" i="3"/>
  <c r="AB23" i="3" s="1"/>
  <c r="AC23" i="3" l="1"/>
  <c r="AA24" i="3"/>
  <c r="AE22" i="3"/>
  <c r="AK24" i="3"/>
  <c r="AG24" i="3"/>
  <c r="AI24" i="3"/>
  <c r="AB24" i="3" s="1"/>
  <c r="AE23" i="3" l="1"/>
  <c r="AC24" i="3"/>
  <c r="AA25" i="3"/>
  <c r="AG25" i="3"/>
  <c r="AI25" i="3"/>
  <c r="AK25" i="3"/>
  <c r="AB25" i="3" s="1"/>
  <c r="AE24" i="3" l="1"/>
  <c r="AC25" i="3"/>
  <c r="AA26" i="3"/>
  <c r="AG26" i="3"/>
  <c r="AI26" i="3"/>
  <c r="AK26" i="3"/>
  <c r="AE25" i="3" l="1"/>
  <c r="AC26" i="3"/>
  <c r="AA27" i="3"/>
  <c r="AK27" i="3"/>
  <c r="AB26" i="3"/>
  <c r="AI27" i="3"/>
  <c r="AG27" i="3"/>
  <c r="AE26" i="3" l="1"/>
  <c r="AC27" i="3"/>
  <c r="AA28" i="3"/>
  <c r="AB27" i="3"/>
  <c r="AI28" i="3"/>
  <c r="AG28" i="3"/>
  <c r="AK28" i="3"/>
  <c r="AE27" i="3" l="1"/>
  <c r="AC28" i="3"/>
  <c r="AA29" i="3"/>
  <c r="AB28" i="3"/>
  <c r="AI29" i="3"/>
  <c r="AK29" i="3"/>
  <c r="AG29" i="3"/>
  <c r="AB29" i="3" s="1"/>
  <c r="AE28" i="3" l="1"/>
  <c r="AC29" i="3"/>
  <c r="AA30" i="3"/>
  <c r="N8" i="3"/>
  <c r="N10" i="3"/>
  <c r="AK30" i="3"/>
  <c r="AI30" i="3"/>
  <c r="AG30" i="3"/>
  <c r="AE29" i="3" l="1"/>
  <c r="AC30" i="3"/>
  <c r="AA31" i="3"/>
  <c r="N7" i="3"/>
  <c r="AK31" i="3"/>
  <c r="AB30" i="3"/>
  <c r="AG31" i="3"/>
  <c r="AI31" i="3"/>
  <c r="AE30" i="3" l="1"/>
  <c r="N5" i="3"/>
  <c r="AC31" i="3"/>
  <c r="AA32" i="3"/>
  <c r="AK32" i="3"/>
  <c r="AB31" i="3"/>
  <c r="AG32" i="3"/>
  <c r="AI32" i="3"/>
  <c r="AE31" i="3" l="1"/>
  <c r="AC32" i="3"/>
  <c r="AA33" i="3"/>
  <c r="AB32" i="3"/>
  <c r="AI33" i="3"/>
  <c r="AG33" i="3"/>
  <c r="AK33" i="3"/>
  <c r="AE32" i="3" l="1"/>
  <c r="AC33" i="3"/>
  <c r="AA34" i="3"/>
  <c r="AB33" i="3"/>
  <c r="AI34" i="3"/>
  <c r="AG34" i="3"/>
  <c r="AK34" i="3"/>
  <c r="AE33" i="3" l="1"/>
  <c r="AC34" i="3"/>
  <c r="AA35" i="3"/>
  <c r="AG35" i="3"/>
  <c r="AB34" i="3"/>
  <c r="AK35" i="3"/>
  <c r="AI35" i="3"/>
  <c r="AB35" i="3" s="1"/>
  <c r="AE34" i="3" l="1"/>
  <c r="AC35" i="3"/>
  <c r="AA36" i="3"/>
  <c r="AK36" i="3"/>
  <c r="AI36" i="3"/>
  <c r="AG36" i="3"/>
  <c r="AB36" i="3" s="1"/>
  <c r="AE35" i="3" l="1"/>
  <c r="AC36" i="3"/>
  <c r="AA37" i="3"/>
  <c r="AG37" i="3"/>
  <c r="AI37" i="3"/>
  <c r="AK37" i="3"/>
  <c r="AE36" i="3" l="1"/>
  <c r="AC37" i="3"/>
  <c r="AA38" i="3"/>
  <c r="AK38" i="3"/>
  <c r="AB37" i="3"/>
  <c r="AI38" i="3"/>
  <c r="AG38" i="3"/>
  <c r="AE37" i="3" l="1"/>
  <c r="AC38" i="3"/>
  <c r="AA39" i="3"/>
  <c r="AI39" i="3"/>
  <c r="AB38" i="3"/>
  <c r="AG39" i="3"/>
  <c r="AK39" i="3"/>
  <c r="AE38" i="3" l="1"/>
  <c r="AC39" i="3"/>
  <c r="AA40" i="3"/>
  <c r="AB39" i="3"/>
  <c r="AI40" i="3"/>
  <c r="AG40" i="3"/>
  <c r="AK40" i="3"/>
  <c r="AE39" i="3" l="1"/>
  <c r="AC40" i="3"/>
  <c r="AA41" i="3"/>
  <c r="AB40" i="3"/>
  <c r="AK41" i="3"/>
  <c r="AI41" i="3"/>
  <c r="AG41" i="3"/>
  <c r="AB41" i="3"/>
  <c r="AE40" i="3" l="1"/>
  <c r="AC41" i="3"/>
  <c r="AA42" i="3"/>
  <c r="AK42" i="3"/>
  <c r="AG42" i="3"/>
  <c r="AI42" i="3"/>
  <c r="AE41" i="3" l="1"/>
  <c r="AC42" i="3"/>
  <c r="AA43" i="3"/>
  <c r="AI43" i="3"/>
  <c r="AB42" i="3"/>
  <c r="AK43" i="3"/>
  <c r="AG43" i="3"/>
  <c r="AE42" i="3" l="1"/>
  <c r="AC43" i="3"/>
  <c r="N9" i="3"/>
  <c r="O6" i="3"/>
  <c r="AB43" i="3"/>
  <c r="AE43" i="3" l="1"/>
  <c r="O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<sst xmlns="http://schemas.openxmlformats.org/spreadsheetml/2006/main" count="102" uniqueCount="100">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</sst>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35"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5" tint="0.59996337778862885"/>
        </patternFill>
      </fill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76267A7-6419-42FE-9672-6D9ADFA953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6FB26B-541B-4235-B3FF-8C494F4FE1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0A4E8B-C27E-4851-81B3-DE98F9A5A7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29FE89-7249-43C9-AA2E-D0D2A2FF87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15C307-5E5C-4F64-94C8-4966C913A6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22BAB5-69C1-4312-A479-60C0EACDE0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05B06A-CAFB-4F92-8527-90D6D6F62C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F5A720-C045-45F1-BF5C-D4A8F62C10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6FD626-7A3A-4A18-B33E-F5BE1191F9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76E9F9-AF2B-4EDE-B14C-710B0FBFFD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732ADB-7CE9-40C6-9E66-7024C29FC7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8E23BD-D603-4747-93F5-6429BC4CCF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F489FB-381B-405E-A394-D74D9E4A46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B3CD46-5BCC-4683-B21C-6D14C7F0B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BB6D31-824D-4FE0-8FA9-A8DBAF04E1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FF34B8-1DE4-485F-8535-FF051EECA8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6716A6-5822-41BD-BECD-86FC8B571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908652-B8A2-4A2E-B9FD-B4BD63B81B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829D0B-2EE3-49E6-B5B0-705DCAF013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F61E6E-D4A7-4E60-B60D-06D52F65EE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AF9262-1D16-4C60-A2C0-8DF7AB6D66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1D934C-13FB-42B5-8091-995A6AEFBC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984BA9-CAF6-44E8-9E56-D5CADF1826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EB0679-0DC1-4C17-ADDC-9AA7529C92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5DC216-68BA-48D9-90D0-B46285195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60AFC5-3D24-4CF0-80BE-29E7638E8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9C20E2-968B-4299-B1D2-6BCFE0D016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64CA2A-C247-4E8C-A69D-CB63E06FC5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0B1F97-6235-4BDD-A0CD-63F7A958D8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D5BC70-A1FA-48AC-856D-45C83C33DE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325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2133</c:v>
                </c:pt>
                <c:pt idx="7">
                  <c:v>2466</c:v>
                </c:pt>
                <c:pt idx="8">
                  <c:v>2791</c:v>
                </c:pt>
                <c:pt idx="9">
                  <c:v>3191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1001059</xdr:colOff>
          <xdr:row>3</xdr:row>
          <xdr:rowOff>179294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E6B978D-1C73-48A4-8C9C-A9A13C6EC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22785</xdr:colOff>
          <xdr:row>1</xdr:row>
          <xdr:rowOff>16437</xdr:rowOff>
        </xdr:from>
        <xdr:to>
          <xdr:col>23</xdr:col>
          <xdr:colOff>209176</xdr:colOff>
          <xdr:row>4</xdr:row>
          <xdr:rowOff>104590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6233AF13-0F2B-4875-9594-475BACBF9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34" dataDxfId="33">
  <autoFilter ref="R13:X16" xr:uid="{FF2C9E8B-1A62-479C-AF68-79B236C0B7BB}"/>
  <tableColumns count="7">
    <tableColumn id="1" xr3:uid="{727C6146-39EA-4E15-8783-53CAA87FAF36}" name="Zone ID" dataDxfId="32"/>
    <tableColumn id="2" xr3:uid="{2CA65110-6DD7-46D8-BFC2-5EB0C0E57567}" name="Description" dataDxfId="31"/>
    <tableColumn id="3" xr3:uid="{12D64F80-6A69-494F-BF8F-E326D34A185A}" name="Short Description" dataDxfId="30"/>
    <tableColumn id="4" xr3:uid="{71F3F5B2-8F6B-4985-B1FC-5A9D60095474}" name="Start Date" dataDxfId="29"/>
    <tableColumn id="5" xr3:uid="{57258378-8FED-4727-89AC-D938CB414B7B}" name="Finish Date" dataDxfId="28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2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26">
      <calculatedColumnFormula>IF(AA13 = "Date", $S$4, AA13+7)</calculatedColumnFormula>
    </tableColumn>
    <tableColumn id="6" xr3:uid="{5740AC03-CF53-4345-8667-6AC0CA6843D0}" name="Primary Areas" dataDxfId="25">
      <calculatedColumnFormula>PrimaryAreas(3)</calculatedColumnFormula>
    </tableColumn>
    <tableColumn id="2" xr3:uid="{AF232D3D-EC3F-4232-BA5D-1427173C2D6A}" name="Weekly Plan" dataDxfId="24">
      <calculatedColumnFormula xml:space="preserve"> IF(#REF!="", 0,#REF!)+ IF(#REF!="", 0,#REF!)+ IF(#REF!="", 0,#REF!)</calculatedColumnFormula>
    </tableColumn>
    <tableColumn id="3" xr3:uid="{B28103F6-7596-4848-9F0D-3E4A9E5CBEFE}" name="Weekly Actual" dataDxfId="23">
      <calculatedColumnFormula>IF(AND(ISBLANK(#REF!),ISBLANK(#REF!),ISBLANK(#REF!)), "",#REF! +#REF!+#REF!)</calculatedColumnFormula>
    </tableColumn>
    <tableColumn id="4" xr3:uid="{EF1C6009-71E6-491B-B64F-04049D2D9103}" name="Accumulated Plan" dataDxfId="22">
      <calculatedColumnFormula>SUM($AC$14:AC14)</calculatedColumnFormula>
    </tableColumn>
    <tableColumn id="5" xr3:uid="{442DAB73-1233-4C61-8DE9-3B44CE2C5D69}" name="Accumulated Actual" dataDxfId="21">
      <calculatedColumnFormula>IF(AD14=0,NA(),SUM($AD$14:AD14))</calculatedColumnFormula>
    </tableColumn>
    <tableColumn id="19" xr3:uid="{495756A6-E987-4666-BF6F-496E33FA9D61}" name="WP_A1" dataDxfId="20">
      <calculatedColumnFormula>WeeklyPlanned(Output_Template[[#Headers],[WP_A1]], Output_Template[[#This Row],[Date]])</calculatedColumnFormula>
    </tableColumn>
    <tableColumn id="20" xr3:uid="{2C075E83-1C10-4744-A980-166BA7BE4857}" name="WA_A1" dataDxfId="19"/>
    <tableColumn id="21" xr3:uid="{E3575C9E-E210-489C-AFDF-693C0177490E}" name="WP_A2" dataDxfId="18">
      <calculatedColumnFormula>WeeklyPlanned(Output_Template[[#Headers],[WP_A2]], Output_Template[[#This Row],[Date]])</calculatedColumnFormula>
    </tableColumn>
    <tableColumn id="22" xr3:uid="{6FE0AA40-9DE5-470B-9BAA-EC0415A37CB0}" name="WA_A2" dataDxfId="17"/>
    <tableColumn id="23" xr3:uid="{DE2148A7-80CA-4424-9C9E-54264C75EC8F}" name="WP_A3" dataDxfId="16">
      <calculatedColumnFormula>WeeklyPlanned(Output_Template[[#Headers],[WP_A3]], Output_Template[[#This Row],[Date]])</calculatedColumnFormula>
    </tableColumn>
    <tableColumn id="24" xr3:uid="{C4434836-C212-4E9C-8B05-89DB05443A26}" name="WA_A3" dataDxfId="15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4">
  <autoFilter ref="H2:H5" xr:uid="{1041DC80-58D6-4308-9DE1-A4EC8AAD3C20}"/>
  <tableColumns count="1">
    <tableColumn id="1" xr3:uid="{0E6D3E77-7CB7-40A1-BCA6-DDC8164AAEB9}" name="Holidays" dataDxfId="13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F1" zoomScale="85" zoomScaleNormal="85" workbookViewId="0">
      <selection activeCell="W40" sqref="W40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9" t="str">
        <f>_xlfn.CONCAT("PROGRESS REPORT ", TEXT(S3,"mm/dd/yyyy"))</f>
        <v>PROGRESS REPORT 05/26/2020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</row>
    <row r="3" spans="2:39" x14ac:dyDescent="0.3">
      <c r="B3" s="72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4"/>
      <c r="R3" s="24" t="s">
        <v>18</v>
      </c>
      <c r="S3" s="27">
        <f>Report_Date</f>
        <v>43977</v>
      </c>
      <c r="T3" s="24" t="s">
        <v>72</v>
      </c>
      <c r="U3" s="34" t="b">
        <v>1</v>
      </c>
    </row>
    <row r="4" spans="2:39" ht="15" x14ac:dyDescent="0.3">
      <c r="B4" s="28" t="s">
        <v>49</v>
      </c>
      <c r="C4" s="75" t="str">
        <f>Project_Name</f>
        <v>Westland Super Cool Project</v>
      </c>
      <c r="D4" s="75"/>
      <c r="E4" s="75"/>
      <c r="F4" s="75"/>
      <c r="G4" s="75"/>
      <c r="H4" s="75"/>
      <c r="I4" s="75"/>
      <c r="J4" s="76" t="s">
        <v>50</v>
      </c>
      <c r="K4" s="76"/>
      <c r="L4" s="76"/>
      <c r="M4" s="76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</row>
    <row r="5" spans="2:39" ht="15" x14ac:dyDescent="0.3">
      <c r="B5" s="28" t="s">
        <v>53</v>
      </c>
      <c r="C5" s="75" t="str">
        <f>Project_Number</f>
        <v>S000</v>
      </c>
      <c r="D5" s="75"/>
      <c r="E5" s="75"/>
      <c r="F5" s="75"/>
      <c r="G5" s="75"/>
      <c r="H5" s="75"/>
      <c r="I5" s="75"/>
      <c r="J5" s="68" t="s">
        <v>54</v>
      </c>
      <c r="K5" s="68"/>
      <c r="L5" s="68"/>
      <c r="M5" s="68"/>
      <c r="N5" s="32">
        <f ca="1">IF(ISERROR(N7/N6), 0, N7/N6)</f>
        <v>0.33939393939393941</v>
      </c>
      <c r="O5" s="33">
        <f ca="1">IF(ISERROR(O7/O6), 0, O7/O6)</f>
        <v>0</v>
      </c>
      <c r="R5" s="24" t="s">
        <v>98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</row>
    <row r="6" spans="2:39" ht="15" x14ac:dyDescent="0.3">
      <c r="B6" s="28" t="s">
        <v>55</v>
      </c>
      <c r="C6" s="75" t="str">
        <f>Main!C12</f>
        <v>XYZ Corp</v>
      </c>
      <c r="D6" s="75"/>
      <c r="E6" s="75"/>
      <c r="F6" s="75"/>
      <c r="G6" s="75"/>
      <c r="H6" s="75"/>
      <c r="I6" s="75"/>
      <c r="J6" s="68" t="str">
        <f>_xlfn.CONCAT("Overall Totals (", IF(ISBLANK($S$6),"",$S$6), ")")</f>
        <v>Overall Totals (SF)</v>
      </c>
      <c r="K6" s="68"/>
      <c r="L6" s="68"/>
      <c r="M6" s="68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</row>
    <row r="7" spans="2:39" ht="15" x14ac:dyDescent="0.3">
      <c r="B7" s="28" t="s">
        <v>56</v>
      </c>
      <c r="C7" s="75" t="str">
        <f>RIGHT(Main!B13, LEN(Main!B13) - 4)</f>
        <v>Foundation Walls</v>
      </c>
      <c r="D7" s="75"/>
      <c r="E7" s="75"/>
      <c r="F7" s="75"/>
      <c r="G7" s="75"/>
      <c r="H7" s="75"/>
      <c r="I7" s="75"/>
      <c r="J7" s="68" t="str">
        <f>_xlfn.CONCAT("Overall Completed Totals (", IF(ISBLANK($S$6),"",$S$6), ")")</f>
        <v>Overall Completed Totals (SF)</v>
      </c>
      <c r="K7" s="68"/>
      <c r="L7" s="68"/>
      <c r="M7" s="68"/>
      <c r="N7" s="35">
        <f ca="1">VLOOKUP($S$3, INDIRECT("Output_"&amp;$S$2), 5, FALSE)</f>
        <v>3054.545454545455</v>
      </c>
      <c r="O7" s="36" t="e">
        <f ca="1">VLOOKUP($S$3, INDIRECT("Output_"&amp;$S$2), 6, FALSE)</f>
        <v>#N/A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8" t="str">
        <f>_xlfn.CONCAT("This Week's Production (", IF(ISBLANK($S$6),"",$S$6), ")")</f>
        <v>This Week's Production (SF)</v>
      </c>
      <c r="K8" s="68"/>
      <c r="L8" s="68"/>
      <c r="M8" s="68"/>
      <c r="N8" s="35">
        <f ca="1">VLOOKUP($S$3, INDIRECT("Output_"&amp;$S$2), 3, FALSE)</f>
        <v>436.36363636363637</v>
      </c>
      <c r="O8" s="36">
        <f ca="1">VLOOKUP($S$3, INDIRECT("Output_"&amp;$S$2), 4, FALSE)</f>
        <v>0</v>
      </c>
      <c r="R8" s="24" t="s">
        <v>62</v>
      </c>
      <c r="S8" s="26" t="s">
        <v>99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8" t="str">
        <f>_xlfn.CONCAT("Weekly Average (", IF(ISBLANK($S$6),"",$S$6), ")")</f>
        <v>Weekly Average (SF)</v>
      </c>
      <c r="K9" s="68"/>
      <c r="L9" s="68"/>
      <c r="M9" s="68"/>
      <c r="N9" s="39">
        <f ca="1">AVERAGE(INDIRECT("Output_"&amp;$S$2&amp;"[Weekly Plan]"))</f>
        <v>299.99999999999994</v>
      </c>
      <c r="O9" s="40">
        <f ca="1">AVERAGE(INDIRECT("AD14:AD" &amp;MATCH($S$3,INDIRECT("Output_"&amp;$S$2&amp;"[Date]"),0)+14))</f>
        <v>265.91666666666669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8" t="str">
        <f>_xlfn.CONCAT("Average Past 4 Weeks (", IF(ISBLANK($S$6),"",$S$6), ")")</f>
        <v>Average Past 4 Weeks (SF)</v>
      </c>
      <c r="K10" s="68"/>
      <c r="L10" s="68"/>
      <c r="M10" s="68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340.90909090909093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264.5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8" t="str">
        <f>_xlfn.CONCAT("On Schedule Average (", IF(ISBLANK($S$6),"",$S$6), ")")</f>
        <v>On Schedule Average (SF)</v>
      </c>
      <c r="K11" s="68"/>
      <c r="L11" s="68"/>
      <c r="M11" s="68"/>
      <c r="N11" s="39"/>
      <c r="O11" s="4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60" t="s">
        <v>57</v>
      </c>
      <c r="K12" s="60"/>
      <c r="L12" s="60"/>
      <c r="M12" s="60"/>
      <c r="N12" s="61">
        <f ca="1">MAX(INDIRECT("Input_"&amp;$S$2&amp;"[Finish Date]"))</f>
        <v>44105</v>
      </c>
      <c r="O12" s="62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60" t="s">
        <v>58</v>
      </c>
      <c r="K13" s="60"/>
      <c r="L13" s="60"/>
      <c r="M13" s="60"/>
      <c r="N13" s="61"/>
      <c r="O13" s="63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7" t="s">
        <v>84</v>
      </c>
      <c r="AC13" t="s">
        <v>80</v>
      </c>
      <c r="AD13" t="s">
        <v>81</v>
      </c>
      <c r="AE13" t="s">
        <v>82</v>
      </c>
      <c r="AF13" t="s">
        <v>83</v>
      </c>
      <c r="AG13" s="56" t="s">
        <v>88</v>
      </c>
      <c r="AH13" s="56" t="s">
        <v>90</v>
      </c>
      <c r="AI13" s="56" t="s">
        <v>89</v>
      </c>
      <c r="AJ13" s="56" t="s">
        <v>91</v>
      </c>
      <c r="AK13" s="56" t="s">
        <v>92</v>
      </c>
      <c r="AL13" s="56" t="s">
        <v>93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4"/>
      <c r="N14" s="64"/>
      <c r="O14" s="65"/>
      <c r="R14" s="43" t="s">
        <v>94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24" si="0">IF(AA13 = "Date", $S$4, AA13+7)</f>
        <v>43907</v>
      </c>
      <c r="AB14" s="57" t="str">
        <f t="shared" ref="AB14:AB43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6"/>
      <c r="M15" s="66"/>
      <c r="N15" s="66"/>
      <c r="O15" s="67"/>
      <c r="R15" s="43" t="s">
        <v>95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96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8" s="59">
        <f ca="1">SUM($AC$14:AC18)</f>
        <v>1145.4545454545455</v>
      </c>
      <c r="AF18" s="59">
        <f>IF(AD18=0,NA(),SUM($AD$14:AD18))</f>
        <v>1500</v>
      </c>
      <c r="AG18" s="59">
        <f ca="1">WeeklyPlanned(Output_Template[[#Headers],[WP_A1]], Output_Template[[#This Row],[Date]])</f>
        <v>272.72727272727275</v>
      </c>
      <c r="AH18" s="59">
        <v>300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1800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2133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2466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325</v>
      </c>
      <c r="AE22" s="59">
        <f ca="1">SUM($AC$14:AC22)</f>
        <v>2236.3636363636365</v>
      </c>
      <c r="AF22" s="59">
        <f>IF(AD22=0,NA(),SUM($AD$14:AD22))</f>
        <v>2791</v>
      </c>
      <c r="AG22" s="59">
        <f ca="1">WeeklyPlanned(Output_Template[[#Headers],[WP_A1]], Output_Template[[#This Row],[Date]])</f>
        <v>272.72727272727275</v>
      </c>
      <c r="AH22" s="59">
        <v>150</v>
      </c>
      <c r="AI22" s="59" t="str">
        <f ca="1">WeeklyPlanned(Output_Template[[#Headers],[WP_A2]], Output_Template[[#This Row],[Date]])</f>
        <v/>
      </c>
      <c r="AJ22" s="59">
        <v>175</v>
      </c>
      <c r="AK22" s="59" t="str">
        <f ca="1">WeeklyPlanned(Output_Template[[#Headers],[WP_A3]], Output_Template[[#This Row],[Date]])</f>
        <v/>
      </c>
      <c r="AL22" s="5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400</v>
      </c>
      <c r="AE23" s="59">
        <f ca="1">SUM($AC$14:AC23)</f>
        <v>2618.1818181818185</v>
      </c>
      <c r="AF23" s="59">
        <f>IF(AD23=0,NA(),SUM($AD$14:AD23))</f>
        <v>3191</v>
      </c>
      <c r="AG23" s="59">
        <f ca="1">WeeklyPlanned(Output_Template[[#Headers],[WP_A1]], Output_Template[[#This Row],[Date]])</f>
        <v>272.72727272727275</v>
      </c>
      <c r="AH23" s="59">
        <v>125</v>
      </c>
      <c r="AI23" s="59">
        <f ca="1">WeeklyPlanned(Output_Template[[#Headers],[WP_A2]], Output_Template[[#This Row],[Date]])</f>
        <v>109.09090909090909</v>
      </c>
      <c r="AJ23" s="59">
        <v>275</v>
      </c>
      <c r="AK23" s="59" t="str">
        <f ca="1">WeeklyPlanned(Output_Template[[#Headers],[WP_A3]], Output_Template[[#This Row],[Date]])</f>
        <v/>
      </c>
      <c r="AL23" s="5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4" s="59">
        <f ca="1">SUM($AC$14:AC24)</f>
        <v>3054.545454545455</v>
      </c>
      <c r="AF24" s="59" t="e">
        <f>IF(AD24=0,NA(),SUM($AD$14:AD24))</f>
        <v>#N/A</v>
      </c>
      <c r="AG24" s="59">
        <f ca="1">WeeklyPlanned(Output_Template[[#Headers],[WP_A1]], Output_Template[[#This Row],[Date]])</f>
        <v>218.18181818181819</v>
      </c>
      <c r="AH24" s="59"/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5" x14ac:dyDescent="0.35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5" x14ac:dyDescent="0.35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5" x14ac:dyDescent="0.35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10" priority="7">
      <formula>ISERROR(AF14)</formula>
    </cfRule>
  </conditionalFormatting>
  <conditionalFormatting sqref="W13:X13">
    <cfRule type="expression" dxfId="9" priority="5">
      <formula>IF(OR($S$8 = "Assemble Addin", $S$8 = "Bluebeam QL"), TRUE, FALSE)</formula>
    </cfRule>
  </conditionalFormatting>
  <conditionalFormatting sqref="N6:O6">
    <cfRule type="expression" dxfId="8" priority="4">
      <formula>IF($N$6=$O$6, FALSE, TRUE)</formula>
    </cfRule>
  </conditionalFormatting>
  <conditionalFormatting sqref="W14:X16">
    <cfRule type="expression" dxfId="7" priority="3">
      <formula>IF(OR($S$8 = "Assemble Addin", $S$8 = "Bluebeam QL"), MOD(ROW(), 2)=0, FALSE)</formula>
    </cfRule>
    <cfRule type="expression" dxfId="6" priority="2">
      <formula>IF(OR($S$8 = "Assemble Addin", $S$8 = "Bluebeam QL"), TRUE, FALSE)</formula>
    </cfRule>
  </conditionalFormatting>
  <conditionalFormatting sqref="R14:V16">
    <cfRule type="expression" dxfId="5" priority="1">
      <formula>IF(OR($S$8 = "Assemble Addin", $S$8 = "Bluebeam QL"),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23</xdr:col>
                    <xdr:colOff>209550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5" x14ac:dyDescent="0.35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97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M22" sqref="M22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80" t="str">
        <f>"PROGRESS REPORT "&amp; TEXT(Report_Date, "mm/dd/yyy")</f>
        <v>PROGRESS REPORT 05/26/2020</v>
      </c>
      <c r="C2" s="80"/>
      <c r="D2" s="80"/>
      <c r="E2" s="80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2" priority="1">
      <formula>IF(ISBLANK($D12), FALSE, IF(RedGreen_Formatting = "Enabled", $D12 &lt;= $E12 + Percent_Error, FALSE))</formula>
    </cfRule>
    <cfRule type="expression" dxfId="11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2020-05-26T22:03:06Z</cp:lastPrinted>
  <dcterms:created xsi:type="dcterms:W3CDTF">2019-04-09T17:53:55Z</dcterms:created>
  <dcterms:modified xsi:type="dcterms:W3CDTF">2020-05-27T00:31:21Z</dcterms:modified>
</cp:coreProperties>
</file>