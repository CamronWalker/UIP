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D4ADE13D-BE2B-4445-A499-1FF2E5453437}" xr6:coauthVersionLast="45" xr6:coauthVersionMax="45" xr10:uidLastSave="{00000000-0000-0000-0000-000000000000}"/>
  <bookViews>
    <workbookView xWindow="1140" yWindow="1140" windowWidth="31290" windowHeight="17130" activeTab="2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I40" i="11"/>
  <c r="AG32" i="11"/>
  <c r="AK21" i="11"/>
  <c r="AK34" i="11"/>
  <c r="AK26" i="11"/>
  <c r="AG15" i="11"/>
  <c r="AG25" i="11"/>
  <c r="AI41" i="11"/>
  <c r="AG27" i="11"/>
  <c r="AK35" i="11"/>
  <c r="AG33" i="11"/>
  <c r="AK14" i="11"/>
  <c r="AI39" i="11"/>
  <c r="AK37" i="11"/>
  <c r="AG37" i="11"/>
  <c r="AI43" i="11"/>
  <c r="AG20" i="11"/>
  <c r="AI18" i="11"/>
  <c r="AK27" i="11"/>
  <c r="AG39" i="11"/>
  <c r="AK40" i="11"/>
  <c r="AI38" i="11"/>
  <c r="AI20" i="11"/>
  <c r="AI14" i="11"/>
  <c r="AI25" i="11"/>
  <c r="AI30" i="11"/>
  <c r="AG40" i="11"/>
  <c r="AI24" i="11"/>
  <c r="AG17" i="11"/>
  <c r="AG29" i="11"/>
  <c r="AK25" i="11"/>
  <c r="AK16" i="11"/>
  <c r="AG30" i="11"/>
  <c r="AG16" i="11"/>
  <c r="AK15" i="11"/>
  <c r="AI42" i="11"/>
  <c r="AI22" i="11"/>
  <c r="AI34" i="11"/>
  <c r="AG36" i="11"/>
  <c r="AK22" i="11"/>
  <c r="AK19" i="11"/>
  <c r="AK36" i="11"/>
  <c r="AK17" i="11"/>
  <c r="AI16" i="11"/>
  <c r="AI21" i="11"/>
  <c r="AG35" i="11"/>
  <c r="AK38" i="11"/>
  <c r="AG34" i="11"/>
  <c r="AI26" i="11"/>
  <c r="AI19" i="11"/>
  <c r="AG21" i="11"/>
  <c r="AK18" i="11"/>
  <c r="AK29" i="11"/>
  <c r="AK28" i="11"/>
  <c r="AK20" i="11"/>
  <c r="AI28" i="11"/>
  <c r="AI35" i="11"/>
  <c r="AK24" i="11"/>
  <c r="AK42" i="11"/>
  <c r="AK31" i="11"/>
  <c r="AK43" i="11"/>
  <c r="AK39" i="11"/>
  <c r="AI17" i="11"/>
  <c r="AG18" i="11"/>
  <c r="AG43" i="11"/>
  <c r="AK32" i="11"/>
  <c r="AG19" i="11"/>
  <c r="AI27" i="11"/>
  <c r="AI23" i="11"/>
  <c r="AG41" i="11"/>
  <c r="AG14" i="11"/>
  <c r="AI29" i="11"/>
  <c r="AG31" i="11"/>
  <c r="AK33" i="11"/>
  <c r="AI36" i="11"/>
  <c r="AI32" i="11"/>
  <c r="AG22" i="11"/>
  <c r="AG38" i="11"/>
  <c r="AK23" i="11"/>
  <c r="AK41" i="11"/>
  <c r="AI33" i="11"/>
  <c r="AI31" i="11"/>
  <c r="AB31" i="11" s="1"/>
  <c r="AG28" i="11"/>
  <c r="AG24" i="11"/>
  <c r="AG42" i="11"/>
  <c r="AI37" i="11"/>
  <c r="AK30" i="11"/>
  <c r="AI15" i="11"/>
  <c r="AG26" i="11"/>
  <c r="AG23" i="11"/>
  <c r="I16" i="2"/>
  <c r="I33" i="2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3" i="11"/>
  <c r="AB17" i="11"/>
  <c r="AB19" i="11"/>
  <c r="AB25" i="11"/>
  <c r="AB30" i="11"/>
  <c r="AB15" i="11"/>
  <c r="AB32" i="11"/>
  <c r="AB38" i="11"/>
  <c r="AB42" i="11"/>
  <c r="AB43" i="11"/>
  <c r="AB26" i="11"/>
  <c r="AB24" i="11"/>
  <c r="AB39" i="11"/>
  <c r="AB18" i="11"/>
  <c r="AB22" i="11"/>
  <c r="AB37" i="11"/>
  <c r="AB27" i="11"/>
  <c r="AB16" i="11"/>
  <c r="AB21" i="11"/>
  <c r="AB41" i="11"/>
  <c r="AB40" i="11"/>
  <c r="AB14" i="11"/>
  <c r="AB20" i="11"/>
  <c r="AB29" i="11"/>
  <c r="AB28" i="11"/>
  <c r="AG15" i="10"/>
  <c r="AB35" i="11"/>
  <c r="AB33" i="11"/>
  <c r="AB36" i="11"/>
  <c r="AB34" i="11"/>
  <c r="N8" i="11"/>
  <c r="N11" i="11"/>
  <c r="N9" i="11"/>
  <c r="N12" i="11"/>
  <c r="O7" i="11"/>
  <c r="O9" i="11"/>
  <c r="O8" i="11"/>
  <c r="N10" i="11"/>
  <c r="O6" i="11"/>
  <c r="N6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S41" i="10"/>
  <c r="AK15" i="10"/>
  <c r="AS40" i="10"/>
  <c r="AQ19" i="10"/>
  <c r="AM36" i="10"/>
  <c r="AS37" i="10"/>
  <c r="AM21" i="10"/>
  <c r="AO31" i="10"/>
  <c r="AO28" i="10"/>
  <c r="AQ40" i="10"/>
  <c r="AO37" i="10"/>
  <c r="AK45" i="10"/>
  <c r="AG23" i="10"/>
  <c r="AU35" i="10"/>
  <c r="AU22" i="10"/>
  <c r="AO24" i="10"/>
  <c r="AQ43" i="10"/>
  <c r="AI22" i="10"/>
  <c r="AS26" i="10"/>
  <c r="AM42" i="10"/>
  <c r="AI44" i="10"/>
  <c r="AU23" i="10"/>
  <c r="AM22" i="10"/>
  <c r="AI37" i="10"/>
  <c r="AK27" i="10"/>
  <c r="AG18" i="10"/>
  <c r="AK22" i="10"/>
  <c r="AI20" i="10"/>
  <c r="AG44" i="10"/>
  <c r="AO43" i="10"/>
  <c r="AG27" i="10"/>
  <c r="AQ44" i="10"/>
  <c r="AM14" i="10"/>
  <c r="AM30" i="10"/>
  <c r="AQ18" i="10"/>
  <c r="AU30" i="10"/>
  <c r="AG43" i="10"/>
  <c r="AG40" i="10"/>
  <c r="AO19" i="10"/>
  <c r="AI31" i="10"/>
  <c r="AU26" i="10"/>
  <c r="AS38" i="10"/>
  <c r="AM27" i="10"/>
  <c r="AI38" i="10"/>
  <c r="AU18" i="10"/>
  <c r="AI15" i="10"/>
  <c r="AK43" i="10"/>
  <c r="AO26" i="10"/>
  <c r="AM33" i="10"/>
  <c r="AM20" i="10"/>
  <c r="AK25" i="10"/>
  <c r="AM19" i="10"/>
  <c r="AK32" i="10"/>
  <c r="AG20" i="10"/>
  <c r="AG25" i="10"/>
  <c r="AG29" i="10"/>
  <c r="AQ26" i="10"/>
  <c r="AK19" i="10"/>
  <c r="AU40" i="10"/>
  <c r="AQ35" i="10"/>
  <c r="AQ17" i="10"/>
  <c r="AU37" i="10"/>
  <c r="AQ28" i="10"/>
  <c r="AM16" i="10"/>
  <c r="AK26" i="10"/>
  <c r="AK36" i="10"/>
  <c r="AO21" i="10"/>
  <c r="AI18" i="10"/>
  <c r="AK37" i="10"/>
  <c r="AK14" i="10"/>
  <c r="AS42" i="10"/>
  <c r="AG42" i="10"/>
  <c r="AM18" i="10"/>
  <c r="AK41" i="10"/>
  <c r="AU32" i="10"/>
  <c r="AS22" i="10"/>
  <c r="AS15" i="10"/>
  <c r="AK33" i="10"/>
  <c r="AK29" i="10"/>
  <c r="AK28" i="10"/>
  <c r="AM32" i="10"/>
  <c r="AU39" i="10"/>
  <c r="AI34" i="10"/>
  <c r="AK23" i="10"/>
  <c r="AS44" i="10"/>
  <c r="AO35" i="10"/>
  <c r="AU43" i="10"/>
  <c r="AM34" i="10"/>
  <c r="AI39" i="10"/>
  <c r="AQ37" i="10"/>
  <c r="AO25" i="10"/>
  <c r="AQ45" i="10"/>
  <c r="AG37" i="10"/>
  <c r="AI25" i="10"/>
  <c r="AO29" i="10"/>
  <c r="AM44" i="10"/>
  <c r="AU14" i="10"/>
  <c r="AK31" i="10"/>
  <c r="AS27" i="10"/>
  <c r="AS39" i="10"/>
  <c r="AI40" i="10"/>
  <c r="AI17" i="10"/>
  <c r="AG28" i="10"/>
  <c r="AQ14" i="10"/>
  <c r="AI32" i="10"/>
  <c r="AG39" i="10"/>
  <c r="AO23" i="10"/>
  <c r="AM39" i="10"/>
  <c r="AQ20" i="10"/>
  <c r="AS43" i="10"/>
  <c r="AU44" i="10"/>
  <c r="AI21" i="10"/>
  <c r="AI14" i="10"/>
  <c r="AU33" i="10"/>
  <c r="AS21" i="10"/>
  <c r="AU42" i="10"/>
  <c r="AQ24" i="10"/>
  <c r="AS17" i="10"/>
  <c r="AQ34" i="10"/>
  <c r="AQ15" i="10"/>
  <c r="AS23" i="10"/>
  <c r="AM26" i="10"/>
  <c r="AK24" i="10"/>
  <c r="AI27" i="10"/>
  <c r="AS18" i="10"/>
  <c r="AO32" i="10"/>
  <c r="AQ31" i="10"/>
  <c r="AO30" i="10"/>
  <c r="AI29" i="10"/>
  <c r="AG36" i="10"/>
  <c r="AM15" i="10"/>
  <c r="AO17" i="10"/>
  <c r="AI28" i="10"/>
  <c r="AI23" i="10"/>
  <c r="AQ36" i="10"/>
  <c r="AG19" i="10"/>
  <c r="AO18" i="10"/>
  <c r="AM29" i="10"/>
  <c r="AU21" i="10"/>
  <c r="AM17" i="10"/>
  <c r="AQ27" i="10"/>
  <c r="AQ16" i="10"/>
  <c r="AG35" i="10"/>
  <c r="AM41" i="10"/>
  <c r="AK20" i="10"/>
  <c r="AS20" i="10"/>
  <c r="AO15" i="10"/>
  <c r="AI43" i="10"/>
  <c r="AI30" i="10"/>
  <c r="AG22" i="10"/>
  <c r="AU28" i="10"/>
  <c r="AS28" i="10"/>
  <c r="AK39" i="10"/>
  <c r="AQ21" i="10"/>
  <c r="AM40" i="10"/>
  <c r="AK16" i="10"/>
  <c r="AK42" i="10"/>
  <c r="AM37" i="10"/>
  <c r="AS30" i="10"/>
  <c r="AS29" i="10"/>
  <c r="AG14" i="10"/>
  <c r="AI33" i="10"/>
  <c r="AG21" i="10"/>
  <c r="AS16" i="10"/>
  <c r="AK40" i="10"/>
  <c r="AK30" i="10"/>
  <c r="AU27" i="10"/>
  <c r="AS45" i="10"/>
  <c r="AG16" i="10"/>
  <c r="AI45" i="10"/>
  <c r="AS24" i="10"/>
  <c r="AM24" i="10"/>
  <c r="AM23" i="10"/>
  <c r="AK21" i="10"/>
  <c r="AS35" i="10"/>
  <c r="AI24" i="10"/>
  <c r="AG41" i="10"/>
  <c r="AO40" i="10"/>
  <c r="AO16" i="10"/>
  <c r="AO41" i="10"/>
  <c r="AU17" i="10"/>
  <c r="AM31" i="10"/>
  <c r="AS31" i="10"/>
  <c r="AO44" i="10"/>
  <c r="AU15" i="10"/>
  <c r="AU24" i="10"/>
  <c r="AO33" i="10"/>
  <c r="AS36" i="10"/>
  <c r="AU38" i="10"/>
  <c r="AU25" i="10"/>
  <c r="AO14" i="10"/>
  <c r="AU34" i="10"/>
  <c r="AM38" i="10"/>
  <c r="AO45" i="10"/>
  <c r="AG32" i="10"/>
  <c r="AQ41" i="10"/>
  <c r="AG26" i="10"/>
  <c r="AI41" i="10"/>
  <c r="AM35" i="10"/>
  <c r="AI19" i="10"/>
  <c r="AM25" i="10"/>
  <c r="AQ38" i="10"/>
  <c r="AS32" i="10"/>
  <c r="AQ29" i="10"/>
  <c r="AK17" i="10"/>
  <c r="AK18" i="10"/>
  <c r="AG30" i="10"/>
  <c r="AK38" i="10"/>
  <c r="AU20" i="10"/>
  <c r="AQ32" i="10"/>
  <c r="AO22" i="10"/>
  <c r="AM28" i="10"/>
  <c r="AU29" i="10"/>
  <c r="AQ25" i="10"/>
  <c r="AQ22" i="10"/>
  <c r="AG33" i="10"/>
  <c r="AG31" i="10"/>
  <c r="AK44" i="10"/>
  <c r="AU31" i="10"/>
  <c r="AS33" i="10"/>
  <c r="AU36" i="10"/>
  <c r="AG17" i="10"/>
  <c r="AI26" i="10"/>
  <c r="AQ39" i="10"/>
  <c r="AG34" i="10"/>
  <c r="AS34" i="10"/>
  <c r="AO38" i="10"/>
  <c r="AQ30" i="10"/>
  <c r="AQ33" i="10"/>
  <c r="AQ23" i="10"/>
  <c r="AG24" i="10"/>
  <c r="AG45" i="10"/>
  <c r="AS19" i="10"/>
  <c r="AO39" i="10"/>
  <c r="AQ42" i="10"/>
  <c r="AO27" i="10"/>
  <c r="AK34" i="10"/>
  <c r="AO36" i="10"/>
  <c r="AM45" i="10"/>
  <c r="AM43" i="10"/>
  <c r="AU19" i="10"/>
  <c r="AU45" i="10"/>
  <c r="AI16" i="10"/>
  <c r="AO34" i="10"/>
  <c r="AG38" i="10"/>
  <c r="AI36" i="10"/>
  <c r="AU16" i="10"/>
  <c r="AO42" i="10"/>
  <c r="AK35" i="10"/>
  <c r="AU41" i="10"/>
  <c r="AS14" i="10"/>
  <c r="AO20" i="10"/>
  <c r="AI35" i="10"/>
  <c r="AS25" i="10"/>
  <c r="AI42" i="10"/>
  <c r="N13" i="11"/>
  <c r="N7" i="11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34" i="10"/>
  <c r="AB24" i="10"/>
  <c r="AB18" i="10"/>
  <c r="AB26" i="10"/>
  <c r="AB32" i="10"/>
  <c r="AB30" i="10"/>
  <c r="AB41" i="10"/>
  <c r="AB16" i="10"/>
  <c r="AB40" i="10"/>
  <c r="AB21" i="10"/>
  <c r="AB33" i="10"/>
  <c r="AB35" i="10"/>
  <c r="AB15" i="10"/>
  <c r="AB20" i="10"/>
  <c r="AB25" i="10"/>
  <c r="AB31" i="10"/>
  <c r="AB29" i="10"/>
  <c r="AB22" i="10"/>
  <c r="AB37" i="10"/>
  <c r="AB27" i="10"/>
  <c r="AB17" i="10"/>
  <c r="AB19" i="10"/>
  <c r="AB39" i="10"/>
  <c r="AB14" i="10"/>
  <c r="AB38" i="10"/>
  <c r="AB36" i="10"/>
  <c r="AB28" i="10"/>
  <c r="AB45" i="10"/>
  <c r="AB23" i="10"/>
  <c r="AB42" i="10"/>
  <c r="AB44" i="10"/>
  <c r="AB43" i="10"/>
  <c r="O8" i="10"/>
  <c r="N8" i="10"/>
  <c r="O7" i="10"/>
  <c r="O9" i="10"/>
  <c r="O11" i="11"/>
  <c r="N6" i="10"/>
  <c r="N10" i="10"/>
  <c r="N9" i="10"/>
  <c r="N11" i="10"/>
  <c r="O6" i="10"/>
  <c r="N12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D16" i="2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K15" i="3"/>
  <c r="AI15" i="3"/>
  <c r="AB14" i="3"/>
  <c r="AG15" i="3"/>
  <c r="N12" i="3"/>
  <c r="AC15" i="3" l="1"/>
  <c r="AE15" i="3" s="1"/>
  <c r="AE14" i="3"/>
  <c r="AA16" i="3"/>
  <c r="B2" i="3"/>
  <c r="C5" i="3"/>
  <c r="C4" i="3"/>
  <c r="AK16" i="3"/>
  <c r="AB15" i="3"/>
  <c r="AG16" i="3"/>
  <c r="AI16" i="3"/>
  <c r="N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G18" i="3"/>
  <c r="AI18" i="3"/>
  <c r="AK18" i="3"/>
  <c r="AB17" i="3"/>
  <c r="AC18" i="3" l="1"/>
  <c r="AA19" i="3"/>
  <c r="AE17" i="3"/>
  <c r="B2" i="2"/>
  <c r="B4" i="2"/>
  <c r="AB18" i="3"/>
  <c r="AG19" i="3"/>
  <c r="AK19" i="3"/>
  <c r="AI19" i="3"/>
  <c r="AC19" i="3" l="1"/>
  <c r="AE18" i="3"/>
  <c r="AA20" i="3"/>
  <c r="C6" i="1"/>
  <c r="AI20" i="3"/>
  <c r="AB19" i="3"/>
  <c r="AG20" i="3"/>
  <c r="AK20" i="3"/>
  <c r="AC20" i="3" l="1"/>
  <c r="AE20" i="3" s="1"/>
  <c r="AA21" i="3"/>
  <c r="AE19" i="3"/>
  <c r="AG21" i="3"/>
  <c r="AK21" i="3"/>
  <c r="AB20" i="3"/>
  <c r="AI21" i="3"/>
  <c r="AC21" i="3" l="1"/>
  <c r="AA22" i="3"/>
  <c r="AK22" i="3"/>
  <c r="AB21" i="3"/>
  <c r="AG22" i="3"/>
  <c r="AI22" i="3"/>
  <c r="AC22" i="3" l="1"/>
  <c r="AE22" i="3" s="1"/>
  <c r="AA23" i="3"/>
  <c r="AE21" i="3"/>
  <c r="AI23" i="3"/>
  <c r="AB22" i="3"/>
  <c r="AG23" i="3"/>
  <c r="AK23" i="3"/>
  <c r="AC23" i="3" l="1"/>
  <c r="AA24" i="3"/>
  <c r="AK24" i="3"/>
  <c r="AI24" i="3"/>
  <c r="AG24" i="3"/>
  <c r="AB23" i="3"/>
  <c r="AC24" i="3" l="1"/>
  <c r="AE23" i="3"/>
  <c r="AA25" i="3"/>
  <c r="AG25" i="3"/>
  <c r="AI25" i="3"/>
  <c r="AB24" i="3"/>
  <c r="AK25" i="3"/>
  <c r="AC25" i="3" l="1"/>
  <c r="AA26" i="3"/>
  <c r="AE24" i="3"/>
  <c r="AK26" i="3"/>
  <c r="AI26" i="3"/>
  <c r="AB25" i="3"/>
  <c r="AG26" i="3"/>
  <c r="AC26" i="3" l="1"/>
  <c r="AA27" i="3"/>
  <c r="AE25" i="3"/>
  <c r="AG27" i="3"/>
  <c r="AI27" i="3"/>
  <c r="AK27" i="3"/>
  <c r="AB26" i="3"/>
  <c r="AC27" i="3" l="1"/>
  <c r="AA28" i="3"/>
  <c r="AE26" i="3"/>
  <c r="AK28" i="3"/>
  <c r="AG28" i="3"/>
  <c r="AI28" i="3"/>
  <c r="AB27" i="3"/>
  <c r="AC28" i="3" l="1"/>
  <c r="AA29" i="3"/>
  <c r="AE27" i="3"/>
  <c r="AK29" i="3"/>
  <c r="AI29" i="3"/>
  <c r="AG29" i="3"/>
  <c r="AB28" i="3"/>
  <c r="AC29" i="3" l="1"/>
  <c r="AA30" i="3"/>
  <c r="AE28" i="3"/>
  <c r="AK30" i="3"/>
  <c r="AG30" i="3"/>
  <c r="AI30" i="3"/>
  <c r="AB29" i="3"/>
  <c r="AC30" i="3" l="1"/>
  <c r="AA31" i="3"/>
  <c r="AE29" i="3"/>
  <c r="AG31" i="3"/>
  <c r="AB30" i="3"/>
  <c r="AK31" i="3"/>
  <c r="AI31" i="3"/>
  <c r="AC31" i="3" l="1"/>
  <c r="AA32" i="3"/>
  <c r="AE30" i="3"/>
  <c r="AK32" i="3"/>
  <c r="AB31" i="3"/>
  <c r="AI32" i="3"/>
  <c r="AG32" i="3"/>
  <c r="AC32" i="3" l="1"/>
  <c r="AA33" i="3"/>
  <c r="AE31" i="3"/>
  <c r="AB32" i="3"/>
  <c r="AK33" i="3"/>
  <c r="AI33" i="3"/>
  <c r="AG33" i="3"/>
  <c r="AC33" i="3" l="1"/>
  <c r="AA34" i="3"/>
  <c r="AE32" i="3"/>
  <c r="AG34" i="3"/>
  <c r="AB33" i="3"/>
  <c r="AI34" i="3"/>
  <c r="AK34" i="3"/>
  <c r="AC34" i="3" l="1"/>
  <c r="AA35" i="3"/>
  <c r="AE33" i="3"/>
  <c r="AB34" i="3"/>
  <c r="AG35" i="3"/>
  <c r="AK35" i="3"/>
  <c r="AI35" i="3"/>
  <c r="AC35" i="3" l="1"/>
  <c r="AA36" i="3"/>
  <c r="AE34" i="3"/>
  <c r="AB35" i="3"/>
  <c r="AK36" i="3"/>
  <c r="AG36" i="3"/>
  <c r="AI36" i="3"/>
  <c r="AC36" i="3" l="1"/>
  <c r="AA37" i="3"/>
  <c r="AE35" i="3"/>
  <c r="AB36" i="3"/>
  <c r="AG37" i="3"/>
  <c r="AK37" i="3"/>
  <c r="AI37" i="3"/>
  <c r="AC37" i="3" l="1"/>
  <c r="AA38" i="3"/>
  <c r="AE36" i="3"/>
  <c r="AB37" i="3"/>
  <c r="AG38" i="3"/>
  <c r="AK38" i="3"/>
  <c r="AI38" i="3"/>
  <c r="AC38" i="3" l="1"/>
  <c r="AA39" i="3"/>
  <c r="AE37" i="3"/>
  <c r="AB38" i="3"/>
  <c r="AI39" i="3"/>
  <c r="AG39" i="3"/>
  <c r="AK39" i="3"/>
  <c r="AC39" i="3" l="1"/>
  <c r="AA40" i="3"/>
  <c r="AE38" i="3"/>
  <c r="AK40" i="3"/>
  <c r="AB39" i="3"/>
  <c r="AG40" i="3"/>
  <c r="AI40" i="3"/>
  <c r="AC40" i="3" l="1"/>
  <c r="AA41" i="3"/>
  <c r="AE39" i="3"/>
  <c r="AK41" i="3"/>
  <c r="AB40" i="3"/>
  <c r="AG41" i="3"/>
  <c r="AI41" i="3"/>
  <c r="AC41" i="3" l="1"/>
  <c r="AA42" i="3"/>
  <c r="AE40" i="3"/>
  <c r="AK42" i="3"/>
  <c r="AG42" i="3"/>
  <c r="AB41" i="3"/>
  <c r="AI42" i="3"/>
  <c r="AC42" i="3" l="1"/>
  <c r="AA43" i="3"/>
  <c r="AE41" i="3"/>
  <c r="AI43" i="3"/>
  <c r="AK43" i="3"/>
  <c r="AB42" i="3"/>
  <c r="AG43" i="3"/>
  <c r="O9" i="3"/>
  <c r="N10" i="3"/>
  <c r="N7" i="3"/>
  <c r="O7" i="3"/>
  <c r="N8" i="3"/>
  <c r="O8" i="3"/>
  <c r="O10" i="3"/>
  <c r="N5" i="3" l="1"/>
  <c r="V2" i="3" s="1"/>
  <c r="AC43" i="3"/>
  <c r="AE42" i="3"/>
  <c r="AB43" i="3"/>
  <c r="N11" i="3"/>
  <c r="N9" i="3"/>
  <c r="O6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<sst xmlns="http://schemas.openxmlformats.org/spreadsheetml/2006/main" count="522" uniqueCount="162">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</sst>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4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8076A32-A9FB-44A0-A718-58771F8B3B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53273E3-AE5D-4149-802C-76726FEA1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46B9A87-10EA-460D-A6FD-0DB8B3C86F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B65D711-117C-486A-BB85-B0C712CE18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B5BE9A-0BE9-49EF-AB91-692AB73C11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3CDA56E-3471-421D-A24D-667EDE1CB0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BFA9265-9EE0-4E9C-868A-17AFB6F63E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728B5B-1BB8-4362-9CB2-398BC3824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A045FE-41CB-45C2-B061-466D96551B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6655C8-A954-4888-8CAB-A7385D8959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41387DF-C148-48F0-B9BE-25813B8B08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0EFE38A-07AC-43FC-9938-ACB6C0B778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DC9D12B-F068-412D-A179-E5F88EBBF8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D1793DB-988A-4A30-AB0D-CBEA47FA14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D772C01-3EE0-4DA7-93A9-23CE518E47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89C3234-A5F8-4720-B419-A7C83E94A7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DCA4750-913E-4EE0-AE7E-1F3DC56F54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42DE3F-C8AD-401B-9D8E-7BDB0C4A33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F574AD-78C3-4BFB-BA79-2B9A27DD00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2556E45-AC8D-403A-88A5-2710C2B275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AC6AD9E-6868-4E3F-A246-1E319B547B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BF0A806-43AD-462D-B80C-6B8EBAA70D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FD1FD05-2E05-479B-A5E7-79220927B9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FD37577-FD11-4BF6-9663-77BE0C96FB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4548E2C-A550-4C1A-958F-4634E2A7A3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1A0F96-1F69-48CB-9710-1BB237527D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844381-62F2-408F-88DC-5935FF445D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6856426-1FC9-44C7-BFD8-488D7822B4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1F79EA0-DDC2-49B9-91DB-865DB5A4DD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CA038B2-5B9B-40A2-8BA2-457836B012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255B6F8-06F5-4936-A956-137A50B923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8C2EDA-DDDE-4D5C-A19B-E888F37B3E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F23EA9-0743-4D22-8140-BF49DA7E9C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E74507-8F5D-4158-BCEC-41FCA7BF5B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032772B-6146-4B0F-A93B-E4A8DF38C8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85624D-A711-4B31-ABB0-8923CDD865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5D87E5C-23D1-4682-A7DC-B980D0AFFF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E399C0-E3E4-4B74-A53E-D031D1404C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E3841D-7E70-410A-A7F5-B48A84151E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D0D9B88-D12F-48F9-B66A-8BFA882E6B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40B6170-8602-46B4-B0EA-4C20A7D832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048453-3215-4207-80CF-7EE76D1033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299DCD-E009-44A0-91CF-25DB851271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B845B75-5C0C-492D-B4C7-D3BD105EFF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80492E-A557-4E17-8ECD-2A681C7E66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CE68320-E7E2-45E6-852B-082B07E001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9A7AD89-71C4-4639-8E65-956BFAA58D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A6CB00-B7C2-43FD-8CED-F468348C11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C7542A8-E67B-43DF-AAE5-E43DEA635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496ECDB-60A2-4FDE-AD2C-3EAD7E500E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F1A1F00-FED6-420E-A56F-02C2761D5B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BBCEAB-8A86-4BA1-B0A4-4D060D85C5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CDB91B-5296-4AAA-8E22-54EB83CC7B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0AAA34C-F0B0-479C-BDF5-996AD333BE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151891-5A86-4060-A235-2281E6288E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2EBF72C-D363-4C9F-B945-3FABF8878B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F398F7-A0B3-4E12-8409-43242CA1E2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5CC3BF6-7792-4815-A0F3-A409278FA1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7FEF07-C14C-48CD-B625-33CCB2415F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5D6A4A-236B-4DFA-B5B5-B87AC0751C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F9A962-8848-4CC7-A479-1532DE7C3A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40478B-455C-4B32-ACD1-21FB5ECA15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68CAC17-0E5E-4E27-8934-A23C87ED8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2E101D9-A5B2-4290-B142-2CE928F247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CBB254-2551-4294-8A7F-AF7DAC1E6E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AAEA4D-7A2F-4114-AEFC-487972077F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8F6303-E4B6-479C-8341-F4A7FF8700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0204E85-4042-425B-8348-7988F2BB8B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D558644-1B9A-4F24-9EC5-7635E02CD3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BEB1B4-2902-4443-B2DB-10BC41342B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5FBCFB3-2346-4958-99FF-448C187C70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DB1D6EE-94A5-447B-BDB4-DA0B0DADA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15D98ED-0770-4496-B7C2-CEF7157ADD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7F9D08-A0BB-4C8C-8DF7-28EBEBFE36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4E18E47-C857-4942-BBB0-E043A11AA5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06E6E4F-234C-4C72-A6D9-67AD696E47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9FC614E-2CA8-472F-9980-2A791F766E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C6F8009-A1EF-4F06-913F-F0C3FADA34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D3C14D-53B5-441A-AB36-01BBB787A4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D6C6002-1BE9-446B-982F-877372A0FB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375687E-4055-4AAC-95D6-4E5D1CF371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E60C851-0143-4DD9-B00D-16B8741E05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D72832D-8303-48FB-8995-050C1CB9BA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327045-7613-4558-8C08-96AA9ED5C7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6AE1BED-50F1-4817-ABAB-D3597582E6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4966D1E-DA3D-406D-ADCC-E1FBDF113F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59A90AE-213B-4F18-8ACF-7DD71C7BCE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F0D17AA-49F1-4185-BB8C-C8D37C1402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E440D81-E8EF-46E3-BC77-D557ACBD79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B8F6DF7-0D40-4AD3-A040-BE5335ACDD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ABE77C-439F-4BD8-95D3-59239B4903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D56025A-F489-4DD0-8BF5-9ECF0B16B3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1" dataDxfId="110">
  <autoFilter ref="R13:X16" xr:uid="{FF2C9E8B-1A62-479C-AF68-79B236C0B7BB}"/>
  <tableColumns count="7">
    <tableColumn id="1" xr3:uid="{727C6146-39EA-4E15-8783-53CAA87FAF36}" name="Zone ID" dataDxfId="109"/>
    <tableColumn id="2" xr3:uid="{2CA65110-6DD7-46D8-BFC2-5EB0C0E57567}" name="Description" dataDxfId="108"/>
    <tableColumn id="3" xr3:uid="{12D64F80-6A69-494F-BF8F-E326D34A185A}" name="Short Description" dataDxfId="107"/>
    <tableColumn id="4" xr3:uid="{71F3F5B2-8F6B-4985-B1FC-5A9D60095474}" name="Start Date" dataDxfId="106"/>
    <tableColumn id="5" xr3:uid="{57258378-8FED-4727-89AC-D938CB414B7B}" name="Finish Date" dataDxfId="105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04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03">
      <calculatedColumnFormula>IF(AA13 = "Date", $S$4, AA13+7)</calculatedColumnFormula>
    </tableColumn>
    <tableColumn id="6" xr3:uid="{5740AC03-CF53-4345-8667-6AC0CA6843D0}" name="Primary Areas" dataDxfId="102">
      <calculatedColumnFormula>PrimaryAreas(3)</calculatedColumnFormula>
    </tableColumn>
    <tableColumn id="2" xr3:uid="{AF232D3D-EC3F-4232-BA5D-1427173C2D6A}" name="Weekly Plan" dataDxfId="101">
      <calculatedColumnFormula xml:space="preserve"> IF(#REF!="", 0,#REF!)+ IF(#REF!="", 0,#REF!)+ IF(#REF!="", 0,#REF!)</calculatedColumnFormula>
    </tableColumn>
    <tableColumn id="3" xr3:uid="{B28103F6-7596-4848-9F0D-3E4A9E5CBEFE}" name="Weekly Actual" dataDxfId="100">
      <calculatedColumnFormula>IF(AND(ISBLANK(#REF!),ISBLANK(#REF!),ISBLANK(#REF!)),"",#REF! +#REF!+#REF!)</calculatedColumnFormula>
    </tableColumn>
    <tableColumn id="4" xr3:uid="{EF1C6009-71E6-491B-B64F-04049D2D9103}" name="Accumulated Plan" dataDxfId="99">
      <calculatedColumnFormula>SUM($AC$14:AC14)</calculatedColumnFormula>
    </tableColumn>
    <tableColumn id="5" xr3:uid="{442DAB73-1233-4C61-8DE9-3B44CE2C5D69}" name="Accumulated Actual" dataDxfId="98">
      <calculatedColumnFormula>IF(AD14="",NA(),SUM($AD$14:AD14))</calculatedColumnFormula>
    </tableColumn>
    <tableColumn id="43" xr3:uid="{CE31DBAF-57B0-4D4D-852A-B07516A73A41}" name="WP_A1" dataDxfId="97">
      <calculatedColumnFormula>WeeklyPlanned(Output_Template[[#Headers],[WP_A1]], Output_Template[[#This Row],[Date]])</calculatedColumnFormula>
    </tableColumn>
    <tableColumn id="44" xr3:uid="{A0857F89-2BC6-42D6-B02F-90D9272451CA}" name="WA_A1" dataDxfId="96"/>
    <tableColumn id="45" xr3:uid="{2A74D439-B21B-40DD-BB55-7D2C2B18629E}" name="WP_A2" dataDxfId="95">
      <calculatedColumnFormula>WeeklyPlanned(Output_Template[[#Headers],[WP_A2]], Output_Template[[#This Row],[Date]])</calculatedColumnFormula>
    </tableColumn>
    <tableColumn id="46" xr3:uid="{670DB326-434A-466C-9E3C-6A8FE180F21F}" name="WA_A2" dataDxfId="94"/>
    <tableColumn id="47" xr3:uid="{B6798EC6-DE2D-49BB-961E-220FED1F6F10}" name="WP_A3" dataDxfId="93">
      <calculatedColumnFormula>WeeklyPlanned(Output_Template[[#Headers],[WP_A3]], Output_Template[[#This Row],[Date]])</calculatedColumnFormula>
    </tableColumn>
    <tableColumn id="48" xr3:uid="{B2CB6DA2-6E53-4BAC-881B-229E451DFCE0}" name="WA_A3" dataDxfId="9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1">
  <autoFilter ref="H2:H5" xr:uid="{1041DC80-58D6-4308-9DE1-A4EC8AAD3C20}"/>
  <tableColumns count="1">
    <tableColumn id="1" xr3:uid="{0E6D3E77-7CB7-40A1-BCA6-DDC8164AAEB9}" name="Holidays" dataDxfId="90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58" dataDxfId="57">
  <autoFilter ref="R13:X21" xr:uid="{FF2C9E8B-1A62-479C-AF68-79B236C0B7BB}"/>
  <tableColumns count="7">
    <tableColumn id="1" xr3:uid="{9FED2BA1-A1A7-4513-A20F-F09DB113155D}" name="Zone ID" dataDxfId="56"/>
    <tableColumn id="2" xr3:uid="{8B67A205-5329-400B-84DC-CB06A032CF16}" name="Description" dataDxfId="55"/>
    <tableColumn id="3" xr3:uid="{2253D560-C30C-43DE-ABAB-BFAFD145DF40}" name="Short Description" dataDxfId="54"/>
    <tableColumn id="4" xr3:uid="{09E57ADB-1BEB-4CFB-B160-A9C7ADA56DE0}" name="Start Date" dataDxfId="53"/>
    <tableColumn id="5" xr3:uid="{B704EAFC-B4AE-45F3-A5AC-5189060C6D42}" name="Finish Date" dataDxfId="52"/>
    <tableColumn id="6" xr3:uid="{FAFABCDE-D7F7-45A9-83E7-80ADC6F01B0B}" name="Total" dataDxfId="51" dataCellStyle="Normal"/>
    <tableColumn id="7" xr3:uid="{F8D69A8D-7550-4939-9D63-599172BCFFFD}" name="Completed Total" dataDxfId="50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49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48">
      <calculatedColumnFormula>IF(AA13 = "Date", $S$4, AA13+7)</calculatedColumnFormula>
    </tableColumn>
    <tableColumn id="6" xr3:uid="{DE271CBB-C0FC-482D-929A-C21AEFAC32E4}" name="Primary Areas" dataDxfId="47">
      <calculatedColumnFormula>PrimaryAreas(8)</calculatedColumnFormula>
    </tableColumn>
    <tableColumn id="2" xr3:uid="{71EE47CC-75E0-49E1-B527-E1364059B0A6}" name="Weekly Plan" dataDxfId="46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45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44">
      <calculatedColumnFormula>SUM($AC$14:AC14)</calculatedColumnFormula>
    </tableColumn>
    <tableColumn id="5" xr3:uid="{CB7FAB5B-BEAB-4D4A-BD18-57DE0B5DE266}" name="Accumulated Actual" dataDxfId="43">
      <calculatedColumnFormula>IF(AD14="",NA(),SUM($AD$14:AD14))</calculatedColumnFormula>
    </tableColumn>
    <tableColumn id="7" xr3:uid="{2A1CBA5C-29D6-4EB1-8BAA-AF2C064B4A02}" name="WP_ABC" dataDxfId="42">
      <calculatedColumnFormula>WeeklyPlanned(Output_0501[[#Headers],[WP_ABC]], Output_0501[[#This Row],[Date]])</calculatedColumnFormula>
    </tableColumn>
    <tableColumn id="8" xr3:uid="{04DC9374-2B37-4BF5-AA39-F11FC0149281}" name="WA_ABC" dataDxfId="41"/>
    <tableColumn id="9" xr3:uid="{4F88CC2C-A480-4C5B-BA01-24B210AB447A}" name="WP_ACS" dataDxfId="40">
      <calculatedColumnFormula>WeeklyPlanned(Output_0501[[#Headers],[WP_ACS]], Output_0501[[#This Row],[Date]])</calculatedColumnFormula>
    </tableColumn>
    <tableColumn id="10" xr3:uid="{48C24C77-4D2B-435F-BBC2-FAD4AD540AB6}" name="WA_ACS" dataDxfId="39"/>
    <tableColumn id="11" xr3:uid="{75D5C587-305D-4077-9FAA-C79F65923E57}" name="WP_AL1" dataDxfId="38">
      <calculatedColumnFormula>WeeklyPlanned(Output_0501[[#Headers],[WP_AL1]], Output_0501[[#This Row],[Date]])</calculatedColumnFormula>
    </tableColumn>
    <tableColumn id="12" xr3:uid="{8077796C-E6FC-4EE3-89F7-798709387F7F}" name="WA_AL1" dataDxfId="37"/>
    <tableColumn id="13" xr3:uid="{792F3323-B0E8-4776-9689-FD45E57B619D}" name="WP_HBase" dataDxfId="36">
      <calculatedColumnFormula>WeeklyPlanned(Output_0501[[#Headers],[WP_HBase]], Output_0501[[#This Row],[Date]])</calculatedColumnFormula>
    </tableColumn>
    <tableColumn id="14" xr3:uid="{9E7E74B1-B432-4576-8F57-2DCED559C004}" name="WA_HBase" dataDxfId="35"/>
    <tableColumn id="15" xr3:uid="{6C8A9406-B3E7-4378-8961-19DE99A823B8}" name="WP_HWST" dataDxfId="34">
      <calculatedColumnFormula>WeeklyPlanned(Output_0501[[#Headers],[WP_HWST]], Output_0501[[#This Row],[Date]])</calculatedColumnFormula>
    </tableColumn>
    <tableColumn id="16" xr3:uid="{85632008-1A06-41BF-96BF-DF4F2942C8E3}" name="WA_HWST" dataDxfId="33"/>
    <tableColumn id="17" xr3:uid="{4ED0746A-56E1-4B9A-8D82-621AD6A805EE}" name="WP_HWSR" dataDxfId="32">
      <calculatedColumnFormula>WeeklyPlanned(Output_0501[[#Headers],[WP_HWSR]], Output_0501[[#This Row],[Date]])</calculatedColumnFormula>
    </tableColumn>
    <tableColumn id="18" xr3:uid="{616A2447-10D3-4C5E-BE98-C8594A351722}" name="WA_HWSR" dataDxfId="31"/>
    <tableColumn id="19" xr3:uid="{13711C20-54F0-41FE-93CC-92DB5745C53C}" name="WP_HL2" dataDxfId="30">
      <calculatedColumnFormula>WeeklyPlanned(Output_0501[[#Headers],[WP_HL2]], Output_0501[[#This Row],[Date]])</calculatedColumnFormula>
    </tableColumn>
    <tableColumn id="20" xr3:uid="{AE155A80-4969-4902-8DAF-8DC808584420}" name="WA_HL2" dataDxfId="29"/>
    <tableColumn id="21" xr3:uid="{186F9C43-2DF5-47B7-A779-6A42D4C3454E}" name="WP_HBCeil" dataDxfId="28">
      <calculatedColumnFormula>WeeklyPlanned(Output_0501[[#Headers],[WP_HBCeil]], Output_0501[[#This Row],[Date]])</calculatedColumnFormula>
    </tableColumn>
    <tableColumn id="22" xr3:uid="{7F8ADB3E-C083-4C51-8B5A-9EACC6ABF4A0}" name="WA_HBCeil" dataDxfId="27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19" dataDxfId="18">
  <autoFilter ref="R13:X16" xr:uid="{FF2C9E8B-1A62-479C-AF68-79B236C0B7BB}"/>
  <tableColumns count="7">
    <tableColumn id="1" xr3:uid="{98B6CEFA-F45C-41F6-AA4B-12A3C8376FF3}" name="Zone ID" dataDxfId="17"/>
    <tableColumn id="2" xr3:uid="{0EED481C-6B7F-45EA-96EB-621E9C83F3F6}" name="Description" dataDxfId="16"/>
    <tableColumn id="3" xr3:uid="{92B65829-37BF-4514-B7D6-292B5B8F0C44}" name="Short Description" dataDxfId="15"/>
    <tableColumn id="4" xr3:uid="{80A86D55-7D1D-4DFA-811D-6869E0913B53}" name="Start Date" dataDxfId="14"/>
    <tableColumn id="5" xr3:uid="{93521AA3-7D74-4D93-B395-07061FC7E0C3}" name="Finish Date" dataDxfId="13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12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11">
      <calculatedColumnFormula>IF(AA13 = "Date", $S$4, AA13+7)</calculatedColumnFormula>
    </tableColumn>
    <tableColumn id="6" xr3:uid="{AB52DC66-705D-403C-9556-5F09775CDBB4}" name="Primary Areas" dataDxfId="10">
      <calculatedColumnFormula>PrimaryAreas(3)</calculatedColumnFormula>
    </tableColumn>
    <tableColumn id="2" xr3:uid="{B199DE9E-07BB-4F6F-BF0F-FD9612C1E4A1}" name="Weekly Plan" dataDxfId="9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8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7">
      <calculatedColumnFormula>SUM($AC$14:AC14)</calculatedColumnFormula>
    </tableColumn>
    <tableColumn id="5" xr3:uid="{651F866A-913C-41F0-96AF-A1AE2AFF845B}" name="Accumulated Actual" dataDxfId="6">
      <calculatedColumnFormula>IF(AD14="",NA(),SUM($AD$14:AD14))</calculatedColumnFormula>
    </tableColumn>
    <tableColumn id="43" xr3:uid="{32BBBBE6-824B-424A-A817-1078C82774BD}" name="WP_A1" dataDxfId="5">
      <calculatedColumnFormula>WeeklyPlanned(Output_0001[[#Headers],[WP_A1]], Output_0001[[#This Row],[Date]])</calculatedColumnFormula>
    </tableColumn>
    <tableColumn id="44" xr3:uid="{2E76C9D7-DBC3-40AA-B2D2-F2A8133ADEDC}" name="WA_A1" dataDxfId="4"/>
    <tableColumn id="45" xr3:uid="{8349A05E-AB3B-4D38-86D5-C3757AF0C549}" name="WP_A2" dataDxfId="3">
      <calculatedColumnFormula>WeeklyPlanned(Output_0001[[#Headers],[WP_A2]], Output_0001[[#This Row],[Date]])</calculatedColumnFormula>
    </tableColumn>
    <tableColumn id="46" xr3:uid="{98829D33-590E-463C-A7AE-DB10CF64BCCB}" name="WA_A2" dataDxfId="2"/>
    <tableColumn id="47" xr3:uid="{0C2A1C55-569B-4688-8BB0-54DD665AAD32}" name="WP_A3" dataDxfId="1">
      <calculatedColumnFormula>WeeklyPlanned(Output_0001[[#Headers],[WP_A3]], Output_0001[[#This Row],[Date]])</calculatedColumnFormula>
    </tableColumn>
    <tableColumn id="48" xr3:uid="{5EA3C838-64EE-4DF3-8DFE-BE9B5AC605F5}" name="WA_A3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C1" zoomScale="85" zoomScaleNormal="85" workbookViewId="0">
      <selection activeCell="T29" sqref="T29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76" t="s">
        <v>80</v>
      </c>
      <c r="AB1" s="77"/>
    </row>
    <row r="2" spans="2:39" x14ac:dyDescent="0.3">
      <c r="B2" s="89" t="str">
        <f>_xlfn.CONCAT("PROGRESS REPORT ", TEXT(S3,"mm/dd/yyyy"))</f>
        <v>PROGRESS REPORT 07/01/2020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5" t="str">
        <f>Project_Name</f>
        <v>St. George Temple Major Renovation 2019</v>
      </c>
      <c r="D4" s="95"/>
      <c r="E4" s="95"/>
      <c r="F4" s="95"/>
      <c r="G4" s="95"/>
      <c r="H4" s="95"/>
      <c r="I4" s="95"/>
      <c r="J4" s="96" t="s">
        <v>38</v>
      </c>
      <c r="K4" s="96"/>
      <c r="L4" s="96"/>
      <c r="M4" s="96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5" t="str">
        <f>Project_Number</f>
        <v>S590</v>
      </c>
      <c r="D5" s="95"/>
      <c r="E5" s="95"/>
      <c r="F5" s="95"/>
      <c r="G5" s="95"/>
      <c r="H5" s="95"/>
      <c r="I5" s="95"/>
      <c r="J5" s="88" t="s">
        <v>42</v>
      </c>
      <c r="K5" s="88"/>
      <c r="L5" s="88"/>
      <c r="M5" s="88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5" t="str">
        <f>Main!C33</f>
        <v>Sample Sub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(SF)</v>
      </c>
      <c r="K6" s="88"/>
      <c r="L6" s="88"/>
      <c r="M6" s="88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5" t="str">
        <f>RIGHT(Main!B33, LEN(Main!B33) - 4)</f>
        <v>Sample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(SF)</v>
      </c>
      <c r="K7" s="88"/>
      <c r="L7" s="88"/>
      <c r="M7" s="88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88" t="str">
        <f>_xlfn.CONCAT("This Week's Production (", IF(ISBLANK($S$6),"",$S$6), ")")</f>
        <v>This Week's Production (SF)</v>
      </c>
      <c r="K8" s="88"/>
      <c r="L8" s="88"/>
      <c r="M8" s="88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88" t="str">
        <f>_xlfn.CONCAT("Weekly Average (", IF(ISBLANK($S$6),"",$S$6), ")")</f>
        <v>Weekly Average (SF)</v>
      </c>
      <c r="K9" s="88"/>
      <c r="L9" s="88"/>
      <c r="M9" s="88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2" t="s">
        <v>116</v>
      </c>
      <c r="V9" s="82"/>
      <c r="W9" s="82"/>
      <c r="X9" s="82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88" t="str">
        <f>_xlfn.CONCAT("Average Past 4 Weeks (", IF(ISBLANK($S$6),"",$S$6), ")")</f>
        <v>Average Past 4 Weeks (SF)</v>
      </c>
      <c r="K10" s="88"/>
      <c r="L10" s="88"/>
      <c r="M10" s="88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3" t="s">
        <v>157</v>
      </c>
      <c r="V10" s="83"/>
      <c r="W10" s="83"/>
      <c r="X10" s="83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88" t="str">
        <f>_xlfn.CONCAT("On Schedule Average (", IF(ISBLANK($S$6),"",$S$6), ")")</f>
        <v>On Schedule Average (SF)</v>
      </c>
      <c r="K11" s="88"/>
      <c r="L11" s="88"/>
      <c r="M11" s="88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3"/>
      <c r="V11" s="83"/>
      <c r="W11" s="83"/>
      <c r="X11" s="83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78" t="s">
        <v>45</v>
      </c>
      <c r="K12" s="78"/>
      <c r="L12" s="78"/>
      <c r="M12" s="78"/>
      <c r="N12" s="79">
        <f ca="1">MAX(INDIRECT("Input_"&amp;$S$2&amp;"[Finish Date]"))</f>
        <v>44105</v>
      </c>
      <c r="O12" s="80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78" t="s">
        <v>46</v>
      </c>
      <c r="K13" s="78"/>
      <c r="L13" s="78"/>
      <c r="M13" s="78"/>
      <c r="N13" s="79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1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4"/>
      <c r="N14" s="84"/>
      <c r="O14" s="85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6"/>
      <c r="M15" s="86"/>
      <c r="N15" s="86"/>
      <c r="O15" s="87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118" priority="10">
      <formula>ISERROR(AF14)</formula>
    </cfRule>
  </conditionalFormatting>
  <conditionalFormatting sqref="W13:X13">
    <cfRule type="expression" dxfId="117" priority="8">
      <formula>IF(OR($S$8 = "Assemble Addin", $S$8 = "Bluebeam QL"), TRUE, FALSE)</formula>
    </cfRule>
  </conditionalFormatting>
  <conditionalFormatting sqref="N6:O6">
    <cfRule type="expression" dxfId="116" priority="7">
      <formula>IF($N$6=$O$6, FALSE, TRUE)</formula>
    </cfRule>
  </conditionalFormatting>
  <conditionalFormatting sqref="W14:X16">
    <cfRule type="expression" dxfId="115" priority="5">
      <formula>IF(OR($S$8 = "Assemble Addin", $S$8 = "Bluebeam QL"), TRUE, FALSE)</formula>
    </cfRule>
    <cfRule type="expression" dxfId="114" priority="6">
      <formula>IF(OR($S$8 = "Assemble Addin", $S$8 = "Bluebeam QL"), MOD(ROW(), 2)=0, FALSE)</formula>
    </cfRule>
  </conditionalFormatting>
  <conditionalFormatting sqref="R13">
    <cfRule type="expression" dxfId="113" priority="2">
      <formula>IF($S$8 = "Assemble Addin", TRUE, FALSE)</formula>
    </cfRule>
  </conditionalFormatting>
  <conditionalFormatting sqref="R14:R16">
    <cfRule type="expression" dxfId="112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7" t="str">
        <f>UPPER("Structural Steel 07/01/2020")</f>
        <v>STRUCTURAL STEEL 07/01/2020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</row>
    <row r="2" spans="1:14" x14ac:dyDescent="0.35">
      <c r="A2" s="97"/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</row>
    <row r="34" spans="1:14" x14ac:dyDescent="0.35">
      <c r="A34" s="98" t="s">
        <v>116</v>
      </c>
      <c r="B34" s="99"/>
      <c r="C34" s="99"/>
      <c r="D34" s="99"/>
      <c r="E34" s="99"/>
      <c r="F34" s="99"/>
      <c r="G34" s="99"/>
      <c r="H34" s="99"/>
      <c r="I34" s="99"/>
      <c r="J34" s="99"/>
      <c r="K34" s="99"/>
      <c r="L34" s="99"/>
      <c r="M34" s="99"/>
      <c r="N34" s="99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C11" sqref="C11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0" t="s">
        <v>5</v>
      </c>
      <c r="F1" s="100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1" t="s">
        <v>6</v>
      </c>
      <c r="C2" s="101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zoomScale="115" zoomScaleNormal="115" workbookViewId="0">
      <selection activeCell="H39" sqref="H39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3" t="str">
        <f>"PROGRESS REPORT "&amp; TEXT(Report_Date, "mm/dd/yyy")</f>
        <v>PROGRESS REPORT 07/01/2020</v>
      </c>
      <c r="C2" s="103"/>
      <c r="D2" s="103"/>
      <c r="E2" s="103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">
      <c r="B11" s="102" t="s">
        <v>26</v>
      </c>
      <c r="C11" s="102"/>
      <c r="D11" s="102"/>
      <c r="E11" s="102"/>
      <c r="F11" s="16"/>
      <c r="G11" s="16"/>
      <c r="H11" s="16"/>
      <c r="I11" s="16"/>
      <c r="J11" s="16"/>
      <c r="K11" s="16"/>
      <c r="L11" s="67" t="s">
        <v>136</v>
      </c>
    </row>
    <row r="12" spans="2:12" hidden="1" x14ac:dyDescent="0.3">
      <c r="B12" s="13"/>
      <c r="G12" s="38"/>
      <c r="H12" s="37"/>
    </row>
    <row r="13" spans="2:12" ht="15" hidden="1" x14ac:dyDescent="0.3">
      <c r="B13" s="102" t="s">
        <v>27</v>
      </c>
      <c r="C13" s="102"/>
      <c r="D13" s="102"/>
      <c r="E13" s="102"/>
      <c r="F13" s="16"/>
      <c r="G13" s="16"/>
      <c r="H13" s="16"/>
      <c r="I13" s="16"/>
      <c r="J13" s="16"/>
      <c r="K13" s="16"/>
      <c r="L13" s="67" t="s">
        <v>136</v>
      </c>
    </row>
    <row r="14" spans="2:12" hidden="1" x14ac:dyDescent="0.3">
      <c r="B14" s="9"/>
      <c r="G14" s="73"/>
      <c r="H14" s="37"/>
    </row>
    <row r="15" spans="2:12" ht="15" x14ac:dyDescent="0.3">
      <c r="B15" s="102" t="s">
        <v>28</v>
      </c>
      <c r="C15" s="102"/>
      <c r="D15" s="102"/>
      <c r="E15" s="102"/>
      <c r="F15" s="16"/>
      <c r="G15" s="16"/>
      <c r="H15" s="16"/>
      <c r="I15" s="16"/>
      <c r="J15" s="16"/>
      <c r="K15" s="16"/>
      <c r="L15" s="67" t="s">
        <v>136</v>
      </c>
    </row>
    <row r="16" spans="2:12" x14ac:dyDescent="0.3">
      <c r="B16" s="9" t="s">
        <v>151</v>
      </c>
      <c r="C16" s="67" t="s">
        <v>149</v>
      </c>
      <c r="D16" s="10">
        <f ca="1">'0501'!N5</f>
        <v>0</v>
      </c>
      <c r="E16" s="10">
        <f ca="1">'0501'!O5</f>
        <v>0.10714285714285712</v>
      </c>
      <c r="G16" s="73"/>
      <c r="H16" s="37" t="s">
        <v>150</v>
      </c>
      <c r="I16" s="74" t="str">
        <f ca="1">IF(Report_Date = INDIRECT(H16 &amp; "!S9"), "Ready", "Not Ready")</f>
        <v>Ready</v>
      </c>
      <c r="J16" s="67" t="s">
        <v>160</v>
      </c>
      <c r="K16" s="67" t="s">
        <v>161</v>
      </c>
    </row>
    <row r="17" spans="2:12" x14ac:dyDescent="0.3">
      <c r="B17" s="9"/>
      <c r="G17" s="73"/>
      <c r="H17" s="37"/>
    </row>
    <row r="18" spans="2:12" ht="15" hidden="1" x14ac:dyDescent="0.3">
      <c r="B18" s="102" t="s">
        <v>29</v>
      </c>
      <c r="C18" s="102"/>
      <c r="D18" s="102"/>
      <c r="E18" s="102"/>
      <c r="F18" s="16"/>
      <c r="G18" s="16"/>
      <c r="H18" s="16"/>
      <c r="I18" s="16"/>
      <c r="J18" s="16"/>
      <c r="K18" s="16"/>
      <c r="L18" s="67" t="s">
        <v>136</v>
      </c>
    </row>
    <row r="19" spans="2:12" hidden="1" x14ac:dyDescent="0.3">
      <c r="B19" s="9"/>
      <c r="G19" s="73"/>
      <c r="H19" s="37"/>
    </row>
    <row r="20" spans="2:12" ht="15" hidden="1" x14ac:dyDescent="0.3">
      <c r="B20" s="102" t="s">
        <v>30</v>
      </c>
      <c r="C20" s="102"/>
      <c r="D20" s="102"/>
      <c r="E20" s="102"/>
      <c r="F20" s="16"/>
      <c r="G20" s="16"/>
      <c r="H20" s="16"/>
      <c r="I20" s="16"/>
      <c r="J20" s="16"/>
      <c r="K20" s="16"/>
      <c r="L20" s="67" t="s">
        <v>136</v>
      </c>
    </row>
    <row r="21" spans="2:12" hidden="1" x14ac:dyDescent="0.3">
      <c r="B21" s="9"/>
      <c r="G21" s="73"/>
      <c r="H21" s="37"/>
    </row>
    <row r="22" spans="2:12" ht="15" hidden="1" x14ac:dyDescent="0.3">
      <c r="B22" s="102" t="s">
        <v>127</v>
      </c>
      <c r="C22" s="102"/>
      <c r="D22" s="102"/>
      <c r="E22" s="102"/>
      <c r="F22" s="16"/>
      <c r="G22" s="16"/>
      <c r="H22" s="16"/>
      <c r="I22" s="16"/>
      <c r="J22" s="16"/>
      <c r="K22" s="16"/>
      <c r="L22" s="67" t="s">
        <v>136</v>
      </c>
    </row>
    <row r="23" spans="2:12" hidden="1" x14ac:dyDescent="0.3">
      <c r="B23" s="9"/>
      <c r="G23" s="73"/>
      <c r="H23" s="37"/>
    </row>
    <row r="24" spans="2:12" ht="15" hidden="1" x14ac:dyDescent="0.3">
      <c r="B24" s="102" t="s">
        <v>128</v>
      </c>
      <c r="C24" s="102"/>
      <c r="D24" s="102"/>
      <c r="E24" s="102"/>
      <c r="F24" s="16"/>
      <c r="G24" s="16"/>
      <c r="H24" s="16"/>
      <c r="I24" s="16"/>
      <c r="J24" s="16"/>
      <c r="K24" s="16"/>
      <c r="L24" s="67" t="s">
        <v>136</v>
      </c>
    </row>
    <row r="25" spans="2:12" hidden="1" x14ac:dyDescent="0.3">
      <c r="B25" s="9"/>
      <c r="G25" s="73"/>
      <c r="H25" s="37"/>
    </row>
    <row r="26" spans="2:12" ht="15" hidden="1" x14ac:dyDescent="0.3">
      <c r="B26" s="102" t="s">
        <v>129</v>
      </c>
      <c r="C26" s="102"/>
      <c r="D26" s="102"/>
      <c r="E26" s="102"/>
      <c r="F26" s="16"/>
      <c r="G26" s="16"/>
      <c r="H26" s="16"/>
      <c r="I26" s="16"/>
      <c r="J26" s="16"/>
      <c r="K26" s="16"/>
      <c r="L26" s="67" t="s">
        <v>136</v>
      </c>
    </row>
    <row r="27" spans="2:12" hidden="1" x14ac:dyDescent="0.3">
      <c r="B27" s="9"/>
      <c r="G27" s="73"/>
      <c r="H27" s="37"/>
    </row>
    <row r="28" spans="2:12" ht="15" hidden="1" x14ac:dyDescent="0.3">
      <c r="B28" s="102" t="s">
        <v>130</v>
      </c>
      <c r="C28" s="102"/>
      <c r="D28" s="102"/>
      <c r="E28" s="102"/>
      <c r="F28" s="16"/>
      <c r="G28" s="16"/>
      <c r="H28" s="16"/>
      <c r="I28" s="16"/>
      <c r="J28" s="16"/>
      <c r="K28" s="16"/>
      <c r="L28" s="67" t="s">
        <v>136</v>
      </c>
    </row>
    <row r="29" spans="2:12" hidden="1" x14ac:dyDescent="0.3">
      <c r="B29" s="9"/>
      <c r="G29" s="73"/>
      <c r="H29" s="37"/>
    </row>
    <row r="30" spans="2:12" ht="15" hidden="1" x14ac:dyDescent="0.3">
      <c r="B30" s="102" t="s">
        <v>131</v>
      </c>
      <c r="C30" s="102"/>
      <c r="D30" s="102"/>
      <c r="E30" s="102"/>
      <c r="F30" s="16"/>
      <c r="G30" s="16"/>
      <c r="H30" s="16"/>
      <c r="I30" s="16"/>
      <c r="J30" s="16"/>
      <c r="K30" s="16"/>
      <c r="L30" s="67" t="s">
        <v>136</v>
      </c>
    </row>
    <row r="31" spans="2:12" hidden="1" x14ac:dyDescent="0.3">
      <c r="B31" s="9"/>
      <c r="G31" s="73"/>
      <c r="H31" s="37"/>
    </row>
    <row r="32" spans="2:12" ht="15" x14ac:dyDescent="0.3">
      <c r="B32" s="102" t="s">
        <v>132</v>
      </c>
      <c r="C32" s="102"/>
      <c r="D32" s="102"/>
      <c r="E32" s="102"/>
      <c r="F32" s="16"/>
      <c r="G32" s="16"/>
      <c r="H32" s="16"/>
      <c r="I32" s="16"/>
      <c r="J32" s="16"/>
      <c r="K32" s="16"/>
      <c r="L32" s="67" t="s">
        <v>136</v>
      </c>
    </row>
    <row r="33" spans="2:10" x14ac:dyDescent="0.3">
      <c r="B33" s="9" t="s">
        <v>154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160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2:E15 E17:E21">
    <cfRule type="expression" dxfId="89" priority="57">
      <formula>IF(ISBLANK($D12), FALSE, IF(RedGreen_Formatting = "Enabled", $D12 &lt;= $E12 + Percent_Error, FALSE))</formula>
    </cfRule>
    <cfRule type="expression" dxfId="88" priority="58">
      <formula>IF(ISBLANK($D12), FALSE, IF(RedGreen_Formatting = "Enabled", $D12 &gt; $E12 + Percent_Error, FALSE))</formula>
    </cfRule>
  </conditionalFormatting>
  <conditionalFormatting sqref="E22">
    <cfRule type="expression" dxfId="87" priority="55">
      <formula>IF(ISBLANK($D22), FALSE, IF(RedGreen_Formatting = "Enabled", $D22 &lt;= $E22 + Percent_Error, FALSE))</formula>
    </cfRule>
    <cfRule type="expression" dxfId="86" priority="56">
      <formula>IF(ISBLANK($D22), FALSE, IF(RedGreen_Formatting = "Enabled", $D22 &gt; $E22 + Percent_Error, FALSE))</formula>
    </cfRule>
  </conditionalFormatting>
  <conditionalFormatting sqref="E24">
    <cfRule type="expression" dxfId="85" priority="53">
      <formula>IF(ISBLANK($D24), FALSE, IF(RedGreen_Formatting = "Enabled", $D24 &lt;= $E24 + Percent_Error, FALSE))</formula>
    </cfRule>
    <cfRule type="expression" dxfId="84" priority="54">
      <formula>IF(ISBLANK($D24), FALSE, IF(RedGreen_Formatting = "Enabled", $D24 &gt; $E24 + Percent_Error, FALSE))</formula>
    </cfRule>
  </conditionalFormatting>
  <conditionalFormatting sqref="E26">
    <cfRule type="expression" dxfId="83" priority="51">
      <formula>IF(ISBLANK($D26), FALSE, IF(RedGreen_Formatting = "Enabled", $D26 &lt;= $E26 + Percent_Error, FALSE))</formula>
    </cfRule>
    <cfRule type="expression" dxfId="82" priority="52">
      <formula>IF(ISBLANK($D26), FALSE, IF(RedGreen_Formatting = "Enabled", $D26 &gt; $E26 + Percent_Error, FALSE))</formula>
    </cfRule>
  </conditionalFormatting>
  <conditionalFormatting sqref="E28">
    <cfRule type="expression" dxfId="81" priority="49">
      <formula>IF(ISBLANK($D28), FALSE, IF(RedGreen_Formatting = "Enabled", $D28 &lt;= $E28 + Percent_Error, FALSE))</formula>
    </cfRule>
    <cfRule type="expression" dxfId="80" priority="50">
      <formula>IF(ISBLANK($D28), FALSE, IF(RedGreen_Formatting = "Enabled", $D28 &gt; $E28 + Percent_Error, FALSE))</formula>
    </cfRule>
  </conditionalFormatting>
  <conditionalFormatting sqref="E30">
    <cfRule type="expression" dxfId="79" priority="47">
      <formula>IF(ISBLANK($D30), FALSE, IF(RedGreen_Formatting = "Enabled", $D30 &lt;= $E30 + Percent_Error, FALSE))</formula>
    </cfRule>
    <cfRule type="expression" dxfId="78" priority="48">
      <formula>IF(ISBLANK($D30), FALSE, IF(RedGreen_Formatting = "Enabled", $D30 &gt; $E30 + Percent_Error, FALSE))</formula>
    </cfRule>
  </conditionalFormatting>
  <conditionalFormatting sqref="E32">
    <cfRule type="expression" dxfId="77" priority="45">
      <formula>IF(ISBLANK($D32), FALSE, IF(RedGreen_Formatting = "Enabled", $D32 &lt;= $E32 + Percent_Error, FALSE))</formula>
    </cfRule>
    <cfRule type="expression" dxfId="76" priority="46">
      <formula>IF(ISBLANK($D32), FALSE, IF(RedGreen_Formatting = "Enabled", $D32 &gt; $E32 + Percent_Error, FALSE))</formula>
    </cfRule>
  </conditionalFormatting>
  <conditionalFormatting sqref="E34">
    <cfRule type="expression" dxfId="75" priority="27">
      <formula>IF(ISBLANK($D34), FALSE, IF(RedGreen_Formatting = "Enabled", $D34 &lt;= $E34 + Percent_Error, FALSE))</formula>
    </cfRule>
    <cfRule type="expression" dxfId="74" priority="28">
      <formula>IF(ISBLANK($D34), FALSE, IF(RedGreen_Formatting = "Enabled", $D34 &gt; $E34 + Percent_Error, FALSE))</formula>
    </cfRule>
  </conditionalFormatting>
  <conditionalFormatting sqref="E33">
    <cfRule type="expression" dxfId="73" priority="7">
      <formula>IF(ISBLANK($D33), FALSE, IF(RedGreen_Formatting = "Enabled", $D33 &lt;= $E33 + Percent_Error, FALSE))</formula>
    </cfRule>
    <cfRule type="expression" dxfId="72" priority="8">
      <formula>IF(ISBLANK($D33), FALSE, IF(RedGreen_Formatting = "Enabled", $D33 &gt; $E33 + Percent_Error, FALSE))</formula>
    </cfRule>
  </conditionalFormatting>
  <conditionalFormatting sqref="E16">
    <cfRule type="expression" dxfId="71" priority="5">
      <formula>IF(ISBLANK($D16), FALSE, IF(RedGreen_Formatting = "Enabled", $D16 &lt;= $E16 + Percent_Error, FALSE))</formula>
    </cfRule>
    <cfRule type="expression" dxfId="70" priority="6">
      <formula>IF(ISBLANK($D16), FALSE, IF(RedGreen_Formatting = "Enabled", $D16 &gt; $E16 + Percent_Error, FALSE))</formula>
    </cfRule>
  </conditionalFormatting>
  <conditionalFormatting sqref="I16">
    <cfRule type="cellIs" dxfId="69" priority="3" operator="equal">
      <formula>"Not Ready"</formula>
    </cfRule>
    <cfRule type="cellIs" dxfId="68" priority="4" operator="equal">
      <formula>"Ready"</formula>
    </cfRule>
  </conditionalFormatting>
  <conditionalFormatting sqref="I33">
    <cfRule type="cellIs" dxfId="67" priority="1" operator="equal">
      <formula>"Not Ready"</formula>
    </cfRule>
    <cfRule type="cellIs" dxfId="66" priority="2" operator="equal">
      <formula>"Ready"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S32" sqref="S32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" style="65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4.5" thickBot="1" x14ac:dyDescent="0.35">
      <c r="AA1" s="76" t="s">
        <v>80</v>
      </c>
      <c r="AB1" s="77"/>
    </row>
    <row r="2" spans="2:49" x14ac:dyDescent="0.3">
      <c r="B2" s="89" t="str">
        <f>_xlfn.CONCAT("PROGRESS REPORT ", TEXT(S3,"mm/dd/yyyy"))</f>
        <v>PROGRESS REPORT 07/01/2020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5" t="str">
        <f>Project_Name</f>
        <v>St. George Temple Major Renovation 2019</v>
      </c>
      <c r="D4" s="95"/>
      <c r="E4" s="95"/>
      <c r="F4" s="95"/>
      <c r="G4" s="95"/>
      <c r="H4" s="95"/>
      <c r="I4" s="95"/>
      <c r="J4" s="96" t="s">
        <v>38</v>
      </c>
      <c r="K4" s="96"/>
      <c r="L4" s="96"/>
      <c r="M4" s="96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5" t="str">
        <f>Project_Number</f>
        <v>S590</v>
      </c>
      <c r="D5" s="95"/>
      <c r="E5" s="95"/>
      <c r="F5" s="95"/>
      <c r="G5" s="95"/>
      <c r="H5" s="95"/>
      <c r="I5" s="95"/>
      <c r="J5" s="88" t="s">
        <v>42</v>
      </c>
      <c r="K5" s="88"/>
      <c r="L5" s="88"/>
      <c r="M5" s="88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95" t="str">
        <f>Main!C16</f>
        <v>Glassey Steel Works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(Count)</v>
      </c>
      <c r="K6" s="88"/>
      <c r="L6" s="88"/>
      <c r="M6" s="88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5" t="str">
        <f>RIGHT(Main!B16, LEN(Main!B16) - 4)</f>
        <v>Structural Steel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(Count)</v>
      </c>
      <c r="K7" s="88"/>
      <c r="L7" s="88"/>
      <c r="M7" s="88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88" t="str">
        <f>_xlfn.CONCAT("This Week's Production (", IF(ISBLANK($S$6),"",$S$6), ")")</f>
        <v>This Week's Production (Count)</v>
      </c>
      <c r="K8" s="88"/>
      <c r="L8" s="88"/>
      <c r="M8" s="88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88" t="str">
        <f>_xlfn.CONCAT("Weekly Average (", IF(ISBLANK($S$6),"",$S$6), ")")</f>
        <v>Weekly Average (Count)</v>
      </c>
      <c r="K9" s="88"/>
      <c r="L9" s="88"/>
      <c r="M9" s="88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159</v>
      </c>
      <c r="S9" s="20">
        <v>44013</v>
      </c>
      <c r="T9" s="17" t="s">
        <v>114</v>
      </c>
      <c r="U9" s="82" t="s">
        <v>116</v>
      </c>
      <c r="V9" s="82"/>
      <c r="W9" s="82"/>
      <c r="X9" s="82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88" t="str">
        <f>_xlfn.CONCAT("Average Past 4 Weeks (", IF(ISBLANK($S$6),"",$S$6), ")")</f>
        <v>Average Past 4 Weeks (Count)</v>
      </c>
      <c r="K10" s="88"/>
      <c r="L10" s="88"/>
      <c r="M10" s="88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3"/>
      <c r="V10" s="83"/>
      <c r="W10" s="83"/>
      <c r="X10" s="83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88" t="str">
        <f>_xlfn.CONCAT("On Schedule Average (", IF(ISBLANK($S$6),"",$S$6), ")")</f>
        <v>On Schedule Average (Count)</v>
      </c>
      <c r="K11" s="88"/>
      <c r="L11" s="88"/>
      <c r="M11" s="88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3"/>
      <c r="V11" s="83"/>
      <c r="W11" s="83"/>
      <c r="X11" s="83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78" t="s">
        <v>45</v>
      </c>
      <c r="K12" s="78"/>
      <c r="L12" s="78"/>
      <c r="M12" s="78"/>
      <c r="N12" s="79">
        <f ca="1">MAX(INDIRECT("Input_"&amp;$S$2&amp;"[Finish Date]"))</f>
        <v>44195</v>
      </c>
      <c r="O12" s="80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78" t="s">
        <v>46</v>
      </c>
      <c r="K13" s="78"/>
      <c r="L13" s="78"/>
      <c r="M13" s="78"/>
      <c r="N13" s="79">
        <f ca="1">IF($O$5&gt;0.999, "Completed", WORKDAY($S$3, ROUNDUP((SUM(Input_0501[Total])-(INDIRECT("AF"&amp;MATCH($S$3, Output_0501[Date],0)+13)))/($O$10/COUNTIF($U$2:$U$8, TRUE)),0), Holidays_Table[Holidays]))</f>
        <v>44285</v>
      </c>
      <c r="O13" s="81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4"/>
      <c r="N14" s="84"/>
      <c r="O14" s="85"/>
      <c r="R14" s="36"/>
      <c r="S14" s="37" t="s">
        <v>137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6"/>
      <c r="M15" s="86"/>
      <c r="N15" s="86"/>
      <c r="O15" s="87"/>
      <c r="R15" s="36"/>
      <c r="S15" s="37" t="s">
        <v>138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139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140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144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143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142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141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65" priority="7">
      <formula>ISERROR(AF14)</formula>
    </cfRule>
  </conditionalFormatting>
  <conditionalFormatting sqref="W13:X13">
    <cfRule type="expression" dxfId="64" priority="6">
      <formula>IF(OR($S$8 = "Assemble Addin", $S$8 = "Bluebeam QL"), TRUE, FALSE)</formula>
    </cfRule>
  </conditionalFormatting>
  <conditionalFormatting sqref="N6:O6">
    <cfRule type="expression" dxfId="63" priority="5">
      <formula>IF($N$6=$O$6, FALSE, TRUE)</formula>
    </cfRule>
  </conditionalFormatting>
  <conditionalFormatting sqref="W14:X21">
    <cfRule type="expression" dxfId="62" priority="3">
      <formula>IF(OR($S$8 = "Assemble Addin", $S$8 = "Bluebeam QL"), TRUE, FALSE)</formula>
    </cfRule>
    <cfRule type="expression" dxfId="61" priority="4">
      <formula>IF(OR($S$8 = "Assemble Addin", $S$8 = "Bluebeam QL"), MOD(ROW(), 2)=0, FALSE)</formula>
    </cfRule>
  </conditionalFormatting>
  <conditionalFormatting sqref="R13">
    <cfRule type="expression" dxfId="60" priority="2">
      <formula>IF($S$8 = "Assemble Addin", TRUE, FALSE)</formula>
    </cfRule>
  </conditionalFormatting>
  <conditionalFormatting sqref="R14:R21">
    <cfRule type="expression" dxfId="59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6" t="s">
        <v>80</v>
      </c>
      <c r="AB1" s="77"/>
    </row>
    <row r="2" spans="2:39" x14ac:dyDescent="0.3">
      <c r="B2" s="89" t="str">
        <f>_xlfn.CONCAT("PROGRESS REPORT ", TEXT(S3,"mm/dd/yyyy"))</f>
        <v>PROGRESS REPORT 07/01/2020</v>
      </c>
      <c r="C2" s="90"/>
      <c r="D2" s="90"/>
      <c r="E2" s="90"/>
      <c r="F2" s="90"/>
      <c r="G2" s="90"/>
      <c r="H2" s="90"/>
      <c r="I2" s="90"/>
      <c r="J2" s="90"/>
      <c r="K2" s="90"/>
      <c r="L2" s="90"/>
      <c r="M2" s="90"/>
      <c r="N2" s="90"/>
      <c r="O2" s="91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2"/>
      <c r="C3" s="93"/>
      <c r="D3" s="93"/>
      <c r="E3" s="93"/>
      <c r="F3" s="93"/>
      <c r="G3" s="93"/>
      <c r="H3" s="93"/>
      <c r="I3" s="93"/>
      <c r="J3" s="93"/>
      <c r="K3" s="93"/>
      <c r="L3" s="93"/>
      <c r="M3" s="93"/>
      <c r="N3" s="93"/>
      <c r="O3" s="94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5" t="str">
        <f>Project_Name</f>
        <v>St. George Temple Major Renovation 2019</v>
      </c>
      <c r="D4" s="95"/>
      <c r="E4" s="95"/>
      <c r="F4" s="95"/>
      <c r="G4" s="95"/>
      <c r="H4" s="95"/>
      <c r="I4" s="95"/>
      <c r="J4" s="96" t="s">
        <v>38</v>
      </c>
      <c r="K4" s="96"/>
      <c r="L4" s="96"/>
      <c r="M4" s="96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5" t="str">
        <f>Project_Number</f>
        <v>S590</v>
      </c>
      <c r="D5" s="95"/>
      <c r="E5" s="95"/>
      <c r="F5" s="95"/>
      <c r="G5" s="95"/>
      <c r="H5" s="95"/>
      <c r="I5" s="95"/>
      <c r="J5" s="88" t="s">
        <v>42</v>
      </c>
      <c r="K5" s="88"/>
      <c r="L5" s="88"/>
      <c r="M5" s="88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5" t="str">
        <f>Main!C33</f>
        <v>Sample Sub</v>
      </c>
      <c r="D6" s="95"/>
      <c r="E6" s="95"/>
      <c r="F6" s="95"/>
      <c r="G6" s="95"/>
      <c r="H6" s="95"/>
      <c r="I6" s="95"/>
      <c r="J6" s="88" t="str">
        <f>_xlfn.CONCAT("Overall Totals (", IF(ISBLANK($S$6),"",$S$6), ")")</f>
        <v>Overall Totals (SF)</v>
      </c>
      <c r="K6" s="88"/>
      <c r="L6" s="88"/>
      <c r="M6" s="88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5" t="str">
        <f>RIGHT(Main!B33, LEN(Main!B33) - 4)</f>
        <v>Sample</v>
      </c>
      <c r="D7" s="95"/>
      <c r="E7" s="95"/>
      <c r="F7" s="95"/>
      <c r="G7" s="95"/>
      <c r="H7" s="95"/>
      <c r="I7" s="95"/>
      <c r="J7" s="88" t="str">
        <f>_xlfn.CONCAT("Overall Completed Totals (", IF(ISBLANK($S$6),"",$S$6), ")")</f>
        <v>Overall Completed Totals (SF)</v>
      </c>
      <c r="K7" s="88"/>
      <c r="L7" s="88"/>
      <c r="M7" s="88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88" t="str">
        <f>_xlfn.CONCAT("This Week's Production (", IF(ISBLANK($S$6),"",$S$6), ")")</f>
        <v>This Week's Production (SF)</v>
      </c>
      <c r="K8" s="88"/>
      <c r="L8" s="88"/>
      <c r="M8" s="88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156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88" t="str">
        <f>_xlfn.CONCAT("Weekly Average (", IF(ISBLANK($S$6),"",$S$6), ")")</f>
        <v>Weekly Average (SF)</v>
      </c>
      <c r="K9" s="88"/>
      <c r="L9" s="88"/>
      <c r="M9" s="88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159</v>
      </c>
      <c r="S9" s="20">
        <v>44013</v>
      </c>
      <c r="T9" s="17" t="s">
        <v>114</v>
      </c>
      <c r="U9" s="82" t="s">
        <v>116</v>
      </c>
      <c r="V9" s="82"/>
      <c r="W9" s="82"/>
      <c r="X9" s="82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88" t="str">
        <f>_xlfn.CONCAT("Average Past 4 Weeks (", IF(ISBLANK($S$6),"",$S$6), ")")</f>
        <v>Average Past 4 Weeks (SF)</v>
      </c>
      <c r="K10" s="88"/>
      <c r="L10" s="88"/>
      <c r="M10" s="88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3" t="s">
        <v>157</v>
      </c>
      <c r="V10" s="83"/>
      <c r="W10" s="83"/>
      <c r="X10" s="83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88" t="str">
        <f>_xlfn.CONCAT("On Schedule Average (", IF(ISBLANK($S$6),"",$S$6), ")")</f>
        <v>On Schedule Average (SF)</v>
      </c>
      <c r="K11" s="88"/>
      <c r="L11" s="88"/>
      <c r="M11" s="88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3"/>
      <c r="V11" s="83"/>
      <c r="W11" s="83"/>
      <c r="X11" s="83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78" t="s">
        <v>45</v>
      </c>
      <c r="K12" s="78"/>
      <c r="L12" s="78"/>
      <c r="M12" s="78"/>
      <c r="N12" s="79">
        <f ca="1">MAX(INDIRECT("Input_"&amp;$S$2&amp;"[Finish Date]"))</f>
        <v>44105</v>
      </c>
      <c r="O12" s="80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78" t="s">
        <v>46</v>
      </c>
      <c r="K13" s="78"/>
      <c r="L13" s="78"/>
      <c r="M13" s="78"/>
      <c r="N13" s="79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1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4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4"/>
      <c r="N14" s="84"/>
      <c r="O14" s="85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6"/>
      <c r="M15" s="86"/>
      <c r="N15" s="86"/>
      <c r="O15" s="87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26" priority="7">
      <formula>ISERROR(AF14)</formula>
    </cfRule>
  </conditionalFormatting>
  <conditionalFormatting sqref="W13:X13">
    <cfRule type="expression" dxfId="25" priority="6">
      <formula>IF(OR($S$8 = "Assemble Addin", $S$8 = "Bluebeam QL"), TRUE, FALSE)</formula>
    </cfRule>
  </conditionalFormatting>
  <conditionalFormatting sqref="N6:O6">
    <cfRule type="expression" dxfId="24" priority="5">
      <formula>IF($N$6=$O$6, FALSE, TRUE)</formula>
    </cfRule>
  </conditionalFormatting>
  <conditionalFormatting sqref="W14:X16">
    <cfRule type="expression" dxfId="23" priority="3">
      <formula>IF(OR($S$8 = "Assemble Addin", $S$8 = "Bluebeam QL"), TRUE, FALSE)</formula>
    </cfRule>
    <cfRule type="expression" dxfId="22" priority="4">
      <formula>IF(OR($S$8 = "Assemble Addin", $S$8 = "Bluebeam QL"), MOD(ROW(), 2)=0, FALSE)</formula>
    </cfRule>
  </conditionalFormatting>
  <conditionalFormatting sqref="R13">
    <cfRule type="expression" dxfId="21" priority="2">
      <formula>IF($S$8 = "Assemble Addin", TRUE, FALSE)</formula>
    </cfRule>
  </conditionalFormatting>
  <conditionalFormatting sqref="R14:R16">
    <cfRule type="expression" dxfId="2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2020-07-16T23:29:38Z</cp:lastPrinted>
  <dcterms:created xsi:type="dcterms:W3CDTF">2019-04-09T17:53:55Z</dcterms:created>
  <dcterms:modified xsi:type="dcterms:W3CDTF">2020-07-29T21:59:59Z</dcterms:modified>
</cp:coreProperties>
</file>