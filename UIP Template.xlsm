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66AC83FC-92C7-4E08-BC35-41D061E1E574}" xr6:coauthVersionLast="44" xr6:coauthVersionMax="44" xr10:uidLastSave="{00000000-0000-0000-0000-000000000000}"/>
  <bookViews>
    <workbookView xWindow="-110" yWindow="-110" windowWidth="38620" windowHeight="2122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5">Main!$B$2:$E$35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AD43" i="3" l="1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AF15" i="3" l="1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J11" i="4" l="1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S14" i="4"/>
  <c r="AK14" i="4"/>
  <c r="AQ14" i="4"/>
  <c r="AO14" i="4"/>
  <c r="AM14" i="4"/>
  <c r="AI14" i="4"/>
  <c r="AG14" i="4"/>
  <c r="AU14" i="4"/>
  <c r="AB14" i="4"/>
  <c r="AC14" i="4" l="1"/>
  <c r="AE14" i="4" s="1"/>
  <c r="AA15" i="4"/>
  <c r="S4" i="3"/>
  <c r="AG15" i="4"/>
  <c r="AQ15" i="4"/>
  <c r="AM15" i="4"/>
  <c r="AI15" i="4"/>
  <c r="AO15" i="4"/>
  <c r="AS15" i="4"/>
  <c r="AU15" i="4"/>
  <c r="AK15" i="4"/>
  <c r="N12" i="4"/>
  <c r="N6" i="4"/>
  <c r="AC15" i="4" l="1"/>
  <c r="AA16" i="4"/>
  <c r="S5" i="3"/>
  <c r="AB15" i="4"/>
  <c r="AM16" i="4"/>
  <c r="AO16" i="4"/>
  <c r="AG16" i="4"/>
  <c r="AI16" i="4"/>
  <c r="AK16" i="4"/>
  <c r="AS16" i="4"/>
  <c r="AU16" i="4"/>
  <c r="AQ16" i="4"/>
  <c r="AC16" i="4" l="1"/>
  <c r="AE16" i="4" s="1"/>
  <c r="AE15" i="4"/>
  <c r="AA17" i="4"/>
  <c r="AA14" i="3"/>
  <c r="J11" i="3"/>
  <c r="J10" i="3"/>
  <c r="J9" i="3"/>
  <c r="J8" i="3"/>
  <c r="J7" i="3"/>
  <c r="J6" i="3"/>
  <c r="AG17" i="4"/>
  <c r="AO17" i="4"/>
  <c r="AQ17" i="4"/>
  <c r="AU17" i="4"/>
  <c r="AG14" i="3"/>
  <c r="AK14" i="3"/>
  <c r="AI14" i="3"/>
  <c r="AS17" i="4"/>
  <c r="AM17" i="4"/>
  <c r="AK17" i="4"/>
  <c r="AI17" i="4"/>
  <c r="AB16" i="4"/>
  <c r="AC17" i="4" l="1"/>
  <c r="AC14" i="3"/>
  <c r="AA18" i="4"/>
  <c r="AA15" i="3"/>
  <c r="S7" i="3"/>
  <c r="L14" i="3" s="1"/>
  <c r="S3" i="3"/>
  <c r="S2" i="3"/>
  <c r="AQ18" i="4"/>
  <c r="AI15" i="3"/>
  <c r="AB17" i="4"/>
  <c r="AB14" i="3"/>
  <c r="AK15" i="3"/>
  <c r="AM18" i="4"/>
  <c r="AG15" i="3"/>
  <c r="AK18" i="4"/>
  <c r="AO18" i="4"/>
  <c r="AI18" i="4"/>
  <c r="AU18" i="4"/>
  <c r="AS18" i="4"/>
  <c r="AG18" i="4"/>
  <c r="N12" i="3"/>
  <c r="AC18" i="4" l="1"/>
  <c r="AE17" i="4"/>
  <c r="AC15" i="3"/>
  <c r="AE15" i="3" s="1"/>
  <c r="AE14" i="3"/>
  <c r="AA16" i="3"/>
  <c r="AA19" i="4"/>
  <c r="B2" i="3"/>
  <c r="C7" i="3"/>
  <c r="C6" i="3"/>
  <c r="C5" i="3"/>
  <c r="C4" i="3"/>
  <c r="AO19" i="4"/>
  <c r="AU19" i="4"/>
  <c r="AI16" i="3"/>
  <c r="AQ19" i="4"/>
  <c r="AK16" i="3"/>
  <c r="AS19" i="4"/>
  <c r="AI19" i="4"/>
  <c r="AB18" i="4"/>
  <c r="AB15" i="3"/>
  <c r="AG16" i="3"/>
  <c r="N6" i="3"/>
  <c r="AM19" i="4"/>
  <c r="AK19" i="4"/>
  <c r="AG19" i="4"/>
  <c r="AC19" i="4" l="1"/>
  <c r="AE19" i="4" s="1"/>
  <c r="AE18" i="4"/>
  <c r="AC16" i="3"/>
  <c r="AA17" i="3"/>
  <c r="AA20" i="4"/>
  <c r="AS20" i="4"/>
  <c r="AQ20" i="4"/>
  <c r="AI17" i="3"/>
  <c r="AK20" i="4"/>
  <c r="AK17" i="3"/>
  <c r="AB16" i="3"/>
  <c r="AB19" i="4"/>
  <c r="AI20" i="4"/>
  <c r="AM20" i="4"/>
  <c r="AG17" i="3"/>
  <c r="AG20" i="4"/>
  <c r="AU20" i="4"/>
  <c r="AO20" i="4"/>
  <c r="AC20" i="4" l="1"/>
  <c r="AC17" i="3"/>
  <c r="AE16" i="3"/>
  <c r="AA18" i="3"/>
  <c r="AA21" i="4"/>
  <c r="B8" i="2"/>
  <c r="B7" i="2"/>
  <c r="B6" i="2"/>
  <c r="AI21" i="4"/>
  <c r="AQ21" i="4"/>
  <c r="AM21" i="4"/>
  <c r="AG18" i="3"/>
  <c r="AB20" i="4"/>
  <c r="AG21" i="4"/>
  <c r="AK21" i="4"/>
  <c r="AS21" i="4"/>
  <c r="AK18" i="3"/>
  <c r="AO21" i="4"/>
  <c r="AB17" i="3"/>
  <c r="AU21" i="4"/>
  <c r="AI18" i="3"/>
  <c r="AC21" i="4" l="1"/>
  <c r="AE21" i="4" s="1"/>
  <c r="AE20" i="4"/>
  <c r="AA22" i="4"/>
  <c r="AC18" i="3"/>
  <c r="AA19" i="3"/>
  <c r="AE17" i="3"/>
  <c r="B2" i="2"/>
  <c r="B4" i="2"/>
  <c r="AG22" i="4"/>
  <c r="AI19" i="3"/>
  <c r="AB18" i="3"/>
  <c r="AI22" i="4"/>
  <c r="AM22" i="4"/>
  <c r="AO22" i="4"/>
  <c r="AK19" i="3"/>
  <c r="AB21" i="4"/>
  <c r="AS22" i="4"/>
  <c r="AG19" i="3"/>
  <c r="AU22" i="4"/>
  <c r="AK22" i="4"/>
  <c r="AQ22" i="4"/>
  <c r="AB22" i="4"/>
  <c r="AC22" i="4" l="1"/>
  <c r="AE22" i="4" s="1"/>
  <c r="AA23" i="4"/>
  <c r="AC19" i="3"/>
  <c r="AE18" i="3"/>
  <c r="AA20" i="3"/>
  <c r="C6" i="1"/>
  <c r="AQ23" i="4"/>
  <c r="AO23" i="4"/>
  <c r="AI20" i="3"/>
  <c r="AU23" i="4"/>
  <c r="AK20" i="3"/>
  <c r="AM23" i="4"/>
  <c r="AG20" i="3"/>
  <c r="AS23" i="4"/>
  <c r="AK23" i="4"/>
  <c r="AG23" i="4"/>
  <c r="AI23" i="4"/>
  <c r="AB19" i="3"/>
  <c r="AC23" i="4" l="1"/>
  <c r="AE23" i="4" s="1"/>
  <c r="AA24" i="4"/>
  <c r="AC20" i="3"/>
  <c r="AE20" i="3" s="1"/>
  <c r="AA21" i="3"/>
  <c r="AE19" i="3"/>
  <c r="AK21" i="3"/>
  <c r="AU24" i="4"/>
  <c r="AI24" i="4"/>
  <c r="AG21" i="3"/>
  <c r="AB23" i="4"/>
  <c r="AG24" i="4"/>
  <c r="AI21" i="3"/>
  <c r="AM24" i="4"/>
  <c r="AB20" i="3"/>
  <c r="AS24" i="4"/>
  <c r="AQ24" i="4"/>
  <c r="AK24" i="4"/>
  <c r="AO24" i="4"/>
  <c r="AC24" i="4" l="1"/>
  <c r="AA25" i="4"/>
  <c r="AC21" i="3"/>
  <c r="AA22" i="3"/>
  <c r="AB24" i="4"/>
  <c r="AU25" i="4"/>
  <c r="AK22" i="3"/>
  <c r="AI25" i="4"/>
  <c r="AK25" i="4"/>
  <c r="AO25" i="4"/>
  <c r="AB21" i="3"/>
  <c r="AG22" i="3"/>
  <c r="AI22" i="3"/>
  <c r="AG25" i="4"/>
  <c r="AM25" i="4"/>
  <c r="AQ25" i="4"/>
  <c r="AS25" i="4"/>
  <c r="AC25" i="4" l="1"/>
  <c r="AE24" i="4"/>
  <c r="AA26" i="4"/>
  <c r="AC22" i="3"/>
  <c r="AE22" i="3" s="1"/>
  <c r="AA23" i="3"/>
  <c r="AE21" i="3"/>
  <c r="AU26" i="4"/>
  <c r="AK23" i="3"/>
  <c r="AG26" i="4"/>
  <c r="AI23" i="3"/>
  <c r="AB25" i="4"/>
  <c r="AK26" i="4"/>
  <c r="AI26" i="4"/>
  <c r="AB22" i="3"/>
  <c r="AG23" i="3"/>
  <c r="AM26" i="4"/>
  <c r="AO26" i="4"/>
  <c r="AS26" i="4"/>
  <c r="AQ26" i="4"/>
  <c r="AC26" i="4" l="1"/>
  <c r="AE25" i="4"/>
  <c r="AA27" i="4"/>
  <c r="AC23" i="3"/>
  <c r="AA24" i="3"/>
  <c r="O8" i="3"/>
  <c r="AB23" i="3"/>
  <c r="AG24" i="3"/>
  <c r="AU27" i="4"/>
  <c r="AK24" i="3"/>
  <c r="O9" i="3"/>
  <c r="AI27" i="4"/>
  <c r="AB26" i="4"/>
  <c r="AQ27" i="4"/>
  <c r="AG27" i="4"/>
  <c r="AS27" i="4"/>
  <c r="AI24" i="3"/>
  <c r="AO27" i="4"/>
  <c r="O10" i="3"/>
  <c r="AM27" i="4"/>
  <c r="AK27" i="4"/>
  <c r="O7" i="3"/>
  <c r="AC27" i="4" l="1"/>
  <c r="AE26" i="4"/>
  <c r="AA28" i="4"/>
  <c r="AC24" i="3"/>
  <c r="AE23" i="3"/>
  <c r="AA25" i="3"/>
  <c r="AI28" i="4"/>
  <c r="AK25" i="3"/>
  <c r="AU28" i="4"/>
  <c r="AB24" i="3"/>
  <c r="AI25" i="3"/>
  <c r="AB27" i="4"/>
  <c r="AG25" i="3"/>
  <c r="AQ28" i="4"/>
  <c r="N10" i="3"/>
  <c r="AM28" i="4"/>
  <c r="AO28" i="4"/>
  <c r="AS28" i="4"/>
  <c r="AK28" i="4"/>
  <c r="N8" i="3"/>
  <c r="AG28" i="4"/>
  <c r="AC28" i="4" l="1"/>
  <c r="AA29" i="4"/>
  <c r="AE27" i="4"/>
  <c r="AC25" i="3"/>
  <c r="AA26" i="3"/>
  <c r="AE24" i="3"/>
  <c r="AM29" i="4"/>
  <c r="AI29" i="4"/>
  <c r="N7" i="3"/>
  <c r="AQ29" i="4"/>
  <c r="AU29" i="4"/>
  <c r="AO29" i="4"/>
  <c r="AI26" i="3"/>
  <c r="AB28" i="4"/>
  <c r="AG26" i="3"/>
  <c r="AS29" i="4"/>
  <c r="AG29" i="4"/>
  <c r="AK26" i="3"/>
  <c r="AK29" i="4"/>
  <c r="AB25" i="3"/>
  <c r="AC29" i="4" l="1"/>
  <c r="AE28" i="4"/>
  <c r="AA30" i="4"/>
  <c r="N5" i="3"/>
  <c r="AC26" i="3"/>
  <c r="AA27" i="3"/>
  <c r="AE25" i="3"/>
  <c r="AI27" i="3"/>
  <c r="AU30" i="4"/>
  <c r="AB29" i="4"/>
  <c r="AG30" i="4"/>
  <c r="AK30" i="4"/>
  <c r="AS30" i="4"/>
  <c r="AK27" i="3"/>
  <c r="AI30" i="4"/>
  <c r="AQ30" i="4"/>
  <c r="AG27" i="3"/>
  <c r="AM30" i="4"/>
  <c r="AB26" i="3"/>
  <c r="AO30" i="4"/>
  <c r="AC30" i="4" l="1"/>
  <c r="AA31" i="4"/>
  <c r="AE29" i="4"/>
  <c r="AC27" i="3"/>
  <c r="AA28" i="3"/>
  <c r="AE26" i="3"/>
  <c r="AQ31" i="4"/>
  <c r="AB30" i="4"/>
  <c r="AO31" i="4"/>
  <c r="AM31" i="4"/>
  <c r="AK31" i="4"/>
  <c r="AK28" i="3"/>
  <c r="AG28" i="3"/>
  <c r="AI28" i="3"/>
  <c r="AG31" i="4"/>
  <c r="AU31" i="4"/>
  <c r="AI31" i="4"/>
  <c r="AB27" i="3"/>
  <c r="AS31" i="4"/>
  <c r="AC31" i="4" l="1"/>
  <c r="AA32" i="4"/>
  <c r="AE30" i="4"/>
  <c r="AC28" i="3"/>
  <c r="AA29" i="3"/>
  <c r="AE27" i="3"/>
  <c r="AG32" i="4"/>
  <c r="AB31" i="4"/>
  <c r="AM32" i="4"/>
  <c r="AI32" i="4"/>
  <c r="AS32" i="4"/>
  <c r="AO32" i="4"/>
  <c r="AG29" i="3"/>
  <c r="AQ32" i="4"/>
  <c r="AI29" i="3"/>
  <c r="AB28" i="3"/>
  <c r="AK29" i="3"/>
  <c r="AK32" i="4"/>
  <c r="AU32" i="4"/>
  <c r="AC32" i="4" l="1"/>
  <c r="AE31" i="4"/>
  <c r="AA33" i="4"/>
  <c r="AC29" i="3"/>
  <c r="AA30" i="3"/>
  <c r="AE28" i="3"/>
  <c r="AU33" i="4"/>
  <c r="AK33" i="4"/>
  <c r="AM33" i="4"/>
  <c r="AQ33" i="4"/>
  <c r="AO33" i="4"/>
  <c r="AI33" i="4"/>
  <c r="AI30" i="3"/>
  <c r="AB29" i="3"/>
  <c r="AG30" i="3"/>
  <c r="AB32" i="4"/>
  <c r="AG33" i="4"/>
  <c r="AK30" i="3"/>
  <c r="AS33" i="4"/>
  <c r="AC33" i="4" l="1"/>
  <c r="AE32" i="4"/>
  <c r="AA34" i="4"/>
  <c r="AC30" i="3"/>
  <c r="AA31" i="3"/>
  <c r="AE29" i="3"/>
  <c r="AO34" i="4"/>
  <c r="AG31" i="3"/>
  <c r="AG34" i="4"/>
  <c r="AB30" i="3"/>
  <c r="AK31" i="3"/>
  <c r="AB33" i="4"/>
  <c r="AM34" i="4"/>
  <c r="AS34" i="4"/>
  <c r="AQ34" i="4"/>
  <c r="AI34" i="4"/>
  <c r="AU34" i="4"/>
  <c r="AK34" i="4"/>
  <c r="AI31" i="3"/>
  <c r="AC34" i="4" l="1"/>
  <c r="AE33" i="4"/>
  <c r="AA35" i="4"/>
  <c r="AC31" i="3"/>
  <c r="AA32" i="3"/>
  <c r="AE30" i="3"/>
  <c r="AS35" i="4"/>
  <c r="AG32" i="3"/>
  <c r="AI32" i="3"/>
  <c r="AG35" i="4"/>
  <c r="AK35" i="4"/>
  <c r="AM35" i="4"/>
  <c r="AQ35" i="4"/>
  <c r="AB34" i="4"/>
  <c r="AU35" i="4"/>
  <c r="AI35" i="4"/>
  <c r="AB31" i="3"/>
  <c r="AO35" i="4"/>
  <c r="AK32" i="3"/>
  <c r="AC35" i="4" l="1"/>
  <c r="AA36" i="4"/>
  <c r="AE34" i="4"/>
  <c r="AC32" i="3"/>
  <c r="AA33" i="3"/>
  <c r="AE31" i="3"/>
  <c r="AI36" i="4"/>
  <c r="O7" i="4"/>
  <c r="AG33" i="3"/>
  <c r="AK33" i="3"/>
  <c r="N8" i="4"/>
  <c r="AI33" i="3"/>
  <c r="AB32" i="3"/>
  <c r="O9" i="4"/>
  <c r="AB35" i="4"/>
  <c r="AU36" i="4"/>
  <c r="AS36" i="4"/>
  <c r="N10" i="4"/>
  <c r="O10" i="4"/>
  <c r="AO36" i="4"/>
  <c r="AG36" i="4"/>
  <c r="N7" i="4"/>
  <c r="AM36" i="4"/>
  <c r="O8" i="4"/>
  <c r="AK36" i="4"/>
  <c r="AQ36" i="4"/>
  <c r="AC36" i="4" l="1"/>
  <c r="N5" i="4"/>
  <c r="AE35" i="4"/>
  <c r="AC33" i="3"/>
  <c r="AA34" i="3"/>
  <c r="AE32" i="3"/>
  <c r="AK34" i="3"/>
  <c r="AG34" i="3"/>
  <c r="N9" i="4"/>
  <c r="AI34" i="3"/>
  <c r="AB33" i="3"/>
  <c r="O6" i="4"/>
  <c r="AB36" i="4"/>
  <c r="O5" i="4" l="1"/>
  <c r="AE36" i="4"/>
  <c r="AC34" i="3"/>
  <c r="AA35" i="3"/>
  <c r="AE33" i="3"/>
  <c r="AI35" i="3"/>
  <c r="AB34" i="3"/>
  <c r="AK35" i="3"/>
  <c r="AG35" i="3"/>
  <c r="AC35" i="3" l="1"/>
  <c r="AA36" i="3"/>
  <c r="AE34" i="3"/>
  <c r="AK36" i="3"/>
  <c r="AI36" i="3"/>
  <c r="AG36" i="3"/>
  <c r="AB35" i="3"/>
  <c r="AC36" i="3" l="1"/>
  <c r="AA37" i="3"/>
  <c r="AE35" i="3"/>
  <c r="AK37" i="3"/>
  <c r="AI37" i="3"/>
  <c r="AB36" i="3"/>
  <c r="AG37" i="3"/>
  <c r="AC37" i="3" l="1"/>
  <c r="AA38" i="3"/>
  <c r="AE36" i="3"/>
  <c r="AG38" i="3"/>
  <c r="AI38" i="3"/>
  <c r="AB37" i="3"/>
  <c r="AK38" i="3"/>
  <c r="AC38" i="3" l="1"/>
  <c r="AA39" i="3"/>
  <c r="AE37" i="3"/>
  <c r="AG39" i="3"/>
  <c r="AK39" i="3"/>
  <c r="AI39" i="3"/>
  <c r="AB38" i="3"/>
  <c r="AC39" i="3" l="1"/>
  <c r="AA40" i="3"/>
  <c r="AE38" i="3"/>
  <c r="AB39" i="3"/>
  <c r="AI40" i="3"/>
  <c r="AG40" i="3"/>
  <c r="AK40" i="3"/>
  <c r="AC40" i="3" l="1"/>
  <c r="AA41" i="3"/>
  <c r="AE39" i="3"/>
  <c r="AB40" i="3"/>
  <c r="AK41" i="3"/>
  <c r="AG41" i="3"/>
  <c r="AI41" i="3"/>
  <c r="AC41" i="3" l="1"/>
  <c r="AA42" i="3"/>
  <c r="AE40" i="3"/>
  <c r="AG42" i="3"/>
  <c r="AB41" i="3"/>
  <c r="AK42" i="3"/>
  <c r="AI42" i="3"/>
  <c r="AC42" i="3" l="1"/>
  <c r="AA43" i="3"/>
  <c r="AE41" i="3"/>
  <c r="AI43" i="3"/>
  <c r="AG43" i="3"/>
  <c r="AK43" i="3"/>
  <c r="AB42" i="3"/>
  <c r="AC43" i="3" l="1"/>
  <c r="AE42" i="3"/>
  <c r="O6" i="3"/>
  <c r="N11" i="3"/>
  <c r="AB43" i="3"/>
  <c r="N9" i="3"/>
  <c r="O5" i="3" l="1"/>
  <c r="AE43" i="3"/>
  <c r="N13" i="3"/>
  <c r="O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A0A320-EEC2-4AE4-9513-43B30576414C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<sst xmlns="http://schemas.openxmlformats.org/spreadsheetml/2006/main" count="459" uniqueCount="160">
  <si>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</si>
  <si>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</si>
  <si>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</si>
  <si>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</si>
  <si>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</si>
  <si>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</si>
  <si>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</si>
  <si>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</si>
  <si>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</si>
  <si>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</si>
  <si>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</si>
  <si>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</si>
  <si>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</si>
  <si>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</si>
  <si>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</si>
  <si>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</si>
  <si>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</si>
  <si>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</si>
  <si>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</si>
  <si>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</si>
  <si>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</si>
  <si>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</si>
  <si>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</si>
  <si>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</si>
  <si>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</si>
  <si>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</si>
  <si>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</si>
  <si>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</si>
  <si>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</si>
  <si>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</si>
  <si>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</si>
  <si>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</si>
  <si>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</si>
  <si>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</si>
  <si>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</si>
  <si>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</si>
  <si>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</si>
  <si>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</si>
  <si>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</si>
  <si>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</si>
  <si>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</si>
  <si>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</si>
  <si>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</si>
  <si>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</si>
  <si>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</si>
  <si>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</si>
  <si>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</si>
  <si>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</si>
  <si>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</si>
  <si>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</si>
  <si>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</si>
  <si>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</si>
  <si>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</si>
  <si>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</si>
  <si>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</si>
  <si>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</si>
  <si>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</si>
  <si>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</si>
  <si>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</si>
  <si>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</si>
  <si>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</si>
  <si>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</si>
  <si>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</si>
  <si>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</si>
  <si>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</si>
  <si>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</si>
  <si>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</si>
  <si>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</si>
  <si>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</si>
  <si>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</si>
  <si>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</si>
  <si>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</si>
  <si>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</si>
  <si>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</si>
  <si>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</si>
  <si>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</si>
  <si>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</si>
  <si>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</si>
  <si>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</si>
  <si>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</si>
  <si>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</si>
  <si>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</si>
  <si>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</si>
  <si>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</si>
  <si>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</si>
  <si>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</si>
  <si>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</si>
  <si>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Tuesday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</si>
  <si>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</si>
  <si>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</si>
  <si>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</si>
  <si>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</si>
  <si>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</si>
  <si>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</si>
  <si>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</si>
  <si>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</si>
  <si>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</si>
  <si>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</si>
  <si>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</si>
  <si>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</si>
  <si>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</si>
  <si>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</si>
  <si>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</si>
  <si>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</si>
  <si>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</si>
  <si>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</si>
  <si>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</si>
  <si>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</si>
  <si>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</si>
  <si>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</si>
  <si>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</si>
  <si>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</si>
  <si>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</si>
  <si>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</si>
  <si>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</si>
  <si>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</si>
  <si>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</si>
  <si>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</si>
  <si>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</si>
  <si>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</si>
  <si>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</si>
  <si>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</si>
  <si>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</si>
  <si>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</si>
  <si>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</si>
  <si>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</si>
  <si>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</si>
  <si>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</si>
  <si>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</si>
  <si>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</si>
  <si>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</si>
  <si>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</si>
  <si>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</si>
  <si>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</si>
  <si>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</si>
  <si>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</si>
  <si>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</si>
  <si>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</si>
  <si>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</si>
  <si>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</si>
  <si>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</si>
  <si>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</si>
  <si>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</si>
  <si>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01 Sample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</si>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</sst>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0" fillId="0" borderId="21" applyNumberFormat="0" applyFill="0" applyAlignment="0" applyProtection="0"/>
    <xf numFmtId="0" fontId="24" fillId="0" borderId="0" applyNumberForma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1" fillId="0" borderId="0" xfId="3" applyFont="1" applyFill="1" applyBorder="1"/>
    <xf numFmtId="0" fontId="14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9" fillId="0" borderId="0" xfId="0" applyFont="1"/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2" fillId="2" borderId="1" xfId="1" applyFont="1" applyAlignment="1">
      <alignment horizontal="left" vertical="center"/>
    </xf>
    <xf numFmtId="0" fontId="23" fillId="6" borderId="1" xfId="2" applyFont="1" applyAlignment="1">
      <alignment horizontal="left" wrapText="1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4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86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E6EF926-5C7B-46DB-9BD4-1EA75985AC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FA23CB-D09C-4092-8BB4-A75498AA4D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0F2041-BEDB-4B52-9995-3FAA39E355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A56CD3-644D-4547-8672-A65D311ADE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8A856E-FF45-49E2-829C-C3E0F0F5EE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FE98FC-D486-477A-B963-554E5ABCC7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AEFAFE-E90B-4F34-89D9-21AA486186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1CADFE-EA4B-47B4-9445-DB3E329A12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96376E-DD4E-4B27-9FC5-BD26D830DF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85EDAF-DFAE-4037-9056-47E036F2B2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3D55D2-D92A-4E27-80F5-8CA6D5DB7E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59C23B7-D24D-4EBF-998E-07327BF91C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A91BD0-AFEA-417E-9B7F-6E60D516BA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E35CD94-C10E-438D-835C-9BE0FC8324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443D85-41C4-4A14-930A-D021ACA452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C9B9B0-E4F2-461E-B92D-36DC94F9B2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F278128-780C-4C8C-90C2-2E8A1C5FC6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5E464F0-3B75-4236-B67E-991687C00C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2147876-174D-40E4-A551-17B88BE52C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EC886A-0F7F-4F05-8695-FE39109443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0A6769-FB56-42FC-8C4C-B298A4857A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866065-D353-4CD9-8CF9-6477C88774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43AE93-3E2A-4FD2-9CB3-2CD86FDA50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A35B6C8-772C-42E8-985E-FB97C81E4F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04B9B9D-24B3-4041-A08F-752E5F9DFF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D82F23-7761-4A16-B95E-E8B295905F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30E656-EC33-4F8C-B676-6A33B0B59E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3ED74CB-6CFC-4295-9DBC-9AE1B809A9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60B5207-B882-49A8-85F5-401242D63E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3D1046-0071-4AC7-ADC0-6EC1B581E6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85.714285714285708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342.85714285714283</c:v>
                </c:pt>
                <c:pt idx="8">
                  <c:v>0</c:v>
                </c:pt>
                <c:pt idx="9">
                  <c:v>109.09090909090909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85.714285714285708</c:v>
                </c:pt>
                <c:pt idx="1">
                  <c:v>514.28571428571422</c:v>
                </c:pt>
                <c:pt idx="2">
                  <c:v>942.85714285714278</c:v>
                </c:pt>
                <c:pt idx="3">
                  <c:v>1371.4285714285713</c:v>
                </c:pt>
                <c:pt idx="4">
                  <c:v>1800</c:v>
                </c:pt>
                <c:pt idx="5">
                  <c:v>2228.5714285714284</c:v>
                </c:pt>
                <c:pt idx="6">
                  <c:v>2657.1428571428569</c:v>
                </c:pt>
                <c:pt idx="7">
                  <c:v>2999.9999999999995</c:v>
                </c:pt>
                <c:pt idx="8">
                  <c:v>2999.9999999999995</c:v>
                </c:pt>
                <c:pt idx="9">
                  <c:v>3109.0909090909086</c:v>
                </c:pt>
                <c:pt idx="10">
                  <c:v>3327.2727272727266</c:v>
                </c:pt>
                <c:pt idx="11">
                  <c:v>3599.9999999999991</c:v>
                </c:pt>
                <c:pt idx="12">
                  <c:v>3872.7272727272721</c:v>
                </c:pt>
                <c:pt idx="13">
                  <c:v>4145.454545454545</c:v>
                </c:pt>
                <c:pt idx="14">
                  <c:v>4418.181818181818</c:v>
                </c:pt>
                <c:pt idx="15">
                  <c:v>4690.909090909091</c:v>
                </c:pt>
                <c:pt idx="16">
                  <c:v>4963.636363636364</c:v>
                </c:pt>
                <c:pt idx="17">
                  <c:v>5236.3636363636369</c:v>
                </c:pt>
                <c:pt idx="18">
                  <c:v>5719.6172248803832</c:v>
                </c:pt>
                <c:pt idx="19">
                  <c:v>6255.5023923444978</c:v>
                </c:pt>
                <c:pt idx="20">
                  <c:v>6736.8421052631584</c:v>
                </c:pt>
                <c:pt idx="21">
                  <c:v>7000</c:v>
                </c:pt>
                <c:pt idx="22">
                  <c:v>7263.1578947368416</c:v>
                </c:pt>
                <c:pt idx="23">
                  <c:v>7526.3157894736833</c:v>
                </c:pt>
                <c:pt idx="24">
                  <c:v>7789.4736842105249</c:v>
                </c:pt>
                <c:pt idx="25">
                  <c:v>8052.6315789473665</c:v>
                </c:pt>
                <c:pt idx="26">
                  <c:v>8315.7894736842081</c:v>
                </c:pt>
                <c:pt idx="27">
                  <c:v>8578.9473684210498</c:v>
                </c:pt>
                <c:pt idx="28">
                  <c:v>8842.1052631578914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3D98A16-4340-4370-9646-7F0594DD44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CB61DA-4318-4560-93F4-152B48DBA9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7BB94A-648E-4539-8D37-F279569C8F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834DBC-1301-4F8B-B6B3-8D3A6A6567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5FEA62-29C1-4BBF-9AAC-2007A1F394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B5684D-1A53-471F-B1F2-1E98F33AE8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FCF653-0A63-40CC-B23A-A6C6068116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7B8B26-779D-4EA7-AA82-40BEFCC799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920BC5-EC35-43D8-B241-A5AA33F6EC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8F5FD8-E0FE-41D2-AA78-EB18BD046D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667C4B-B397-413B-8888-B107ACDF72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669BA9-9101-4B9F-8894-D9863A87C5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9DC44A9-79B6-477D-8CD4-543A81CC14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C1436A-CBFF-49A6-99A4-DCD43EAA82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A754F60-89F4-4335-88BB-6CF14630D6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520450-E42C-4738-9993-64C6F7BD9F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A5C85D-3C94-49E2-A551-B7C21635E4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2428B0-9A21-4BB1-B963-C89562EFF1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FE1F949-0CF7-4858-9B5F-9BDF7A49E6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D912D9-2D67-461B-A9C1-20BA6AA6E1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54FFFD-F34D-4A9A-AE48-371E4F2375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89C511-1DE5-4C5C-8D6F-859C455889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A481BB-F0AE-448B-B866-F0038684AD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74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82.36666666666666</c:v>
                </c:pt>
                <c:pt idx="10">
                  <c:v>126.67074829931971</c:v>
                </c:pt>
                <c:pt idx="11">
                  <c:v>92.176870748299308</c:v>
                </c:pt>
                <c:pt idx="12">
                  <c:v>75.843537414965979</c:v>
                </c:pt>
                <c:pt idx="13">
                  <c:v>176.71020408163264</c:v>
                </c:pt>
                <c:pt idx="14">
                  <c:v>199.51020408163265</c:v>
                </c:pt>
                <c:pt idx="15">
                  <c:v>66.310204081632648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14.204081632653061</c:v>
                </c:pt>
                <c:pt idx="21">
                  <c:v>13.333333333333334</c:v>
                </c:pt>
                <c:pt idx="22">
                  <c:v>6.666666666666667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148</c:v>
                </c:pt>
                <c:pt idx="2">
                  <c:v>148</c:v>
                </c:pt>
                <c:pt idx="3">
                  <c:v>148</c:v>
                </c:pt>
                <c:pt idx="4">
                  <c:v>148</c:v>
                </c:pt>
                <c:pt idx="5">
                  <c:v>148</c:v>
                </c:pt>
                <c:pt idx="6">
                  <c:v>148</c:v>
                </c:pt>
                <c:pt idx="7">
                  <c:v>160.08333333333334</c:v>
                </c:pt>
                <c:pt idx="8">
                  <c:v>172.16666666666669</c:v>
                </c:pt>
                <c:pt idx="9">
                  <c:v>254.53333333333336</c:v>
                </c:pt>
                <c:pt idx="10">
                  <c:v>381.20408163265307</c:v>
                </c:pt>
                <c:pt idx="11">
                  <c:v>473.38095238095241</c:v>
                </c:pt>
                <c:pt idx="12">
                  <c:v>549.22448979591843</c:v>
                </c:pt>
                <c:pt idx="13">
                  <c:v>725.93469387755113</c:v>
                </c:pt>
                <c:pt idx="14">
                  <c:v>925.44489795918378</c:v>
                </c:pt>
                <c:pt idx="15">
                  <c:v>991.75510204081638</c:v>
                </c:pt>
                <c:pt idx="16">
                  <c:v>1002.265306122449</c:v>
                </c:pt>
                <c:pt idx="17">
                  <c:v>1012.7755102040817</c:v>
                </c:pt>
                <c:pt idx="18">
                  <c:v>1023.2857142857143</c:v>
                </c:pt>
                <c:pt idx="19">
                  <c:v>1033.795918367347</c:v>
                </c:pt>
                <c:pt idx="20">
                  <c:v>1048</c:v>
                </c:pt>
                <c:pt idx="21">
                  <c:v>1061.3333333333333</c:v>
                </c:pt>
                <c:pt idx="22">
                  <c:v>1068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</xdr:colOff>
          <xdr:row>4</xdr:row>
          <xdr:rowOff>49081</xdr:rowOff>
        </xdr:from>
        <xdr:to>
          <xdr:col>27</xdr:col>
          <xdr:colOff>1002030</xdr:colOff>
          <xdr:row>6</xdr:row>
          <xdr:rowOff>174588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85" dataDxfId="84">
  <autoFilter ref="R13:X16" xr:uid="{FF2C9E8B-1A62-479C-AF68-79B236C0B7BB}"/>
  <tableColumns count="7">
    <tableColumn id="1" xr3:uid="{727C6146-39EA-4E15-8783-53CAA87FAF36}" name="Zone ID" dataDxfId="83"/>
    <tableColumn id="2" xr3:uid="{2CA65110-6DD7-46D8-BFC2-5EB0C0E57567}" name="Description" dataDxfId="82"/>
    <tableColumn id="3" xr3:uid="{12D64F80-6A69-494F-BF8F-E326D34A185A}" name="Short Description" dataDxfId="81"/>
    <tableColumn id="4" xr3:uid="{71F3F5B2-8F6B-4985-B1FC-5A9D60095474}" name="Start Date" dataDxfId="80"/>
    <tableColumn id="5" xr3:uid="{57258378-8FED-4727-89AC-D938CB414B7B}" name="Finish Date" dataDxfId="79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78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77">
      <calculatedColumnFormula>IF(AA13 = "Date", $S$4, AA13+7)</calculatedColumnFormula>
    </tableColumn>
    <tableColumn id="6" xr3:uid="{5740AC03-CF53-4345-8667-6AC0CA6843D0}" name="Primary Areas" dataDxfId="76">
      <calculatedColumnFormula>PrimaryAreas(3)</calculatedColumnFormula>
    </tableColumn>
    <tableColumn id="2" xr3:uid="{AF232D3D-EC3F-4232-BA5D-1427173C2D6A}" name="Weekly Plan" dataDxfId="75">
      <calculatedColumnFormula xml:space="preserve"> IF(#REF!="", 0,#REF!)+ IF(#REF!="", 0,#REF!)+ IF(#REF!="", 0,#REF!)</calculatedColumnFormula>
    </tableColumn>
    <tableColumn id="3" xr3:uid="{B28103F6-7596-4848-9F0D-3E4A9E5CBEFE}" name="Weekly Actual" dataDxfId="74">
      <calculatedColumnFormula>IF(AND(ISBLANK(#REF!),ISBLANK(#REF!),ISBLANK(#REF!)),"",#REF! +#REF!+#REF!)</calculatedColumnFormula>
    </tableColumn>
    <tableColumn id="4" xr3:uid="{EF1C6009-71E6-491B-B64F-04049D2D9103}" name="Accumulated Plan" dataDxfId="73">
      <calculatedColumnFormula>SUM($AC$14:AC14)</calculatedColumnFormula>
    </tableColumn>
    <tableColumn id="5" xr3:uid="{442DAB73-1233-4C61-8DE9-3B44CE2C5D69}" name="Accumulated Actual" dataDxfId="72">
      <calculatedColumnFormula>IF(AD14="",NA(),SUM($AD$14:AD14))</calculatedColumnFormula>
    </tableColumn>
    <tableColumn id="43" xr3:uid="{CE31DBAF-57B0-4D4D-852A-B07516A73A41}" name="WP_A1" dataDxfId="71">
      <calculatedColumnFormula>WeeklyPlanned(Output_Template[[#Headers],[WP_A1]], Output_Template[[#This Row],[Date]])</calculatedColumnFormula>
    </tableColumn>
    <tableColumn id="44" xr3:uid="{A0857F89-2BC6-42D6-B02F-90D9272451CA}" name="WA_A1" dataDxfId="70"/>
    <tableColumn id="45" xr3:uid="{2A74D439-B21B-40DD-BB55-7D2C2B18629E}" name="WP_A2" dataDxfId="69">
      <calculatedColumnFormula>WeeklyPlanned(Output_Template[[#Headers],[WP_A2]], Output_Template[[#This Row],[Date]])</calculatedColumnFormula>
    </tableColumn>
    <tableColumn id="46" xr3:uid="{670DB326-434A-466C-9E3C-6A8FE180F21F}" name="WA_A2" dataDxfId="68"/>
    <tableColumn id="47" xr3:uid="{B6798EC6-DE2D-49BB-961E-220FED1F6F10}" name="WP_A3" dataDxfId="67">
      <calculatedColumnFormula>WeeklyPlanned(Output_Template[[#Headers],[WP_A3]], Output_Template[[#This Row],[Date]])</calculatedColumnFormula>
    </tableColumn>
    <tableColumn id="48" xr3:uid="{B2CB6DA2-6E53-4BAC-881B-229E451DFCE0}" name="WA_A3" dataDxfId="66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65">
  <autoFilter ref="H2:H5" xr:uid="{1041DC80-58D6-4308-9DE1-A4EC8AAD3C20}"/>
  <tableColumns count="1">
    <tableColumn id="1" xr3:uid="{0E6D3E77-7CB7-40A1-BCA6-DDC8164AAEB9}" name="Holidays" dataDxfId="64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63" dataDxfId="62">
  <autoFilter ref="R13:X21" xr:uid="{FF2C9E8B-1A62-479C-AF68-79B236C0B7BB}"/>
  <tableColumns count="7">
    <tableColumn id="1" xr3:uid="{5AA37268-DD16-498C-9169-AE2EA9DA526A}" name="Zone ID" dataDxfId="61"/>
    <tableColumn id="2" xr3:uid="{0E3A0621-3CBD-40FC-B7C1-86ED2397BCEE}" name="Description" dataDxfId="60"/>
    <tableColumn id="3" xr3:uid="{5A73CD5C-5126-40F4-B5B3-C7A438ED4F4F}" name="Short Description" dataDxfId="59"/>
    <tableColumn id="4" xr3:uid="{CDB025F5-BA1E-4D3D-9F16-1E7E8B24997A}" name="Start Date" dataDxfId="58"/>
    <tableColumn id="5" xr3:uid="{A32C4534-D094-4392-BDFF-D9E6184B332E}" name="Finish Date" dataDxfId="57"/>
    <tableColumn id="6" xr3:uid="{4EBF5FA0-D78E-4850-9053-2FD3D4DF8DDF}" name="Total" dataDxfId="56" dataCellStyle="Linked Cell"/>
    <tableColumn id="7" xr3:uid="{2024E4D3-6ED3-428B-AA0E-731077A47B05}" name="Completed Total" dataDxfId="55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54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53">
      <calculatedColumnFormula>IF(AA13 = "Date", $S$4, AA13+7)</calculatedColumnFormula>
    </tableColumn>
    <tableColumn id="6" xr3:uid="{001A0E6C-64CB-4894-8C22-5853E33F6BB2}" name="Primary Areas" dataDxfId="52">
      <calculatedColumnFormula>PrimaryAreas(8)</calculatedColumnFormula>
    </tableColumn>
    <tableColumn id="2" xr3:uid="{1360E334-97F5-432E-BB23-793619A14458}" name="Weekly Plan" dataDxfId="51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50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49">
      <calculatedColumnFormula>SUM($AC$14:AC14)</calculatedColumnFormula>
    </tableColumn>
    <tableColumn id="5" xr3:uid="{1924FD4A-42CB-49CF-B4A5-079079B5D0F3}" name="Accumulated Actual" dataDxfId="48">
      <calculatedColumnFormula>IF(AD14="",NA(),SUM($AD$14:AD14))</calculatedColumnFormula>
    </tableColumn>
    <tableColumn id="23" xr3:uid="{9D909FAC-40FF-4109-8EAE-74DFABFF8319}" name="WP_ABC" dataDxfId="47">
      <calculatedColumnFormula>WeeklyPlanned(Output_0000[[#Headers],[WP_ABC]], Output_0000[[#This Row],[Date]])</calculatedColumnFormula>
    </tableColumn>
    <tableColumn id="24" xr3:uid="{92ADE5B7-CAEC-41A0-B928-8F7F4344FE26}" name="WA_ABC" dataDxfId="46"/>
    <tableColumn id="25" xr3:uid="{F7FD9E19-6CFF-44A1-AF87-237747B65D1E}" name="WP_ACS" dataDxfId="45">
      <calculatedColumnFormula>WeeklyPlanned(Output_0000[[#Headers],[WP_ACS]], Output_0000[[#This Row],[Date]])</calculatedColumnFormula>
    </tableColumn>
    <tableColumn id="26" xr3:uid="{1FD6096E-155A-48FA-BF57-ABEB209A76A8}" name="WA_ACS" dataDxfId="44"/>
    <tableColumn id="27" xr3:uid="{C32CB5E4-987A-4E05-BFD2-AD1BA55323A7}" name="WP_AL1" dataDxfId="43">
      <calculatedColumnFormula>WeeklyPlanned(Output_0000[[#Headers],[WP_AL1]], Output_0000[[#This Row],[Date]])</calculatedColumnFormula>
    </tableColumn>
    <tableColumn id="28" xr3:uid="{741EC55D-ACF8-45FE-B760-246C2984AB76}" name="WA_AL1" dataDxfId="42"/>
    <tableColumn id="29" xr3:uid="{02D5C536-D7AB-4845-AF46-BA557A0711BE}" name="WP_HBase" dataDxfId="41">
      <calculatedColumnFormula>WeeklyPlanned(Output_0000[[#Headers],[WP_HBase]], Output_0000[[#This Row],[Date]])</calculatedColumnFormula>
    </tableColumn>
    <tableColumn id="30" xr3:uid="{6CFFBF9B-4C23-4C48-B9B4-2C3A9A72CE8C}" name="WA_HBase" dataDxfId="40"/>
    <tableColumn id="31" xr3:uid="{27A2EB7B-E3EA-47B1-A3F2-FFBF58F06F0D}" name="WP_HWST" dataDxfId="39">
      <calculatedColumnFormula>WeeklyPlanned(Output_0000[[#Headers],[WP_HWST]], Output_0000[[#This Row],[Date]])</calculatedColumnFormula>
    </tableColumn>
    <tableColumn id="32" xr3:uid="{1F1D10B3-084B-4075-8E04-CBCE81737E69}" name="WA_HWST" dataDxfId="38"/>
    <tableColumn id="33" xr3:uid="{127722D0-80A4-4F75-9175-6D2C54EBC191}" name="WP_HWSR" dataDxfId="37">
      <calculatedColumnFormula>WeeklyPlanned(Output_0000[[#Headers],[WP_HWSR]], Output_0000[[#This Row],[Date]])</calculatedColumnFormula>
    </tableColumn>
    <tableColumn id="34" xr3:uid="{ED1A96FC-35C0-4018-81E1-B3B51101AB44}" name="WA_HWSR" dataDxfId="36"/>
    <tableColumn id="35" xr3:uid="{584725E1-3456-4D62-8919-994293AB89D3}" name="WP_HL2" dataDxfId="35">
      <calculatedColumnFormula>WeeklyPlanned(Output_0000[[#Headers],[WP_HL2]], Output_0000[[#This Row],[Date]])</calculatedColumnFormula>
    </tableColumn>
    <tableColumn id="36" xr3:uid="{0D58AE03-CEC6-4352-9275-206C438024A6}" name="WA_HL2" dataDxfId="34"/>
    <tableColumn id="37" xr3:uid="{76718DA7-C2F0-424A-9855-A1F7A4401A40}" name="WP_HBCeil" dataDxfId="33">
      <calculatedColumnFormula>WeeklyPlanned(Output_0000[[#Headers],[WP_HBCeil]], Output_0000[[#This Row],[Date]])</calculatedColumnFormula>
    </tableColumn>
    <tableColumn id="38" xr3:uid="{DF9E8E0F-9F93-4E51-85D2-94DDAA517F51}" name="WA_HBCeil" dataDxfId="3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1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127</v>
      </c>
      <c r="B1" t="s">
        <v>75</v>
      </c>
      <c r="C1" t="s">
        <v>80</v>
      </c>
      <c r="D1" t="s">
        <v>76</v>
      </c>
      <c r="E1" t="s">
        <v>77</v>
      </c>
      <c r="F1" t="s">
        <v>78</v>
      </c>
      <c r="G1" t="s">
        <v>79</v>
      </c>
      <c r="H1" t="s">
        <v>101</v>
      </c>
      <c r="I1" t="s">
        <v>102</v>
      </c>
      <c r="J1" t="s">
        <v>110</v>
      </c>
      <c r="K1" t="s">
        <v>111</v>
      </c>
      <c r="L1" t="s">
        <v>112</v>
      </c>
      <c r="M1" t="s">
        <v>113</v>
      </c>
      <c r="N1" t="s">
        <v>114</v>
      </c>
      <c r="O1" t="s">
        <v>115</v>
      </c>
      <c r="P1" t="s">
        <v>116</v>
      </c>
      <c r="Q1" t="s">
        <v>117</v>
      </c>
      <c r="R1" t="s">
        <v>118</v>
      </c>
      <c r="S1" t="s">
        <v>119</v>
      </c>
      <c r="T1" t="s">
        <v>120</v>
      </c>
      <c r="U1" t="s">
        <v>121</v>
      </c>
      <c r="V1" t="s">
        <v>122</v>
      </c>
      <c r="W1" t="s">
        <v>123</v>
      </c>
    </row>
    <row r="3" spans="1:23" x14ac:dyDescent="0.35">
      <c r="A3" t="s">
        <v>129</v>
      </c>
      <c r="B3">
        <v>44047</v>
      </c>
      <c r="C3" t="s">
        <v>100</v>
      </c>
      <c r="D3">
        <v>74</v>
      </c>
      <c r="E3" t="s">
        <v>130</v>
      </c>
      <c r="F3">
        <v>74</v>
      </c>
      <c r="H3">
        <v>74</v>
      </c>
      <c r="J3" t="s">
        <v>130</v>
      </c>
      <c r="L3" t="s">
        <v>130</v>
      </c>
      <c r="N3" t="s">
        <v>130</v>
      </c>
      <c r="P3" t="s">
        <v>130</v>
      </c>
      <c r="R3" t="s">
        <v>130</v>
      </c>
      <c r="T3" t="s">
        <v>130</v>
      </c>
      <c r="V3" t="s">
        <v>130</v>
      </c>
    </row>
    <row r="4" spans="1:23" x14ac:dyDescent="0.35">
      <c r="A4" t="s">
        <v>129</v>
      </c>
      <c r="B4">
        <v>44054</v>
      </c>
      <c r="C4" t="s">
        <v>100</v>
      </c>
      <c r="D4">
        <v>74</v>
      </c>
      <c r="E4" t="s">
        <v>130</v>
      </c>
      <c r="F4">
        <v>148</v>
      </c>
      <c r="H4">
        <v>74</v>
      </c>
      <c r="J4" t="s">
        <v>130</v>
      </c>
      <c r="L4" t="s">
        <v>130</v>
      </c>
      <c r="N4" t="s">
        <v>130</v>
      </c>
      <c r="P4" t="s">
        <v>130</v>
      </c>
      <c r="R4" t="s">
        <v>130</v>
      </c>
      <c r="T4" t="s">
        <v>130</v>
      </c>
      <c r="V4" t="s">
        <v>130</v>
      </c>
    </row>
    <row r="5" spans="1:23" x14ac:dyDescent="0.35">
      <c r="A5" t="s">
        <v>129</v>
      </c>
      <c r="B5">
        <v>44061</v>
      </c>
      <c r="C5">
        <v>0</v>
      </c>
      <c r="D5">
        <v>0</v>
      </c>
      <c r="E5" t="s">
        <v>130</v>
      </c>
      <c r="F5">
        <v>148</v>
      </c>
      <c r="H5" t="s">
        <v>130</v>
      </c>
      <c r="J5" t="s">
        <v>130</v>
      </c>
      <c r="L5" t="s">
        <v>130</v>
      </c>
      <c r="N5" t="s">
        <v>130</v>
      </c>
      <c r="P5" t="s">
        <v>130</v>
      </c>
      <c r="R5" t="s">
        <v>130</v>
      </c>
      <c r="T5" t="s">
        <v>130</v>
      </c>
      <c r="V5" t="s">
        <v>130</v>
      </c>
    </row>
    <row r="6" spans="1:23" x14ac:dyDescent="0.35">
      <c r="A6" t="s">
        <v>129</v>
      </c>
      <c r="B6">
        <v>44068</v>
      </c>
      <c r="C6">
        <v>0</v>
      </c>
      <c r="D6">
        <v>0</v>
      </c>
      <c r="E6" t="s">
        <v>130</v>
      </c>
      <c r="F6">
        <v>148</v>
      </c>
      <c r="H6" t="s">
        <v>130</v>
      </c>
      <c r="J6" t="s">
        <v>130</v>
      </c>
      <c r="L6" t="s">
        <v>130</v>
      </c>
      <c r="N6" t="s">
        <v>130</v>
      </c>
      <c r="P6" t="s">
        <v>130</v>
      </c>
      <c r="R6" t="s">
        <v>130</v>
      </c>
      <c r="T6" t="s">
        <v>130</v>
      </c>
      <c r="V6" t="s">
        <v>130</v>
      </c>
    </row>
    <row r="7" spans="1:23" x14ac:dyDescent="0.35">
      <c r="A7" t="s">
        <v>129</v>
      </c>
      <c r="B7">
        <v>44075</v>
      </c>
      <c r="C7">
        <v>0</v>
      </c>
      <c r="D7">
        <v>0</v>
      </c>
      <c r="E7" t="s">
        <v>130</v>
      </c>
      <c r="F7">
        <v>148</v>
      </c>
      <c r="H7" t="s">
        <v>130</v>
      </c>
      <c r="J7" t="s">
        <v>130</v>
      </c>
      <c r="L7" t="s">
        <v>130</v>
      </c>
      <c r="N7" t="s">
        <v>130</v>
      </c>
      <c r="P7" t="s">
        <v>130</v>
      </c>
      <c r="R7" t="s">
        <v>130</v>
      </c>
      <c r="T7" t="s">
        <v>130</v>
      </c>
      <c r="V7" t="s">
        <v>130</v>
      </c>
    </row>
    <row r="8" spans="1:23" x14ac:dyDescent="0.35">
      <c r="A8" t="s">
        <v>129</v>
      </c>
      <c r="B8">
        <v>44082</v>
      </c>
      <c r="C8">
        <v>0</v>
      </c>
      <c r="D8">
        <v>0</v>
      </c>
      <c r="E8" t="s">
        <v>130</v>
      </c>
      <c r="F8">
        <v>148</v>
      </c>
      <c r="H8" t="s">
        <v>130</v>
      </c>
      <c r="J8" t="s">
        <v>130</v>
      </c>
      <c r="L8" t="s">
        <v>130</v>
      </c>
      <c r="N8" t="s">
        <v>130</v>
      </c>
      <c r="P8" t="s">
        <v>130</v>
      </c>
      <c r="R8" t="s">
        <v>130</v>
      </c>
      <c r="T8" t="s">
        <v>130</v>
      </c>
      <c r="V8" t="s">
        <v>130</v>
      </c>
    </row>
    <row r="9" spans="1:23" x14ac:dyDescent="0.35">
      <c r="A9" t="s">
        <v>129</v>
      </c>
      <c r="B9">
        <v>44089</v>
      </c>
      <c r="C9">
        <v>0</v>
      </c>
      <c r="D9">
        <v>0</v>
      </c>
      <c r="E9" t="s">
        <v>130</v>
      </c>
      <c r="F9">
        <v>148</v>
      </c>
      <c r="H9" t="s">
        <v>130</v>
      </c>
      <c r="J9" t="s">
        <v>130</v>
      </c>
      <c r="L9" t="s">
        <v>130</v>
      </c>
      <c r="N9" t="s">
        <v>130</v>
      </c>
      <c r="P9" t="s">
        <v>130</v>
      </c>
      <c r="R9" t="s">
        <v>130</v>
      </c>
      <c r="T9" t="s">
        <v>130</v>
      </c>
      <c r="V9" t="s">
        <v>130</v>
      </c>
    </row>
    <row r="10" spans="1:23" x14ac:dyDescent="0.35">
      <c r="A10" t="s">
        <v>129</v>
      </c>
      <c r="B10">
        <v>44096</v>
      </c>
      <c r="C10" t="s">
        <v>109</v>
      </c>
      <c r="D10">
        <v>12.083333333333332</v>
      </c>
      <c r="E10" t="s">
        <v>130</v>
      </c>
      <c r="F10">
        <v>160.08333333333334</v>
      </c>
      <c r="H10" t="s">
        <v>130</v>
      </c>
      <c r="J10" t="s">
        <v>130</v>
      </c>
      <c r="L10" t="s">
        <v>130</v>
      </c>
      <c r="N10" t="s">
        <v>130</v>
      </c>
      <c r="P10" t="s">
        <v>130</v>
      </c>
      <c r="R10" t="s">
        <v>130</v>
      </c>
      <c r="T10" t="s">
        <v>130</v>
      </c>
      <c r="V10">
        <v>12.083333333333332</v>
      </c>
    </row>
    <row r="11" spans="1:23" x14ac:dyDescent="0.35">
      <c r="A11" t="s">
        <v>129</v>
      </c>
      <c r="B11">
        <v>44103</v>
      </c>
      <c r="C11" t="s">
        <v>109</v>
      </c>
      <c r="D11">
        <v>12.083333333333332</v>
      </c>
      <c r="E11" t="s">
        <v>130</v>
      </c>
      <c r="F11">
        <v>172.16666666666669</v>
      </c>
      <c r="H11" t="s">
        <v>130</v>
      </c>
      <c r="J11" t="s">
        <v>130</v>
      </c>
      <c r="L11" t="s">
        <v>130</v>
      </c>
      <c r="N11" t="s">
        <v>130</v>
      </c>
      <c r="P11" t="s">
        <v>130</v>
      </c>
      <c r="R11" t="s">
        <v>130</v>
      </c>
      <c r="T11" t="s">
        <v>130</v>
      </c>
      <c r="V11">
        <v>12.083333333333332</v>
      </c>
    </row>
    <row r="12" spans="1:23" x14ac:dyDescent="0.35">
      <c r="A12" t="s">
        <v>129</v>
      </c>
      <c r="B12">
        <v>44110</v>
      </c>
      <c r="C12" t="s">
        <v>131</v>
      </c>
      <c r="D12">
        <v>82.36666666666666</v>
      </c>
      <c r="E12" t="s">
        <v>130</v>
      </c>
      <c r="F12">
        <v>254.53333333333336</v>
      </c>
      <c r="H12" t="s">
        <v>130</v>
      </c>
      <c r="J12">
        <v>61.199999999999996</v>
      </c>
      <c r="L12" t="s">
        <v>130</v>
      </c>
      <c r="N12" t="s">
        <v>130</v>
      </c>
      <c r="P12" t="s">
        <v>130</v>
      </c>
      <c r="R12" t="s">
        <v>130</v>
      </c>
      <c r="T12">
        <v>16.333333333333332</v>
      </c>
      <c r="V12">
        <v>4.833333333333333</v>
      </c>
    </row>
    <row r="13" spans="1:23" x14ac:dyDescent="0.35">
      <c r="A13" t="s">
        <v>129</v>
      </c>
      <c r="B13">
        <v>44117</v>
      </c>
      <c r="C13" t="s">
        <v>132</v>
      </c>
      <c r="D13">
        <v>126.67074829931971</v>
      </c>
      <c r="E13" t="s">
        <v>130</v>
      </c>
      <c r="F13">
        <v>381.20408163265307</v>
      </c>
      <c r="H13" t="s">
        <v>130</v>
      </c>
      <c r="J13">
        <v>40.799999999999997</v>
      </c>
      <c r="L13" t="s">
        <v>130</v>
      </c>
      <c r="N13" t="s">
        <v>130</v>
      </c>
      <c r="P13">
        <v>4.204081632653061</v>
      </c>
      <c r="R13" t="s">
        <v>130</v>
      </c>
      <c r="T13">
        <v>81.666666666666657</v>
      </c>
      <c r="V13" t="s">
        <v>130</v>
      </c>
    </row>
    <row r="14" spans="1:23" x14ac:dyDescent="0.35">
      <c r="A14" t="s">
        <v>129</v>
      </c>
      <c r="B14">
        <v>44124</v>
      </c>
      <c r="C14" t="s">
        <v>133</v>
      </c>
      <c r="D14">
        <v>92.176870748299308</v>
      </c>
      <c r="E14" t="s">
        <v>130</v>
      </c>
      <c r="F14">
        <v>473.38095238095241</v>
      </c>
      <c r="H14" t="s">
        <v>130</v>
      </c>
      <c r="J14" t="s">
        <v>130</v>
      </c>
      <c r="L14" t="s">
        <v>130</v>
      </c>
      <c r="N14" t="s">
        <v>130</v>
      </c>
      <c r="P14">
        <v>10.510204081632653</v>
      </c>
      <c r="R14" t="s">
        <v>130</v>
      </c>
      <c r="T14">
        <v>81.666666666666657</v>
      </c>
      <c r="V14" t="s">
        <v>130</v>
      </c>
    </row>
    <row r="15" spans="1:23" x14ac:dyDescent="0.35">
      <c r="A15" t="s">
        <v>129</v>
      </c>
      <c r="B15">
        <v>44131</v>
      </c>
      <c r="C15" t="s">
        <v>133</v>
      </c>
      <c r="D15">
        <v>75.843537414965979</v>
      </c>
      <c r="E15" t="s">
        <v>130</v>
      </c>
      <c r="F15">
        <v>549.22448979591843</v>
      </c>
      <c r="H15" t="s">
        <v>130</v>
      </c>
      <c r="J15" t="s">
        <v>130</v>
      </c>
      <c r="L15" t="s">
        <v>130</v>
      </c>
      <c r="N15" t="s">
        <v>130</v>
      </c>
      <c r="P15">
        <v>10.510204081632653</v>
      </c>
      <c r="R15" t="s">
        <v>130</v>
      </c>
      <c r="T15">
        <v>65.333333333333329</v>
      </c>
      <c r="V15" t="s">
        <v>130</v>
      </c>
    </row>
    <row r="16" spans="1:23" x14ac:dyDescent="0.35">
      <c r="A16" t="s">
        <v>129</v>
      </c>
      <c r="B16">
        <v>44138</v>
      </c>
      <c r="C16" t="s">
        <v>134</v>
      </c>
      <c r="D16">
        <v>176.71020408163264</v>
      </c>
      <c r="E16" t="s">
        <v>130</v>
      </c>
      <c r="F16">
        <v>725.93469387755113</v>
      </c>
      <c r="H16" t="s">
        <v>130</v>
      </c>
      <c r="J16" t="s">
        <v>130</v>
      </c>
      <c r="L16">
        <v>83.699999999999989</v>
      </c>
      <c r="N16">
        <v>82.5</v>
      </c>
      <c r="P16">
        <v>10.510204081632653</v>
      </c>
      <c r="R16" t="s">
        <v>130</v>
      </c>
      <c r="T16" t="s">
        <v>130</v>
      </c>
      <c r="V16" t="s">
        <v>130</v>
      </c>
    </row>
    <row r="17" spans="1:22" x14ac:dyDescent="0.35">
      <c r="A17" t="s">
        <v>129</v>
      </c>
      <c r="B17">
        <v>44145</v>
      </c>
      <c r="C17" t="s">
        <v>134</v>
      </c>
      <c r="D17">
        <v>199.51020408163265</v>
      </c>
      <c r="E17" t="s">
        <v>130</v>
      </c>
      <c r="F17">
        <v>925.44489795918378</v>
      </c>
      <c r="H17" t="s">
        <v>130</v>
      </c>
      <c r="J17" t="s">
        <v>130</v>
      </c>
      <c r="L17">
        <v>139.5</v>
      </c>
      <c r="N17">
        <v>49.5</v>
      </c>
      <c r="P17">
        <v>10.510204081632653</v>
      </c>
      <c r="R17" t="s">
        <v>130</v>
      </c>
      <c r="T17" t="s">
        <v>130</v>
      </c>
      <c r="V17" t="s">
        <v>130</v>
      </c>
    </row>
    <row r="18" spans="1:22" x14ac:dyDescent="0.35">
      <c r="A18" t="s">
        <v>129</v>
      </c>
      <c r="B18">
        <v>44152</v>
      </c>
      <c r="C18" t="s">
        <v>135</v>
      </c>
      <c r="D18">
        <v>66.310204081632648</v>
      </c>
      <c r="E18" t="s">
        <v>130</v>
      </c>
      <c r="F18">
        <v>991.75510204081638</v>
      </c>
      <c r="H18" t="s">
        <v>130</v>
      </c>
      <c r="J18" t="s">
        <v>130</v>
      </c>
      <c r="L18">
        <v>55.8</v>
      </c>
      <c r="N18" t="s">
        <v>130</v>
      </c>
      <c r="P18">
        <v>10.510204081632653</v>
      </c>
      <c r="R18" t="s">
        <v>130</v>
      </c>
      <c r="T18" t="s">
        <v>130</v>
      </c>
      <c r="V18" t="s">
        <v>130</v>
      </c>
    </row>
    <row r="19" spans="1:22" x14ac:dyDescent="0.35">
      <c r="A19" t="s">
        <v>129</v>
      </c>
      <c r="B19">
        <v>44159</v>
      </c>
      <c r="C19" t="s">
        <v>106</v>
      </c>
      <c r="D19">
        <v>10.510204081632653</v>
      </c>
      <c r="E19" t="s">
        <v>130</v>
      </c>
      <c r="F19">
        <v>1002.265306122449</v>
      </c>
      <c r="H19" t="s">
        <v>130</v>
      </c>
      <c r="J19" t="s">
        <v>130</v>
      </c>
      <c r="L19" t="s">
        <v>130</v>
      </c>
      <c r="N19" t="s">
        <v>130</v>
      </c>
      <c r="P19">
        <v>10.510204081632653</v>
      </c>
      <c r="R19" t="s">
        <v>130</v>
      </c>
      <c r="T19" t="s">
        <v>130</v>
      </c>
      <c r="V19" t="s">
        <v>130</v>
      </c>
    </row>
    <row r="20" spans="1:22" x14ac:dyDescent="0.35">
      <c r="A20" t="s">
        <v>129</v>
      </c>
      <c r="B20">
        <v>44166</v>
      </c>
      <c r="C20" t="s">
        <v>106</v>
      </c>
      <c r="D20">
        <v>10.510204081632653</v>
      </c>
      <c r="E20" t="s">
        <v>130</v>
      </c>
      <c r="F20">
        <v>1012.7755102040817</v>
      </c>
      <c r="H20" t="s">
        <v>130</v>
      </c>
      <c r="J20" t="s">
        <v>130</v>
      </c>
      <c r="L20" t="s">
        <v>130</v>
      </c>
      <c r="N20" t="s">
        <v>130</v>
      </c>
      <c r="P20">
        <v>10.510204081632653</v>
      </c>
      <c r="R20" t="s">
        <v>130</v>
      </c>
      <c r="T20" t="s">
        <v>130</v>
      </c>
      <c r="V20" t="s">
        <v>130</v>
      </c>
    </row>
    <row r="21" spans="1:22" x14ac:dyDescent="0.35">
      <c r="A21" t="s">
        <v>129</v>
      </c>
      <c r="B21">
        <v>44173</v>
      </c>
      <c r="C21" t="s">
        <v>106</v>
      </c>
      <c r="D21">
        <v>10.510204081632653</v>
      </c>
      <c r="E21" t="s">
        <v>130</v>
      </c>
      <c r="F21">
        <v>1023.2857142857143</v>
      </c>
      <c r="H21" t="s">
        <v>130</v>
      </c>
      <c r="J21" t="s">
        <v>130</v>
      </c>
      <c r="L21" t="s">
        <v>130</v>
      </c>
      <c r="N21" t="s">
        <v>130</v>
      </c>
      <c r="P21">
        <v>10.510204081632653</v>
      </c>
      <c r="R21" t="s">
        <v>130</v>
      </c>
      <c r="T21" t="s">
        <v>130</v>
      </c>
      <c r="V21" t="s">
        <v>130</v>
      </c>
    </row>
    <row r="22" spans="1:22" x14ac:dyDescent="0.35">
      <c r="A22" t="s">
        <v>129</v>
      </c>
      <c r="B22">
        <v>44180</v>
      </c>
      <c r="C22" t="s">
        <v>106</v>
      </c>
      <c r="D22">
        <v>10.510204081632653</v>
      </c>
      <c r="E22" t="s">
        <v>130</v>
      </c>
      <c r="F22">
        <v>1033.795918367347</v>
      </c>
      <c r="H22" t="s">
        <v>130</v>
      </c>
      <c r="J22" t="s">
        <v>130</v>
      </c>
      <c r="L22" t="s">
        <v>130</v>
      </c>
      <c r="N22" t="s">
        <v>130</v>
      </c>
      <c r="P22">
        <v>10.510204081632653</v>
      </c>
      <c r="R22" t="s">
        <v>130</v>
      </c>
      <c r="T22" t="s">
        <v>130</v>
      </c>
      <c r="V22" t="s">
        <v>130</v>
      </c>
    </row>
    <row r="23" spans="1:22" x14ac:dyDescent="0.35">
      <c r="A23" t="s">
        <v>129</v>
      </c>
      <c r="B23">
        <v>44187</v>
      </c>
      <c r="C23" t="s">
        <v>136</v>
      </c>
      <c r="D23">
        <v>14.204081632653061</v>
      </c>
      <c r="E23" t="s">
        <v>130</v>
      </c>
      <c r="F23">
        <v>1048</v>
      </c>
      <c r="H23" t="s">
        <v>130</v>
      </c>
      <c r="J23" t="s">
        <v>130</v>
      </c>
      <c r="L23" t="s">
        <v>130</v>
      </c>
      <c r="N23" t="s">
        <v>130</v>
      </c>
      <c r="P23">
        <v>4.204081632653061</v>
      </c>
      <c r="R23">
        <v>10</v>
      </c>
      <c r="T23" t="s">
        <v>130</v>
      </c>
      <c r="V23" t="s">
        <v>130</v>
      </c>
    </row>
    <row r="24" spans="1:22" x14ac:dyDescent="0.35">
      <c r="A24" t="s">
        <v>129</v>
      </c>
      <c r="B24">
        <v>44194</v>
      </c>
      <c r="C24" t="s">
        <v>107</v>
      </c>
      <c r="D24">
        <v>13.333333333333334</v>
      </c>
      <c r="E24" t="s">
        <v>130</v>
      </c>
      <c r="F24">
        <v>1061.3333333333333</v>
      </c>
      <c r="H24" t="s">
        <v>130</v>
      </c>
      <c r="J24" t="s">
        <v>130</v>
      </c>
      <c r="L24" t="s">
        <v>130</v>
      </c>
      <c r="N24" t="s">
        <v>130</v>
      </c>
      <c r="P24" t="s">
        <v>130</v>
      </c>
      <c r="R24">
        <v>13.333333333333334</v>
      </c>
      <c r="T24" t="s">
        <v>130</v>
      </c>
      <c r="V24" t="s">
        <v>130</v>
      </c>
    </row>
    <row r="25" spans="1:22" x14ac:dyDescent="0.35">
      <c r="A25" t="s">
        <v>129</v>
      </c>
      <c r="B25">
        <v>44201</v>
      </c>
      <c r="C25" t="s">
        <v>107</v>
      </c>
      <c r="D25">
        <v>6.666666666666667</v>
      </c>
      <c r="E25" t="s">
        <v>130</v>
      </c>
      <c r="F25">
        <v>1068</v>
      </c>
      <c r="H25" t="s">
        <v>130</v>
      </c>
      <c r="J25" t="s">
        <v>130</v>
      </c>
      <c r="L25" t="s">
        <v>130</v>
      </c>
      <c r="N25" t="s">
        <v>130</v>
      </c>
      <c r="P25" t="s">
        <v>130</v>
      </c>
      <c r="R25">
        <v>6.666666666666667</v>
      </c>
      <c r="T25" t="s">
        <v>130</v>
      </c>
      <c r="V25" t="s">
        <v>130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T30" sqref="T30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76" t="s">
        <v>90</v>
      </c>
      <c r="AB1" s="77"/>
    </row>
    <row r="2" spans="2:39" x14ac:dyDescent="0.3">
      <c r="B2" s="89" t="str">
        <f>_xlfn.CONCAT("PROGRESS REPORT ", TEXT(S3,"mm/dd/yyyy"))</f>
        <v>PROGRESS REPORT 05/26/2020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1"/>
      <c r="R2" s="24" t="s">
        <v>56</v>
      </c>
      <c r="S2" s="25" t="str">
        <f ca="1">MID(CELL("filename",B1),FIND("]",CELL("filename",B1))+1,LEN(CELL("filename",B1))-FIND("]",CELL("filename",B1)))</f>
        <v>Template</v>
      </c>
      <c r="T2" s="24" t="s">
        <v>67</v>
      </c>
      <c r="U2" s="34" t="b">
        <v>1</v>
      </c>
      <c r="AA2" s="60"/>
      <c r="AB2" s="61"/>
    </row>
    <row r="3" spans="2:39" x14ac:dyDescent="0.3">
      <c r="B3" s="92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4"/>
      <c r="R3" s="24" t="s">
        <v>18</v>
      </c>
      <c r="S3" s="27">
        <f>Report_Date</f>
        <v>43977</v>
      </c>
      <c r="T3" s="24" t="s">
        <v>68</v>
      </c>
      <c r="U3" s="34" t="b">
        <v>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45</v>
      </c>
      <c r="C4" s="95" t="str">
        <f>Project_Name</f>
        <v>Westland Super Cool Project</v>
      </c>
      <c r="D4" s="95"/>
      <c r="E4" s="95"/>
      <c r="F4" s="95"/>
      <c r="G4" s="95"/>
      <c r="H4" s="95"/>
      <c r="I4" s="95"/>
      <c r="J4" s="96" t="s">
        <v>46</v>
      </c>
      <c r="K4" s="96"/>
      <c r="L4" s="96"/>
      <c r="M4" s="96"/>
      <c r="N4" s="29" t="s">
        <v>47</v>
      </c>
      <c r="O4" s="30" t="s">
        <v>48</v>
      </c>
      <c r="R4" s="24" t="s">
        <v>57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69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49</v>
      </c>
      <c r="C5" s="95" t="str">
        <f>Project_Number</f>
        <v>S000</v>
      </c>
      <c r="D5" s="95"/>
      <c r="E5" s="95"/>
      <c r="F5" s="95"/>
      <c r="G5" s="95"/>
      <c r="H5" s="95"/>
      <c r="I5" s="95"/>
      <c r="J5" s="88" t="s">
        <v>50</v>
      </c>
      <c r="K5" s="88"/>
      <c r="L5" s="88"/>
      <c r="M5" s="88"/>
      <c r="N5" s="32">
        <f ca="1">IF(ISERROR(N7/N6), 0, N7/N6)</f>
        <v>0.36969696969696964</v>
      </c>
      <c r="O5" s="33">
        <f ca="1">IF(ISERROR(O7/O6), 0, O7/O6)</f>
        <v>0.35000000000000014</v>
      </c>
      <c r="R5" s="24" t="s">
        <v>88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70</v>
      </c>
      <c r="U5" s="34" t="b">
        <v>1</v>
      </c>
      <c r="AA5" s="60"/>
      <c r="AB5" s="61"/>
    </row>
    <row r="6" spans="2:39" ht="15" x14ac:dyDescent="0.3">
      <c r="B6" s="28" t="s">
        <v>51</v>
      </c>
      <c r="C6" s="95" t="str">
        <f>Main!C12</f>
        <v>XYZ Corp</v>
      </c>
      <c r="D6" s="95"/>
      <c r="E6" s="95"/>
      <c r="F6" s="95"/>
      <c r="G6" s="95"/>
      <c r="H6" s="95"/>
      <c r="I6" s="95"/>
      <c r="J6" s="88" t="str">
        <f>_xlfn.CONCAT("Overall Totals (", IF(ISBLANK($S$6),"",$S$6), ")")</f>
        <v>Overall Totals (SF)</v>
      </c>
      <c r="K6" s="88"/>
      <c r="L6" s="88"/>
      <c r="M6" s="88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59</v>
      </c>
      <c r="S6" s="26" t="s">
        <v>60</v>
      </c>
      <c r="T6" s="24" t="s">
        <v>71</v>
      </c>
      <c r="U6" s="34" t="b">
        <v>1</v>
      </c>
      <c r="AA6" s="60"/>
      <c r="AB6" s="61"/>
    </row>
    <row r="7" spans="2:39" ht="15.5" thickBot="1" x14ac:dyDescent="0.35">
      <c r="B7" s="28" t="s">
        <v>52</v>
      </c>
      <c r="C7" s="95" t="str">
        <f>RIGHT(Main!B13, LEN(Main!B13) - 4)</f>
        <v>Foundation Walls</v>
      </c>
      <c r="D7" s="95"/>
      <c r="E7" s="95"/>
      <c r="F7" s="95"/>
      <c r="G7" s="95"/>
      <c r="H7" s="95"/>
      <c r="I7" s="95"/>
      <c r="J7" s="88" t="str">
        <f>_xlfn.CONCAT("Overall Completed Totals (", IF(ISBLANK($S$6),"",$S$6), ")")</f>
        <v>Overall Completed Totals (SF)</v>
      </c>
      <c r="K7" s="88"/>
      <c r="L7" s="88"/>
      <c r="M7" s="88"/>
      <c r="N7" s="35">
        <f ca="1">VLOOKUP($S$3, INDIRECT("Output_"&amp;$S$2), 5, FALSE)</f>
        <v>3327.2727272727266</v>
      </c>
      <c r="O7" s="36">
        <f ca="1">_xlfn.IFNA(VLOOKUP($S$3, INDIRECT("Output_"&amp;$S$2), 6, FALSE), 0)</f>
        <v>3150</v>
      </c>
      <c r="R7" s="24" t="s">
        <v>74</v>
      </c>
      <c r="S7" s="31">
        <f>Schedule_Run_Date</f>
        <v>44652</v>
      </c>
      <c r="T7" s="24" t="s">
        <v>72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88" t="str">
        <f>_xlfn.CONCAT("This Week's Production (", IF(ISBLANK($S$6),"",$S$6), ")")</f>
        <v>This Week's Production (SF)</v>
      </c>
      <c r="K8" s="88"/>
      <c r="L8" s="88"/>
      <c r="M8" s="88"/>
      <c r="N8" s="35">
        <f ca="1">VLOOKUP($S$3, INDIRECT("Output_"&amp;$S$2), 3, FALSE)</f>
        <v>218.18181818181819</v>
      </c>
      <c r="O8" s="36">
        <f ca="1">VLOOKUP($S$3, INDIRECT("Output_"&amp;$S$2), 4, FALSE)</f>
        <v>200</v>
      </c>
      <c r="R8" s="24" t="s">
        <v>58</v>
      </c>
      <c r="S8" s="26" t="s">
        <v>89</v>
      </c>
      <c r="T8" s="24" t="s">
        <v>73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88" t="str">
        <f>_xlfn.CONCAT("Weekly Average (", IF(ISBLANK($S$6),"",$S$6), ")")</f>
        <v>Weekly Average (SF)</v>
      </c>
      <c r="K9" s="88"/>
      <c r="L9" s="88"/>
      <c r="M9" s="88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286.36363636363637</v>
      </c>
      <c r="T9" s="24" t="s">
        <v>124</v>
      </c>
      <c r="U9" s="82" t="s">
        <v>126</v>
      </c>
      <c r="V9" s="82"/>
      <c r="W9" s="82"/>
      <c r="X9" s="82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88" t="str">
        <f>_xlfn.CONCAT("Average Past 4 Weeks (", IF(ISBLANK($S$6),"",$S$6), ")")</f>
        <v>Average Past 4 Weeks (SF)</v>
      </c>
      <c r="K10" s="88"/>
      <c r="L10" s="88"/>
      <c r="M10" s="88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167.53246753246754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306.25</v>
      </c>
      <c r="T10" s="24" t="s">
        <v>125</v>
      </c>
      <c r="U10" s="83"/>
      <c r="V10" s="83"/>
      <c r="W10" s="83"/>
      <c r="X10" s="83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88" t="str">
        <f>_xlfn.CONCAT("On Schedule Average (", IF(ISBLANK($S$6),"",$S$6), ")")</f>
        <v>On Schedule Average (SF)</v>
      </c>
      <c r="K11" s="88"/>
      <c r="L11" s="88"/>
      <c r="M11" s="88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294.54545454545439</v>
      </c>
      <c r="O11" s="40">
        <f ca="1">IF($O$5&gt;0.998, "-", (SUM(Input_Template[Total])-INDIRECT("AF"&amp;MATCH($S$3, Output_Template[Date],0)+13))/(ROW(Output_Template[Weekly Plan])-1+ROWS(Output_Template[Weekly Plan])-(MATCH($S$3, Output_Template[Date],0)+13)))</f>
        <v>307.89473684210526</v>
      </c>
      <c r="U11" s="83"/>
      <c r="V11" s="83"/>
      <c r="W11" s="83"/>
      <c r="X11" s="83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78" t="s">
        <v>53</v>
      </c>
      <c r="K12" s="78"/>
      <c r="L12" s="78"/>
      <c r="M12" s="78"/>
      <c r="N12" s="79">
        <f ca="1">MAX(INDIRECT("Input_"&amp;$S$2&amp;"[Finish Date]"))</f>
        <v>44105</v>
      </c>
      <c r="O12" s="80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78" t="s">
        <v>54</v>
      </c>
      <c r="K13" s="78"/>
      <c r="L13" s="78"/>
      <c r="M13" s="78"/>
      <c r="N13" s="79">
        <f ca="1">IF($O$5&gt;0.999, "Completed", WORKDAY($S$3, ROUNDUP((SUM(Input_Template[Total])-(INDIRECT("AF"&amp;MATCH($S$3, Output_Template[Date],0)+13)))/($O$10/COUNTIF($U$2:$U$8, TRUE)),0), Holidays_Table[Holidays]))</f>
        <v>44111</v>
      </c>
      <c r="O13" s="81"/>
      <c r="R13" s="41" t="s">
        <v>61</v>
      </c>
      <c r="S13" s="41" t="s">
        <v>46</v>
      </c>
      <c r="T13" s="41" t="s">
        <v>62</v>
      </c>
      <c r="U13" s="41" t="s">
        <v>63</v>
      </c>
      <c r="V13" s="41" t="s">
        <v>64</v>
      </c>
      <c r="W13" s="41" t="s">
        <v>65</v>
      </c>
      <c r="X13" s="41" t="s">
        <v>66</v>
      </c>
      <c r="AA13" t="s">
        <v>75</v>
      </c>
      <c r="AB13" s="56" t="s">
        <v>80</v>
      </c>
      <c r="AC13" t="s">
        <v>76</v>
      </c>
      <c r="AD13" t="s">
        <v>77</v>
      </c>
      <c r="AE13" t="s">
        <v>78</v>
      </c>
      <c r="AF13" t="s">
        <v>79</v>
      </c>
      <c r="AG13" s="64" t="s">
        <v>91</v>
      </c>
      <c r="AH13" s="64" t="s">
        <v>93</v>
      </c>
      <c r="AI13" s="64" t="s">
        <v>92</v>
      </c>
      <c r="AJ13" s="64" t="s">
        <v>94</v>
      </c>
      <c r="AK13" s="64" t="s">
        <v>95</v>
      </c>
      <c r="AL13" s="64" t="s">
        <v>96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84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4"/>
      <c r="N14" s="84"/>
      <c r="O14" s="85"/>
      <c r="R14" s="43" t="s">
        <v>84</v>
      </c>
      <c r="S14" s="44"/>
      <c r="T14" s="44" t="s">
        <v>81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43907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85.714285714285708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85.714285714285708</v>
      </c>
      <c r="AF14" s="58">
        <f>IF(AD14="",NA(),SUM($AD$14:AD14))</f>
        <v>300</v>
      </c>
      <c r="AG14" s="58">
        <f ca="1">WeeklyPlanned(Output_Template[[#Headers],[WP_A1]], Output_Template[[#This Row],[Date]])</f>
        <v>85.714285714285708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86"/>
      <c r="M15" s="86"/>
      <c r="N15" s="86"/>
      <c r="O15" s="87"/>
      <c r="R15" s="43" t="s">
        <v>85</v>
      </c>
      <c r="S15" s="44"/>
      <c r="T15" s="44" t="s">
        <v>82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43914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514.28571428571422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86</v>
      </c>
      <c r="S16" s="44"/>
      <c r="T16" s="44" t="s">
        <v>83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43921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942.85714285714278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43928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1371.4285714285713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43935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1800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43942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2228.5714285714284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43949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2657.1428571428569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43956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342.85714285714283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2999.9999999999995</v>
      </c>
      <c r="AF21" s="58">
        <f>IF(AD21="",NA(),SUM($AD$14:AD21))</f>
        <v>2300</v>
      </c>
      <c r="AG21" s="58">
        <f ca="1">WeeklyPlanned(Output_Template[[#Headers],[WP_A1]], Output_Template[[#This Row],[Date]])</f>
        <v>342.85714285714283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43963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2999.9999999999995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43970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109.09090909090909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3109.0909090909086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109.09090909090909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55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43977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3327.2727272727266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43984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3599.9999999999991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43991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3872.7272727272721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43998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4145.454545454545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44005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4418.181818181818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44012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4690.909090909091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44019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4963.636363636364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44026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5236.3636363636369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44033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5719.6172248803832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210.52631578947367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44040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6255.5023923444978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44047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6736.8421052631584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218.18181818181819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44054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7000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44061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7263.1578947368416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44068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7526.3157894736833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44075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7789.4736842105249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44082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8052.6315789473665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44089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8315.7894736842081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44096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8578.9473684210498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44103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8842.1052631578914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44110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157.89473684210526</v>
      </c>
      <c r="AL43" s="58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31" priority="10">
      <formula>ISERROR(AF14)</formula>
    </cfRule>
  </conditionalFormatting>
  <conditionalFormatting sqref="W13:X13">
    <cfRule type="expression" dxfId="30" priority="8">
      <formula>IF(OR($S$8 = "Assemble Addin", $S$8 = "Bluebeam QL"), TRUE, FALSE)</formula>
    </cfRule>
  </conditionalFormatting>
  <conditionalFormatting sqref="N6:O6">
    <cfRule type="expression" dxfId="29" priority="7">
      <formula>IF($N$6=$O$6, FALSE, TRUE)</formula>
    </cfRule>
  </conditionalFormatting>
  <conditionalFormatting sqref="W14:X16">
    <cfRule type="expression" dxfId="28" priority="5">
      <formula>IF(OR($S$8 = "Assemble Addin", $S$8 = "Bluebeam QL"), TRUE, FALSE)</formula>
    </cfRule>
    <cfRule type="expression" dxfId="27" priority="6">
      <formula>IF(OR($S$8 = "Assemble Addin", $S$8 = "Bluebeam QL"), MOD(ROW(), 2)=0, FALSE)</formula>
    </cfRule>
  </conditionalFormatting>
  <conditionalFormatting sqref="R13">
    <cfRule type="expression" dxfId="26" priority="2">
      <formula>IF($S$8 = "Assemble Addin", TRUE, FALSE)</formula>
    </cfRule>
  </conditionalFormatting>
  <conditionalFormatting sqref="R14:R16">
    <cfRule type="expression" dxfId="25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0" name="Button 22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7" t="str">
        <f>UPPER("Foundation Walls 05/26/2020")</f>
        <v>FOUNDATION WALLS 05/26/2020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</row>
    <row r="2" spans="1:14" x14ac:dyDescent="0.35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</row>
    <row r="34" spans="1:14" x14ac:dyDescent="0.35">
      <c r="A34" s="98" t="s">
        <v>126</v>
      </c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C10" sqref="C1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0" t="s">
        <v>5</v>
      </c>
      <c r="F1" s="100"/>
      <c r="H1" s="2" t="s">
        <v>9</v>
      </c>
      <c r="J1" t="s">
        <v>156</v>
      </c>
      <c r="L1" s="5" t="s">
        <v>12</v>
      </c>
      <c r="M1" s="5" t="s">
        <v>17</v>
      </c>
      <c r="AB1" t="s">
        <v>127</v>
      </c>
      <c r="AC1" t="s">
        <v>128</v>
      </c>
    </row>
    <row r="2" spans="2:29" ht="15.5" x14ac:dyDescent="0.35">
      <c r="B2" s="101" t="s">
        <v>6</v>
      </c>
      <c r="C2" s="101"/>
      <c r="E2" t="s">
        <v>0</v>
      </c>
      <c r="F2" t="s">
        <v>7</v>
      </c>
      <c r="H2" t="s">
        <v>3</v>
      </c>
      <c r="J2" t="s">
        <v>146</v>
      </c>
    </row>
    <row r="3" spans="2:29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  <c r="J3" t="s">
        <v>28</v>
      </c>
    </row>
    <row r="4" spans="2:29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  <c r="J4" t="s">
        <v>29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30</v>
      </c>
    </row>
    <row r="6" spans="2:29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  <c r="J6" t="s">
        <v>31</v>
      </c>
    </row>
    <row r="7" spans="2:29" x14ac:dyDescent="0.35">
      <c r="B7" t="s">
        <v>19</v>
      </c>
      <c r="C7" s="4" t="s">
        <v>87</v>
      </c>
      <c r="H7" s="1"/>
      <c r="J7" t="s">
        <v>32</v>
      </c>
    </row>
    <row r="8" spans="2:29" x14ac:dyDescent="0.35">
      <c r="B8" t="s">
        <v>21</v>
      </c>
      <c r="C8" s="4" t="s">
        <v>157</v>
      </c>
      <c r="H8" s="1"/>
      <c r="J8" t="s">
        <v>137</v>
      </c>
    </row>
    <row r="9" spans="2:29" x14ac:dyDescent="0.35">
      <c r="B9" t="s">
        <v>22</v>
      </c>
      <c r="C9" s="4" t="s">
        <v>159</v>
      </c>
      <c r="H9" s="1"/>
      <c r="J9" t="s">
        <v>138</v>
      </c>
    </row>
    <row r="10" spans="2:29" x14ac:dyDescent="0.35">
      <c r="B10" t="s">
        <v>23</v>
      </c>
      <c r="C10" s="4" t="s">
        <v>158</v>
      </c>
      <c r="H10" s="1"/>
      <c r="J10" t="s">
        <v>139</v>
      </c>
    </row>
    <row r="11" spans="2:29" x14ac:dyDescent="0.35">
      <c r="B11" t="s">
        <v>97</v>
      </c>
      <c r="C11" s="4" t="s">
        <v>99</v>
      </c>
      <c r="H11" s="1"/>
      <c r="J11" t="s">
        <v>140</v>
      </c>
    </row>
    <row r="12" spans="2:29" x14ac:dyDescent="0.35">
      <c r="H12" s="1"/>
      <c r="J12" t="s">
        <v>141</v>
      </c>
    </row>
    <row r="13" spans="2:29" x14ac:dyDescent="0.35">
      <c r="H13" s="1"/>
      <c r="J13" t="s">
        <v>142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692"/>
  <sheetViews>
    <sheetView tabSelected="1" zoomScale="115" zoomScaleNormal="115" workbookViewId="0">
      <selection activeCell="C43" sqref="C43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103" t="str">
        <f>"PROGRESS REPORT "&amp; TEXT(Report_Date, "mm/dd/yyy")</f>
        <v>PROGRESS REPORT 05/26/2020</v>
      </c>
      <c r="C2" s="103"/>
      <c r="D2" s="103"/>
      <c r="E2" s="103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Ryan Thomas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Camron Walker (North Add &amp; Site) &amp; David Adams (Historic)</v>
      </c>
      <c r="G7" s="20" t="s">
        <v>33</v>
      </c>
      <c r="H7" s="15" t="s">
        <v>20</v>
      </c>
    </row>
    <row r="8" spans="2:11" x14ac:dyDescent="0.35">
      <c r="B8" s="8" t="str">
        <f>"Superintendent(s):  " &amp; Superintendent</f>
        <v>Superintendent(s):  Jay W. (North Add), Dion G. (Historic), Jason F. (MEP) &amp; Zac G. (Site)</v>
      </c>
      <c r="G8" s="20" t="s">
        <v>36</v>
      </c>
      <c r="H8" s="16">
        <v>0.06</v>
      </c>
    </row>
    <row r="9" spans="2:11" ht="10" customHeight="1" x14ac:dyDescent="0.35"/>
    <row r="10" spans="2:11" ht="16.5" x14ac:dyDescent="0.35">
      <c r="B10" s="11" t="s">
        <v>24</v>
      </c>
      <c r="C10" s="11" t="s">
        <v>25</v>
      </c>
      <c r="D10" s="12" t="s">
        <v>26</v>
      </c>
      <c r="E10" s="12" t="s">
        <v>27</v>
      </c>
      <c r="F10" s="21"/>
      <c r="G10" s="21" t="s">
        <v>43</v>
      </c>
      <c r="H10" s="18" t="s">
        <v>39</v>
      </c>
      <c r="I10" s="12" t="s">
        <v>42</v>
      </c>
      <c r="J10" s="12" t="s">
        <v>41</v>
      </c>
    </row>
    <row r="11" spans="2:11" ht="15" x14ac:dyDescent="0.35">
      <c r="B11" s="102" t="s">
        <v>28</v>
      </c>
      <c r="C11" s="102"/>
      <c r="D11" s="102"/>
      <c r="E11" s="102"/>
      <c r="F11" s="23"/>
      <c r="G11" s="23"/>
      <c r="H11" s="23"/>
      <c r="I11" s="23"/>
      <c r="J11" s="23"/>
      <c r="K11" t="s">
        <v>147</v>
      </c>
    </row>
    <row r="12" spans="2:11" x14ac:dyDescent="0.35">
      <c r="B12" s="9" t="s">
        <v>37</v>
      </c>
      <c r="C12" s="8" t="s">
        <v>34</v>
      </c>
      <c r="D12" s="10">
        <v>0.5</v>
      </c>
      <c r="E12" s="10">
        <v>0.45</v>
      </c>
      <c r="G12" s="22"/>
      <c r="H12" s="17" t="s">
        <v>40</v>
      </c>
    </row>
    <row r="13" spans="2:11" x14ac:dyDescent="0.35">
      <c r="B13" s="9" t="s">
        <v>38</v>
      </c>
      <c r="C13" s="8" t="s">
        <v>35</v>
      </c>
      <c r="D13" s="10">
        <v>0.34</v>
      </c>
      <c r="E13" s="10">
        <v>0.4</v>
      </c>
      <c r="G13" s="1"/>
      <c r="H13" s="17" t="s">
        <v>44</v>
      </c>
    </row>
    <row r="14" spans="2:11" x14ac:dyDescent="0.35">
      <c r="B14" s="13"/>
      <c r="G14" s="1"/>
      <c r="H14" s="17"/>
    </row>
    <row r="15" spans="2:11" ht="15" x14ac:dyDescent="0.35">
      <c r="B15" s="102" t="s">
        <v>29</v>
      </c>
      <c r="C15" s="102"/>
      <c r="D15" s="102"/>
      <c r="E15" s="102"/>
      <c r="F15" s="23"/>
      <c r="G15" s="23"/>
      <c r="H15" s="23"/>
      <c r="I15" s="23"/>
      <c r="J15" s="23"/>
      <c r="K15" t="s">
        <v>147</v>
      </c>
    </row>
    <row r="16" spans="2:11" x14ac:dyDescent="0.35">
      <c r="B16" s="9"/>
      <c r="C16" s="75"/>
      <c r="G16" s="22"/>
      <c r="H16" s="17"/>
    </row>
    <row r="17" spans="2:11" ht="15" x14ac:dyDescent="0.35">
      <c r="B17" s="102" t="s">
        <v>30</v>
      </c>
      <c r="C17" s="102"/>
      <c r="D17" s="102"/>
      <c r="E17" s="102"/>
      <c r="F17" s="23"/>
      <c r="G17" s="23"/>
      <c r="H17" s="23"/>
      <c r="I17" s="23"/>
      <c r="J17" s="23"/>
      <c r="K17" t="s">
        <v>147</v>
      </c>
    </row>
    <row r="18" spans="2:11" x14ac:dyDescent="0.35">
      <c r="B18" s="9"/>
      <c r="C18" s="75"/>
      <c r="G18" s="22"/>
      <c r="H18" s="17"/>
    </row>
    <row r="19" spans="2:11" ht="15" x14ac:dyDescent="0.35">
      <c r="B19" s="102" t="s">
        <v>31</v>
      </c>
      <c r="C19" s="102"/>
      <c r="D19" s="102"/>
      <c r="E19" s="102"/>
      <c r="F19" s="23"/>
      <c r="G19" s="23"/>
      <c r="H19" s="23"/>
      <c r="I19" s="23"/>
      <c r="J19" s="23"/>
      <c r="K19" t="s">
        <v>147</v>
      </c>
    </row>
    <row r="20" spans="2:11" x14ac:dyDescent="0.35">
      <c r="B20" s="9"/>
      <c r="C20" s="75"/>
      <c r="G20" s="22"/>
      <c r="H20" s="17"/>
    </row>
    <row r="21" spans="2:11" ht="15" x14ac:dyDescent="0.35">
      <c r="B21" s="102" t="s">
        <v>32</v>
      </c>
      <c r="C21" s="102"/>
      <c r="D21" s="102"/>
      <c r="E21" s="102"/>
      <c r="F21" s="23"/>
      <c r="G21" s="23"/>
      <c r="H21" s="23"/>
      <c r="I21" s="23"/>
      <c r="J21" s="23"/>
      <c r="K21" t="s">
        <v>147</v>
      </c>
    </row>
    <row r="22" spans="2:11" x14ac:dyDescent="0.35">
      <c r="B22" s="9"/>
      <c r="C22" s="75"/>
      <c r="G22" s="22"/>
      <c r="H22" s="17"/>
    </row>
    <row r="23" spans="2:11" ht="15" x14ac:dyDescent="0.35">
      <c r="B23" s="102" t="s">
        <v>137</v>
      </c>
      <c r="C23" s="102"/>
      <c r="D23" s="102"/>
      <c r="E23" s="102"/>
      <c r="F23" s="23"/>
      <c r="G23" s="23"/>
      <c r="H23" s="23"/>
      <c r="I23" s="23"/>
      <c r="J23" s="23"/>
      <c r="K23" t="s">
        <v>147</v>
      </c>
    </row>
    <row r="24" spans="2:11" x14ac:dyDescent="0.35">
      <c r="B24" s="9"/>
      <c r="C24" s="75"/>
      <c r="G24" s="22"/>
      <c r="H24" s="17"/>
    </row>
    <row r="25" spans="2:11" ht="15" x14ac:dyDescent="0.35">
      <c r="B25" s="102" t="s">
        <v>138</v>
      </c>
      <c r="C25" s="102"/>
      <c r="D25" s="102"/>
      <c r="E25" s="102"/>
      <c r="F25" s="23"/>
      <c r="G25" s="23"/>
      <c r="H25" s="23"/>
      <c r="I25" s="23"/>
      <c r="J25" s="23"/>
      <c r="K25" t="s">
        <v>147</v>
      </c>
    </row>
    <row r="26" spans="2:11" x14ac:dyDescent="0.35">
      <c r="B26" s="9"/>
      <c r="C26" s="75"/>
      <c r="G26" s="22"/>
      <c r="H26" s="17"/>
    </row>
    <row r="27" spans="2:11" ht="15" x14ac:dyDescent="0.35">
      <c r="B27" s="102" t="s">
        <v>139</v>
      </c>
      <c r="C27" s="102"/>
      <c r="D27" s="102"/>
      <c r="E27" s="102"/>
      <c r="F27" s="23"/>
      <c r="G27" s="23"/>
      <c r="H27" s="23"/>
      <c r="I27" s="23"/>
      <c r="J27" s="23"/>
      <c r="K27" t="s">
        <v>147</v>
      </c>
    </row>
    <row r="28" spans="2:11" x14ac:dyDescent="0.35">
      <c r="B28" s="9"/>
      <c r="C28" s="75"/>
      <c r="G28" s="22"/>
      <c r="H28" s="17"/>
    </row>
    <row r="29" spans="2:11" ht="15" x14ac:dyDescent="0.35">
      <c r="B29" s="102" t="s">
        <v>140</v>
      </c>
      <c r="C29" s="102"/>
      <c r="D29" s="102"/>
      <c r="E29" s="102"/>
      <c r="F29" s="23"/>
      <c r="G29" s="23"/>
      <c r="H29" s="23"/>
      <c r="I29" s="23"/>
      <c r="J29" s="23"/>
      <c r="K29" t="s">
        <v>147</v>
      </c>
    </row>
    <row r="30" spans="2:11" x14ac:dyDescent="0.35">
      <c r="B30" s="9"/>
      <c r="C30" s="75"/>
      <c r="G30" s="22"/>
      <c r="H30" s="17"/>
    </row>
    <row r="31" spans="2:11" ht="15" x14ac:dyDescent="0.35">
      <c r="B31" s="102" t="s">
        <v>141</v>
      </c>
      <c r="C31" s="102"/>
      <c r="D31" s="102"/>
      <c r="E31" s="102"/>
      <c r="F31" s="23"/>
      <c r="G31" s="23"/>
      <c r="H31" s="23"/>
      <c r="I31" s="23"/>
      <c r="J31" s="23"/>
      <c r="K31" t="s">
        <v>147</v>
      </c>
    </row>
    <row r="32" spans="2:11" x14ac:dyDescent="0.35">
      <c r="B32" s="9"/>
      <c r="C32" s="75"/>
      <c r="G32" s="22"/>
      <c r="H32" s="17"/>
    </row>
    <row r="33" spans="2:11" ht="15" x14ac:dyDescent="0.35">
      <c r="B33" s="102" t="s">
        <v>142</v>
      </c>
      <c r="C33" s="102"/>
      <c r="D33" s="102"/>
      <c r="E33" s="102"/>
      <c r="F33" s="23"/>
      <c r="G33" s="23"/>
      <c r="H33" s="23"/>
      <c r="I33" s="23"/>
      <c r="J33" s="23"/>
      <c r="K33" t="s">
        <v>147</v>
      </c>
    </row>
    <row r="34" spans="2:11" x14ac:dyDescent="0.35">
      <c r="B34" s="9" t="s">
        <v>143</v>
      </c>
      <c r="C34" s="75" t="s">
        <v>144</v>
      </c>
      <c r="G34" s="22"/>
      <c r="H34" s="17" t="s">
        <v>145</v>
      </c>
    </row>
    <row r="35" spans="2:11" x14ac:dyDescent="0.35">
      <c r="B35" s="75"/>
      <c r="C35" s="75"/>
      <c r="G35" s="1"/>
      <c r="H35" s="17"/>
    </row>
    <row r="36" spans="2:11" x14ac:dyDescent="0.35">
      <c r="G36" s="1"/>
      <c r="H36" s="17"/>
    </row>
    <row r="37" spans="2:11" x14ac:dyDescent="0.35">
      <c r="G37" s="1"/>
      <c r="H37" s="17"/>
    </row>
    <row r="38" spans="2:11" x14ac:dyDescent="0.35">
      <c r="G38" s="1"/>
      <c r="H38" s="17"/>
    </row>
    <row r="39" spans="2:11" x14ac:dyDescent="0.35">
      <c r="G39" s="1"/>
      <c r="H39" s="17"/>
    </row>
    <row r="40" spans="2:11" x14ac:dyDescent="0.35">
      <c r="G40" s="1"/>
      <c r="H40" s="17"/>
    </row>
    <row r="41" spans="2:11" x14ac:dyDescent="0.35">
      <c r="G41" s="1"/>
      <c r="H41" s="17"/>
    </row>
    <row r="42" spans="2:11" x14ac:dyDescent="0.35">
      <c r="G42" s="1"/>
      <c r="H42" s="17"/>
    </row>
    <row r="43" spans="2:11" x14ac:dyDescent="0.35">
      <c r="G43" s="1"/>
      <c r="H43" s="17"/>
    </row>
    <row r="44" spans="2:11" x14ac:dyDescent="0.35">
      <c r="G44" s="1"/>
      <c r="H44" s="17"/>
    </row>
    <row r="45" spans="2:11" x14ac:dyDescent="0.35">
      <c r="G45" s="1"/>
      <c r="H45" s="17"/>
    </row>
    <row r="46" spans="2:11" x14ac:dyDescent="0.35">
      <c r="G46" s="1"/>
      <c r="H46" s="17"/>
    </row>
    <row r="47" spans="2:11" x14ac:dyDescent="0.35">
      <c r="G47" s="1"/>
      <c r="H47" s="17"/>
    </row>
    <row r="48" spans="2:11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H264" s="17"/>
    </row>
    <row r="265" spans="7:8" x14ac:dyDescent="0.35">
      <c r="H265" s="17"/>
    </row>
    <row r="266" spans="7:8" x14ac:dyDescent="0.35">
      <c r="H266" s="17"/>
    </row>
    <row r="267" spans="7:8" x14ac:dyDescent="0.35">
      <c r="H267" s="17"/>
    </row>
    <row r="268" spans="7:8" x14ac:dyDescent="0.35">
      <c r="H268" s="17"/>
    </row>
    <row r="269" spans="7:8" x14ac:dyDescent="0.35">
      <c r="H269" s="17"/>
    </row>
    <row r="270" spans="7:8" x14ac:dyDescent="0.35">
      <c r="H270" s="17"/>
    </row>
    <row r="271" spans="7:8" x14ac:dyDescent="0.35">
      <c r="H271" s="17"/>
    </row>
    <row r="272" spans="7:8" x14ac:dyDescent="0.35">
      <c r="H272" s="17"/>
    </row>
    <row r="273" spans="8:8" x14ac:dyDescent="0.35">
      <c r="H273" s="17"/>
    </row>
    <row r="274" spans="8:8" x14ac:dyDescent="0.35">
      <c r="H274" s="17"/>
    </row>
    <row r="275" spans="8:8" x14ac:dyDescent="0.35">
      <c r="H275" s="17"/>
    </row>
    <row r="276" spans="8:8" x14ac:dyDescent="0.35">
      <c r="H276" s="17"/>
    </row>
    <row r="277" spans="8:8" x14ac:dyDescent="0.35">
      <c r="H277" s="17"/>
    </row>
    <row r="278" spans="8:8" x14ac:dyDescent="0.35">
      <c r="H278" s="17"/>
    </row>
    <row r="279" spans="8:8" x14ac:dyDescent="0.35">
      <c r="H279" s="17"/>
    </row>
    <row r="280" spans="8:8" x14ac:dyDescent="0.35">
      <c r="H280" s="17"/>
    </row>
    <row r="281" spans="8:8" x14ac:dyDescent="0.35">
      <c r="H281" s="17"/>
    </row>
    <row r="282" spans="8:8" x14ac:dyDescent="0.35">
      <c r="H282" s="17"/>
    </row>
    <row r="283" spans="8:8" x14ac:dyDescent="0.35">
      <c r="H283" s="17"/>
    </row>
    <row r="284" spans="8:8" x14ac:dyDescent="0.35">
      <c r="H284" s="17"/>
    </row>
    <row r="285" spans="8:8" x14ac:dyDescent="0.35">
      <c r="H285" s="17"/>
    </row>
    <row r="286" spans="8:8" x14ac:dyDescent="0.35">
      <c r="H286" s="17"/>
    </row>
    <row r="287" spans="8:8" x14ac:dyDescent="0.35">
      <c r="H287" s="17"/>
    </row>
    <row r="288" spans="8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</sheetData>
  <mergeCells count="12">
    <mergeCell ref="B33:E33"/>
    <mergeCell ref="B23:E23"/>
    <mergeCell ref="B25:E25"/>
    <mergeCell ref="B27:E27"/>
    <mergeCell ref="B29:E29"/>
    <mergeCell ref="B31:E31"/>
    <mergeCell ref="B21:E21"/>
    <mergeCell ref="B2:E2"/>
    <mergeCell ref="B11:E11"/>
    <mergeCell ref="B15:E15"/>
    <mergeCell ref="B17:E17"/>
    <mergeCell ref="B19:E19"/>
  </mergeCells>
  <phoneticPr fontId="6" type="noConversion"/>
  <conditionalFormatting sqref="E36:E77 E32 E30 E28 E26 E24 E12:E22">
    <cfRule type="expression" dxfId="24" priority="51">
      <formula>IF(ISBLANK($D12), FALSE, IF(RedGreen_Formatting = "Enabled", $D12 &lt;= $E12 + Percent_Error, FALSE))</formula>
    </cfRule>
    <cfRule type="expression" dxfId="23" priority="52">
      <formula>IF(ISBLANK($D12), FALSE, IF(RedGreen_Formatting = "Enabled", $D12 &gt; $E12 + Percent_Error, FALSE))</formula>
    </cfRule>
  </conditionalFormatting>
  <conditionalFormatting sqref="E23">
    <cfRule type="expression" dxfId="22" priority="49">
      <formula>IF(ISBLANK($D23), FALSE, IF(RedGreen_Formatting = "Enabled", $D23 &lt;= $E23 + Percent_Error, FALSE))</formula>
    </cfRule>
    <cfRule type="expression" dxfId="21" priority="50">
      <formula>IF(ISBLANK($D23), FALSE, IF(RedGreen_Formatting = "Enabled", $D23 &gt; $E23 + Percent_Error, FALSE))</formula>
    </cfRule>
  </conditionalFormatting>
  <conditionalFormatting sqref="E25">
    <cfRule type="expression" dxfId="20" priority="47">
      <formula>IF(ISBLANK($D25), FALSE, IF(RedGreen_Formatting = "Enabled", $D25 &lt;= $E25 + Percent_Error, FALSE))</formula>
    </cfRule>
    <cfRule type="expression" dxfId="19" priority="48">
      <formula>IF(ISBLANK($D25), FALSE, IF(RedGreen_Formatting = "Enabled", $D25 &gt; $E25 + Percent_Error, FALSE))</formula>
    </cfRule>
  </conditionalFormatting>
  <conditionalFormatting sqref="E27">
    <cfRule type="expression" dxfId="18" priority="45">
      <formula>IF(ISBLANK($D27), FALSE, IF(RedGreen_Formatting = "Enabled", $D27 &lt;= $E27 + Percent_Error, FALSE))</formula>
    </cfRule>
    <cfRule type="expression" dxfId="17" priority="46">
      <formula>IF(ISBLANK($D27), FALSE, IF(RedGreen_Formatting = "Enabled", $D27 &gt; $E27 + Percent_Error, FALSE))</formula>
    </cfRule>
  </conditionalFormatting>
  <conditionalFormatting sqref="E29">
    <cfRule type="expression" dxfId="16" priority="43">
      <formula>IF(ISBLANK($D29), FALSE, IF(RedGreen_Formatting = "Enabled", $D29 &lt;= $E29 + Percent_Error, FALSE))</formula>
    </cfRule>
    <cfRule type="expression" dxfId="15" priority="44">
      <formula>IF(ISBLANK($D29), FALSE, IF(RedGreen_Formatting = "Enabled", $D29 &gt; $E29 + Percent_Error, FALSE))</formula>
    </cfRule>
  </conditionalFormatting>
  <conditionalFormatting sqref="E31">
    <cfRule type="expression" dxfId="14" priority="41">
      <formula>IF(ISBLANK($D31), FALSE, IF(RedGreen_Formatting = "Enabled", $D31 &lt;= $E31 + Percent_Error, FALSE))</formula>
    </cfRule>
    <cfRule type="expression" dxfId="13" priority="42">
      <formula>IF(ISBLANK($D31), FALSE, IF(RedGreen_Formatting = "Enabled", $D31 &gt; $E31 + Percent_Error, FALSE))</formula>
    </cfRule>
  </conditionalFormatting>
  <conditionalFormatting sqref="E33">
    <cfRule type="expression" dxfId="12" priority="39">
      <formula>IF(ISBLANK($D33), FALSE, IF(RedGreen_Formatting = "Enabled", $D33 &lt;= $E33 + Percent_Error, FALSE))</formula>
    </cfRule>
    <cfRule type="expression" dxfId="11" priority="40">
      <formula>IF(ISBLANK($D33), FALSE, IF(RedGreen_Formatting = "Enabled", $D33 &gt; $E33 + Percent_Error, FALSE))</formula>
    </cfRule>
  </conditionalFormatting>
  <conditionalFormatting sqref="E35">
    <cfRule type="expression" dxfId="10" priority="21">
      <formula>IF(ISBLANK($D35), FALSE, IF(RedGreen_Formatting = "Enabled", $D35 &lt;= $E35 + Percent_Error, FALSE))</formula>
    </cfRule>
    <cfRule type="expression" dxfId="9" priority="22">
      <formula>IF(ISBLANK($D35), FALSE, IF(RedGreen_Formatting = "Enabled", $D35 &gt; $E35 + Percent_Error, FALSE))</formula>
    </cfRule>
  </conditionalFormatting>
  <conditionalFormatting sqref="E34">
    <cfRule type="expression" dxfId="8" priority="1">
      <formula>IF(ISBLANK($D34), FALSE, IF(RedGreen_Formatting = "Enabled", $D34 &lt;= $E34 + Percent_Error, FALSE))</formula>
    </cfRule>
    <cfRule type="expression" dxfId="7" priority="2">
      <formula>IF(ISBLANK($D34), FALSE, IF(RedGreen_Formatting = "Enabled", $D34 &gt; $E34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T29" sqref="T29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76" t="s">
        <v>90</v>
      </c>
      <c r="AB1" s="77"/>
    </row>
    <row r="2" spans="2:49" x14ac:dyDescent="0.3">
      <c r="B2" s="89" t="str">
        <f>_xlfn.CONCAT("PROGRESS REPORT ", TEXT(S3,"mm/dd/yyyy"))</f>
        <v>PROGRESS REPORT 05/26/2020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1"/>
      <c r="R2" s="24" t="s">
        <v>56</v>
      </c>
      <c r="S2" s="25" t="str">
        <f ca="1">MID(CELL("filename",B1),FIND("]",CELL("filename",B1))+1,LEN(CELL("filename",B1))-FIND("]",CELL("filename",B1)))</f>
        <v>0000</v>
      </c>
      <c r="T2" s="24" t="s">
        <v>67</v>
      </c>
      <c r="U2" s="34" t="b">
        <v>1</v>
      </c>
      <c r="AA2" s="60"/>
      <c r="AB2" s="61"/>
    </row>
    <row r="3" spans="2:49" x14ac:dyDescent="0.3">
      <c r="B3" s="92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4"/>
      <c r="R3" s="24" t="s">
        <v>18</v>
      </c>
      <c r="S3" s="27">
        <f>Report_Date</f>
        <v>43977</v>
      </c>
      <c r="T3" s="24" t="s">
        <v>68</v>
      </c>
      <c r="U3" s="34" t="b">
        <v>1</v>
      </c>
      <c r="AA3" s="60"/>
      <c r="AB3" s="61"/>
    </row>
    <row r="4" spans="2:49" ht="15" x14ac:dyDescent="0.3">
      <c r="B4" s="28" t="s">
        <v>45</v>
      </c>
      <c r="C4" s="95" t="str">
        <f>Project_Name</f>
        <v>Westland Super Cool Project</v>
      </c>
      <c r="D4" s="95"/>
      <c r="E4" s="95"/>
      <c r="F4" s="95"/>
      <c r="G4" s="95"/>
      <c r="H4" s="95"/>
      <c r="I4" s="95"/>
      <c r="J4" s="96" t="s">
        <v>46</v>
      </c>
      <c r="K4" s="96"/>
      <c r="L4" s="96"/>
      <c r="M4" s="96"/>
      <c r="N4" s="29" t="s">
        <v>47</v>
      </c>
      <c r="O4" s="30" t="s">
        <v>48</v>
      </c>
      <c r="R4" s="24" t="s">
        <v>57</v>
      </c>
      <c r="S4" s="27">
        <f>MIN(Input_0000[Start Date])+(7-WEEKDAY(MIN(Input_0000[Start Date]),2)+_xlfn.SWITCH(Reporting_Day, "Sunday", 7, "Monday", 1, "Tuesday", 2, "Wednesday", 3, "Thursday", 4, "Friday", 5, "Saturday", 6))</f>
        <v>44047</v>
      </c>
      <c r="T4" s="24" t="s">
        <v>69</v>
      </c>
      <c r="U4" s="34" t="b">
        <v>1</v>
      </c>
      <c r="AA4" s="60"/>
      <c r="AB4" s="61"/>
    </row>
    <row r="5" spans="2:49" ht="15" x14ac:dyDescent="0.3">
      <c r="B5" s="28" t="s">
        <v>49</v>
      </c>
      <c r="C5" s="95" t="str">
        <f>Project_Number</f>
        <v>S000</v>
      </c>
      <c r="D5" s="95"/>
      <c r="E5" s="95"/>
      <c r="F5" s="95"/>
      <c r="G5" s="95"/>
      <c r="H5" s="95"/>
      <c r="I5" s="95"/>
      <c r="J5" s="88" t="s">
        <v>50</v>
      </c>
      <c r="K5" s="88"/>
      <c r="L5" s="88"/>
      <c r="M5" s="88"/>
      <c r="N5" s="32">
        <f ca="1">IF(ISERROR(N7/N6), 0, N7/N6)</f>
        <v>0</v>
      </c>
      <c r="O5" s="33">
        <f ca="1">IF(ISERROR(O7/O6), 0, O7/O6)</f>
        <v>0</v>
      </c>
      <c r="R5" s="24" t="s">
        <v>88</v>
      </c>
      <c r="S5" s="31">
        <f>MAX(Input_0000[Finish Date])+(7-WEEKDAY(MAX(Input_0000[Finish Date]),2)+_xlfn.SWITCH(Reporting_Day, "Sunday", 7, "Monday", 1, "Tuesday", 2, "Wednesday", 3, "Thursday", 4, "Friday", 5, "Saturday", 6))</f>
        <v>44201</v>
      </c>
      <c r="T5" s="24" t="s">
        <v>70</v>
      </c>
      <c r="U5" s="34" t="b">
        <v>1</v>
      </c>
      <c r="AA5" s="60"/>
      <c r="AB5" s="61"/>
    </row>
    <row r="6" spans="2:49" ht="15" x14ac:dyDescent="0.3">
      <c r="B6" s="28" t="s">
        <v>51</v>
      </c>
      <c r="C6" s="95" t="str">
        <f>Main!C12</f>
        <v>XYZ Corp</v>
      </c>
      <c r="D6" s="95"/>
      <c r="E6" s="95"/>
      <c r="F6" s="95"/>
      <c r="G6" s="95"/>
      <c r="H6" s="95"/>
      <c r="I6" s="95"/>
      <c r="J6" s="88" t="str">
        <f>_xlfn.CONCAT("Overall Totals (", IF(ISBLANK($S$6),"",$S$6), ")")</f>
        <v>Overall Totals (Count)</v>
      </c>
      <c r="K6" s="88"/>
      <c r="L6" s="88"/>
      <c r="M6" s="88"/>
      <c r="N6" s="35">
        <f ca="1">SUM(INDIRECT("Input_"&amp;$S$2&amp;"[Total]"))</f>
        <v>1068</v>
      </c>
      <c r="O6" s="36">
        <f ca="1">SUM(INDIRECT("Output_"&amp;$S$2&amp;"[Weekly Plan]"))</f>
        <v>1068</v>
      </c>
      <c r="R6" s="24" t="s">
        <v>59</v>
      </c>
      <c r="S6" s="26" t="s">
        <v>98</v>
      </c>
      <c r="T6" s="24" t="s">
        <v>71</v>
      </c>
      <c r="U6" s="34" t="b">
        <v>1</v>
      </c>
      <c r="AA6" s="60"/>
      <c r="AB6" s="61"/>
      <c r="AD6" s="45"/>
    </row>
    <row r="7" spans="2:49" ht="15.5" thickBot="1" x14ac:dyDescent="0.35">
      <c r="B7" s="28" t="s">
        <v>52</v>
      </c>
      <c r="C7" s="95" t="str">
        <f>RIGHT(Main!B13, LEN(Main!B13) - 4)</f>
        <v>Foundation Walls</v>
      </c>
      <c r="D7" s="95"/>
      <c r="E7" s="95"/>
      <c r="F7" s="95"/>
      <c r="G7" s="95"/>
      <c r="H7" s="95"/>
      <c r="I7" s="95"/>
      <c r="J7" s="88" t="str">
        <f>_xlfn.CONCAT("Overall Completed Totals (", IF(ISBLANK($S$6),"",$S$6), ")")</f>
        <v>Overall Completed Totals (Count)</v>
      </c>
      <c r="K7" s="88"/>
      <c r="L7" s="88"/>
      <c r="M7" s="88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74</v>
      </c>
      <c r="S7" s="31">
        <f>Schedule_Run_Date</f>
        <v>44652</v>
      </c>
      <c r="T7" s="24" t="s">
        <v>72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88" t="str">
        <f>_xlfn.CONCAT("This Week's Production (", IF(ISBLANK($S$6),"",$S$6), ")")</f>
        <v>This Week's Production (Count)</v>
      </c>
      <c r="K8" s="88"/>
      <c r="L8" s="88"/>
      <c r="M8" s="88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58</v>
      </c>
      <c r="S8" s="26" t="s">
        <v>97</v>
      </c>
      <c r="T8" s="24" t="s">
        <v>73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88" t="str">
        <f>_xlfn.CONCAT("Weekly Average (", IF(ISBLANK($S$6),"",$S$6), ")")</f>
        <v>Weekly Average (Count)</v>
      </c>
      <c r="K9" s="88"/>
      <c r="L9" s="88"/>
      <c r="M9" s="88"/>
      <c r="N9" s="39">
        <f ca="1">AVERAGE(INDIRECT("Output_"&amp;$S$2&amp;"[Weekly Plan]"))</f>
        <v>46.434782608695649</v>
      </c>
      <c r="O9" s="40" t="e">
        <f ca="1">AVERAGE(INDIRECT("AD14:AD" &amp;MATCH($S$3,INDIRECT("Output_"&amp;$S$2&amp;"[Date]"),0)+13))</f>
        <v>#N/A</v>
      </c>
      <c r="T9" s="24" t="s">
        <v>124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88" t="str">
        <f>_xlfn.CONCAT("Average Past 4 Weeks (", IF(ISBLANK($S$6),"",$S$6), ")")</f>
        <v>Average Past 4 Weeks (Count)</v>
      </c>
      <c r="K10" s="88"/>
      <c r="L10" s="88"/>
      <c r="M10" s="88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125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88" t="str">
        <f>_xlfn.CONCAT("On Schedule Average (", IF(ISBLANK($S$6),"",$S$6), ")")</f>
        <v>On Schedule Average (Count)</v>
      </c>
      <c r="K11" s="88"/>
      <c r="L11" s="88"/>
      <c r="M11" s="88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78" t="s">
        <v>53</v>
      </c>
      <c r="K12" s="78"/>
      <c r="L12" s="78"/>
      <c r="M12" s="78"/>
      <c r="N12" s="79">
        <f ca="1">MAX(INDIRECT("Input_"&amp;$S$2&amp;"[Finish Date]"))</f>
        <v>44195</v>
      </c>
      <c r="O12" s="80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78" t="s">
        <v>54</v>
      </c>
      <c r="K13" s="78"/>
      <c r="L13" s="78"/>
      <c r="M13" s="78"/>
      <c r="N13" s="79"/>
      <c r="O13" s="81"/>
      <c r="R13" s="41" t="s">
        <v>61</v>
      </c>
      <c r="S13" s="41" t="s">
        <v>46</v>
      </c>
      <c r="T13" s="41" t="s">
        <v>62</v>
      </c>
      <c r="U13" s="41" t="s">
        <v>63</v>
      </c>
      <c r="V13" s="41" t="s">
        <v>64</v>
      </c>
      <c r="W13" s="41" t="s">
        <v>65</v>
      </c>
      <c r="X13" s="41" t="s">
        <v>66</v>
      </c>
      <c r="AA13" t="s">
        <v>75</v>
      </c>
      <c r="AB13" s="56" t="s">
        <v>80</v>
      </c>
      <c r="AC13" t="s">
        <v>76</v>
      </c>
      <c r="AD13" t="s">
        <v>77</v>
      </c>
      <c r="AE13" t="s">
        <v>78</v>
      </c>
      <c r="AF13" t="s">
        <v>79</v>
      </c>
      <c r="AG13" s="64" t="s">
        <v>101</v>
      </c>
      <c r="AH13" s="64" t="s">
        <v>102</v>
      </c>
      <c r="AI13" s="64" t="s">
        <v>110</v>
      </c>
      <c r="AJ13" s="64" t="s">
        <v>111</v>
      </c>
      <c r="AK13" s="64" t="s">
        <v>112</v>
      </c>
      <c r="AL13" s="64" t="s">
        <v>113</v>
      </c>
      <c r="AM13" s="64" t="s">
        <v>114</v>
      </c>
      <c r="AN13" s="64" t="s">
        <v>115</v>
      </c>
      <c r="AO13" s="64" t="s">
        <v>116</v>
      </c>
      <c r="AP13" s="64" t="s">
        <v>117</v>
      </c>
      <c r="AQ13" s="64" t="s">
        <v>118</v>
      </c>
      <c r="AR13" s="64" t="s">
        <v>119</v>
      </c>
      <c r="AS13" s="64" t="s">
        <v>120</v>
      </c>
      <c r="AT13" s="64" t="s">
        <v>121</v>
      </c>
      <c r="AU13" s="64" t="s">
        <v>122</v>
      </c>
      <c r="AV13" s="64" t="s">
        <v>123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84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4"/>
      <c r="N14" s="84"/>
      <c r="O14" s="85"/>
      <c r="R14" s="43"/>
      <c r="S14" s="44" t="s">
        <v>148</v>
      </c>
      <c r="T14" s="44" t="s">
        <v>100</v>
      </c>
      <c r="U14" s="45">
        <v>44040</v>
      </c>
      <c r="V14" s="45">
        <v>44053</v>
      </c>
      <c r="W14" s="8">
        <v>148</v>
      </c>
      <c r="X14" s="8">
        <v>12</v>
      </c>
      <c r="AA14" s="54">
        <f t="shared" ref="AA14" si="0">IF(AA13 = "Date", $S$4, AA13+7)</f>
        <v>44047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86"/>
      <c r="M15" s="86"/>
      <c r="N15" s="86"/>
      <c r="O15" s="87"/>
      <c r="R15" s="43"/>
      <c r="S15" s="44" t="s">
        <v>149</v>
      </c>
      <c r="T15" s="44" t="s">
        <v>103</v>
      </c>
      <c r="U15" s="45">
        <v>44105</v>
      </c>
      <c r="V15" s="45">
        <v>44111</v>
      </c>
      <c r="W15" s="8">
        <v>102</v>
      </c>
      <c r="X15" s="8">
        <v>0</v>
      </c>
      <c r="AA15" s="54">
        <f t="shared" ref="AA15:AA20" si="2">IF(AA14 = "Date", $S$4, AA14+7)</f>
        <v>44054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148</v>
      </c>
      <c r="AF15" s="58" t="e">
        <f>IF(AD15="",NA(),SUM($AD$14:AD15))</f>
        <v>#N/A</v>
      </c>
      <c r="AG15" s="58">
        <f ca="1">WeeklyPlanned(Output_0000[[#Headers],[WP_ABC]], Output_0000[[#This Row],[Date]])</f>
        <v>74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150</v>
      </c>
      <c r="T16" s="44" t="s">
        <v>104</v>
      </c>
      <c r="U16" s="45">
        <v>44133</v>
      </c>
      <c r="V16" s="45">
        <v>44146</v>
      </c>
      <c r="W16" s="8">
        <v>279</v>
      </c>
      <c r="X16" s="8">
        <v>0</v>
      </c>
      <c r="AA16" s="54">
        <f t="shared" si="2"/>
        <v>44061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148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151</v>
      </c>
      <c r="T17" s="66" t="s">
        <v>105</v>
      </c>
      <c r="U17" s="67">
        <v>44131</v>
      </c>
      <c r="V17" s="67">
        <v>44140</v>
      </c>
      <c r="W17" s="68">
        <v>132</v>
      </c>
      <c r="X17" s="68">
        <v>0</v>
      </c>
      <c r="AA17" s="54">
        <f t="shared" si="2"/>
        <v>44068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148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155</v>
      </c>
      <c r="T18" s="66" t="s">
        <v>106</v>
      </c>
      <c r="U18" s="67">
        <v>44113</v>
      </c>
      <c r="V18" s="67">
        <v>44181</v>
      </c>
      <c r="W18" s="68">
        <v>103</v>
      </c>
      <c r="X18" s="68">
        <v>0</v>
      </c>
      <c r="AA18" s="54">
        <f t="shared" si="2"/>
        <v>44075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148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154</v>
      </c>
      <c r="T19" s="66" t="s">
        <v>107</v>
      </c>
      <c r="U19" s="67">
        <v>44182</v>
      </c>
      <c r="V19" s="67">
        <v>44195</v>
      </c>
      <c r="W19" s="68">
        <v>30</v>
      </c>
      <c r="X19" s="68">
        <v>0</v>
      </c>
      <c r="AA19" s="54">
        <f t="shared" si="2"/>
        <v>44082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148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153</v>
      </c>
      <c r="T20" s="66" t="s">
        <v>108</v>
      </c>
      <c r="U20" s="67">
        <v>44109</v>
      </c>
      <c r="V20" s="67">
        <v>44127</v>
      </c>
      <c r="W20" s="68">
        <v>245</v>
      </c>
      <c r="X20" s="68">
        <v>0</v>
      </c>
      <c r="AA20" s="54">
        <f t="shared" si="2"/>
        <v>44089</v>
      </c>
      <c r="AB20" s="56">
        <f t="shared" ca="1" si="1"/>
        <v>0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148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 t="str">
        <f ca="1">WeeklyPlanned(Output_0000[[#Headers],[WP_HBCeil]], Output_0000[[#This Row],[Date]])</f>
        <v/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152</v>
      </c>
      <c r="T21" s="66" t="s">
        <v>109</v>
      </c>
      <c r="U21" s="67">
        <v>44089</v>
      </c>
      <c r="V21" s="67">
        <v>44104</v>
      </c>
      <c r="W21" s="68">
        <v>29</v>
      </c>
      <c r="X21" s="68">
        <v>0</v>
      </c>
      <c r="AA21" s="54">
        <f t="shared" ref="AA21:AA36" si="3">IF(AA20 = "Date", $S$4, AA20+7)</f>
        <v>44096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160.08333333333334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44103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172.16666666666669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44110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82.36666666666666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254.53333333333336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61.199999999999996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16.333333333333332</v>
      </c>
      <c r="AT23" s="58"/>
      <c r="AU23" s="58">
        <f ca="1">WeeklyPlanned(Output_0000[[#Headers],[WP_HBCeil]], Output_0000[[#This Row],[Date]])</f>
        <v>4.833333333333333</v>
      </c>
      <c r="AV23" s="58"/>
    </row>
    <row r="24" spans="2:48" ht="15.5" x14ac:dyDescent="0.35">
      <c r="B24" s="37"/>
      <c r="C24" s="59" t="s">
        <v>55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44117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126.67074829931971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381.20408163265307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40.799999999999997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4.204081632653061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44124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473.38095238095241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44131</v>
      </c>
      <c r="AB26" s="56" t="str">
        <f t="shared" ca="1" si="1"/>
        <v>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75.843537414965979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549.22448979591843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 t="str">
        <f ca="1">WeeklyPlanned(Output_0000[[#Headers],[WP_HBase]], Output_0000[[#This Row],[Date]])</f>
        <v/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65.333333333333329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44138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176.71020408163264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725.93469387755113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83.699999999999989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44145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199.51020408163265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925.44489795918378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49.5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44152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66.310204081632648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991.75510204081638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55.8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44159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1002.265306122449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44166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1012.7755102040817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44173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1023.2857142857143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44180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1033.795918367347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44187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14.204081632653061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1048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4.204081632653061</v>
      </c>
      <c r="AP34" s="58"/>
      <c r="AQ34" s="58">
        <f ca="1">WeeklyPlanned(Output_0000[[#Headers],[WP_HWSR]], Output_0000[[#This Row],[Date]])</f>
        <v>10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44194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1061.3333333333333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44201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6.666666666666667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1068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6.666666666666667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L14:O15"/>
    <mergeCell ref="J10:M10"/>
    <mergeCell ref="J11:M11"/>
    <mergeCell ref="J12:M12"/>
    <mergeCell ref="N12:O12"/>
    <mergeCell ref="J13:M13"/>
    <mergeCell ref="N13:O13"/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</mergeCells>
  <phoneticPr fontId="6" type="noConversion"/>
  <conditionalFormatting sqref="AF14:AV36">
    <cfRule type="containsErrors" dxfId="6" priority="7">
      <formula>ISERROR(AF14)</formula>
    </cfRule>
  </conditionalFormatting>
  <conditionalFormatting sqref="W13:X13">
    <cfRule type="expression" dxfId="5" priority="6">
      <formula>IF(OR($S$8 = "Assemble Addin", $S$8 = "Bluebeam QL"), TRUE, FALSE)</formula>
    </cfRule>
  </conditionalFormatting>
  <conditionalFormatting sqref="N6:O6">
    <cfRule type="expression" dxfId="4" priority="5">
      <formula>IF($N$6=$O$6, FALSE, TRUE)</formula>
    </cfRule>
  </conditionalFormatting>
  <conditionalFormatting sqref="W14:X21">
    <cfRule type="expression" dxfId="3" priority="3">
      <formula>IF(OR($S$8 = "Assemble Addin", $S$8 = "Bluebeam QL"), TRUE, FALSE)</formula>
    </cfRule>
    <cfRule type="expression" dxfId="2" priority="4">
      <formula>IF(OR($S$8 = "Assemble Addin", $S$8 = "Bluebeam QL"), MOD(ROW(), 2)=0, FALSE)</formula>
    </cfRule>
  </conditionalFormatting>
  <conditionalFormatting sqref="R13">
    <cfRule type="expression" dxfId="1" priority="2">
      <formula>IF($S$8 = "Assemble Addin", TRUE, FALSE)</formula>
    </cfRule>
  </conditionalFormatting>
  <conditionalFormatting sqref="R14:R21">
    <cfRule type="expression" dxfId="0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2020-07-06T23:19:54Z</cp:lastPrinted>
  <dcterms:created xsi:type="dcterms:W3CDTF">2019-04-09T17:53:55Z</dcterms:created>
  <dcterms:modified xsi:type="dcterms:W3CDTF">2020-07-07T00:09:07Z</dcterms:modified>
</cp:coreProperties>
</file>