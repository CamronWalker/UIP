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A670664F-F07A-40DB-9772-8F9B8EFF0D0B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43" i="3" l="1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2" i="3"/>
  <c r="AF21" i="3"/>
  <c r="AF20" i="3"/>
  <c r="AF19" i="3"/>
  <c r="AF18" i="3"/>
  <c r="AF17" i="3"/>
  <c r="AF16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K43" i="3"/>
  <c r="AK42" i="3"/>
  <c r="AK41" i="3"/>
  <c r="AK40" i="3"/>
  <c r="AK39" i="3"/>
  <c r="AK38" i="3"/>
  <c r="AK37" i="3"/>
  <c r="AK36" i="3"/>
  <c r="AK35" i="3"/>
  <c r="AK34" i="3"/>
  <c r="AK33" i="3"/>
  <c r="AK32" i="3"/>
  <c r="AK31" i="3"/>
  <c r="AK30" i="3"/>
  <c r="AK29" i="3"/>
  <c r="AK28" i="3"/>
  <c r="AK27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I43" i="3"/>
  <c r="AI42" i="3"/>
  <c r="AI41" i="3"/>
  <c r="AI40" i="3"/>
  <c r="AI39" i="3"/>
  <c r="AI38" i="3"/>
  <c r="AI37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F24" i="3" l="1"/>
  <c r="AF23" i="3"/>
  <c r="AF15" i="3"/>
  <c r="AC18" i="3"/>
  <c r="AC17" i="3"/>
  <c r="AC16" i="3"/>
  <c r="AC27" i="3"/>
  <c r="AC38" i="3"/>
  <c r="AC26" i="3"/>
  <c r="AC14" i="3"/>
  <c r="AC37" i="3"/>
  <c r="AC25" i="3"/>
  <c r="AC36" i="3"/>
  <c r="AC24" i="3"/>
  <c r="AC42" i="3"/>
  <c r="AC41" i="3"/>
  <c r="AC40" i="3"/>
  <c r="AC39" i="3"/>
  <c r="AC35" i="3"/>
  <c r="AC34" i="3"/>
  <c r="AC33" i="3"/>
  <c r="AC32" i="3"/>
  <c r="AC20" i="3"/>
  <c r="AC30" i="3"/>
  <c r="AC29" i="3"/>
  <c r="AC28" i="3"/>
  <c r="AC15" i="3"/>
  <c r="AC23" i="3"/>
  <c r="AC22" i="3"/>
  <c r="AC21" i="3"/>
  <c r="AC43" i="3"/>
  <c r="AC31" i="3"/>
  <c r="AC19" i="3"/>
  <c r="S4" i="3"/>
  <c r="AE43" i="3" l="1"/>
  <c r="AE42" i="3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2" i="3"/>
  <c r="AE23" i="3"/>
  <c r="AE21" i="3"/>
  <c r="AE20" i="3"/>
  <c r="AE19" i="3"/>
  <c r="AE18" i="3"/>
  <c r="AE17" i="3"/>
  <c r="AE16" i="3"/>
  <c r="AE14" i="3"/>
  <c r="AE15" i="3"/>
  <c r="S5" i="3"/>
  <c r="AA14" i="3" l="1"/>
  <c r="J11" i="3"/>
  <c r="J10" i="3"/>
  <c r="J9" i="3"/>
  <c r="J8" i="3"/>
  <c r="J7" i="3"/>
  <c r="J6" i="3"/>
  <c r="AA15" i="3" l="1"/>
  <c r="S7" i="3"/>
  <c r="L14" i="3" s="1"/>
  <c r="S3" i="3"/>
  <c r="S2" i="3"/>
  <c r="O9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N12" i="3"/>
  <c r="AA16" i="3" l="1"/>
  <c r="B2" i="3"/>
  <c r="C7" i="3"/>
  <c r="C6" i="3"/>
  <c r="C5" i="3"/>
  <c r="C4" i="3"/>
  <c r="N6" i="3"/>
  <c r="AA17" i="3" l="1"/>
  <c r="AA18" i="3" l="1"/>
  <c r="B8" i="2"/>
  <c r="B7" i="2"/>
  <c r="B6" i="2"/>
  <c r="AA19" i="3" l="1"/>
  <c r="B2" i="2"/>
  <c r="B4" i="2"/>
  <c r="AA20" i="3" l="1"/>
  <c r="C6" i="1"/>
  <c r="AA21" i="3" l="1"/>
  <c r="AA22" i="3" l="1"/>
  <c r="AA23" i="3" l="1"/>
  <c r="AA24" i="3" l="1"/>
  <c r="O7" i="3"/>
  <c r="AA25" i="3" l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O10" i="3"/>
  <c r="O8" i="3"/>
  <c r="N10" i="3"/>
  <c r="N7" i="3"/>
  <c r="N8" i="3"/>
  <c r="N5" i="3" l="1"/>
  <c r="O6" i="3"/>
  <c r="N9" i="3"/>
  <c r="O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<sst xmlns="http://schemas.openxmlformats.org/spreadsheetml/2006/main" count="103" uniqueCount="101">
  <si>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</si>
  <si>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</si>
  <si>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</si>
  <si>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</si>
  <si>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</si>
  <si>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</si>
  <si>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</si>
  <si>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</si>
  <si>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</si>
  <si>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</si>
  <si>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</si>
  <si>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</si>
  <si>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</si>
  <si>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</si>
  <si>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</si>
  <si>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</si>
  <si>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</si>
  <si>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</si>
  <si>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</si>
  <si>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</si>
  <si>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</si>
  <si>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</si>
  <si>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</si>
  <si>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</si>
  <si>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</si>
  <si>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</si>
  <si>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</si>
  <si>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</si>
  <si>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</si>
  <si>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</si>
  <si>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</si>
  <si>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</si>
  <si>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</si>
  <si>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</si>
  <si>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</si>
  <si>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</si>
  <si>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</si>
  <si>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</si>
  <si>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</si>
  <si>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</si>
  <si>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</si>
  <si>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</si>
  <si>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</si>
  <si>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</si>
  <si>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</si>
  <si>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</si>
  <si>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</si>
  <si>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</si>
  <si>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</si>
  <si>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</si>
  <si>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</si>
  <si>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</si>
  <si>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</si>
  <si>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</si>
  <si>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</si>
  <si>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</si>
  <si>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</si>
  <si>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</si>
  <si>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</si>
  <si>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</si>
  <si>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</si>
  <si>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</si>
  <si>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</si>
  <si>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</si>
  <si>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</si>
  <si>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</si>
  <si>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</si>
  <si>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</si>
  <si>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</si>
  <si>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</si>
  <si>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</si>
  <si>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</si>
  <si>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</si>
  <si>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</si>
  <si>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</si>
  <si>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</si>
  <si>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</si>
  <si>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</si>
  <si>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</si>
  <si>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</si>
  <si>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</si>
  <si>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</si>
  <si>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</si>
  <si>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</si>
  <si>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</si>
  <si>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</si>
  <si>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</si>
  <si>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</si>
  <si>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</si>
  <si>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</si>
  <si>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</si>
  <si>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Tuesday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</si>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</sst>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0" fillId="0" borderId="0" xfId="0" applyFont="1" applyFill="1"/>
  </cellXfs>
  <cellStyles count="3">
    <cellStyle name="Calculation" xfId="2" builtinId="22"/>
    <cellStyle name="Input" xfId="1" builtinId="20"/>
    <cellStyle name="Normal" xfId="0" builtinId="0"/>
  </cellStyles>
  <dxfs count="31">
    <dxf>
      <numFmt numFmtId="1" formatCode="0"/>
    </dxf>
    <dxf>
      <numFmt numFmtId="1" formatCode="0"/>
    </dxf>
    <dxf>
      <numFmt numFmtId="1" formatCode="0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28AB5F9-F152-41CE-84DA-28F282E068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5A9EF3-C87E-4886-9785-D39C0E5956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419EA0-40D0-406B-9252-24E01E7714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D126EE-62AF-4423-A049-B7A832E980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6E8FA6-7499-4A3F-B04F-70D15C8E96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FAF4CD-C059-4E25-BE50-870FD260D7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E402B0-2C6D-4BF0-A7FC-D9A1210A41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5FB4F7-150C-4748-AF4D-01766DA751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860A58-35B0-4462-BF9A-E3CFE51980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881E74-ED20-47E4-A9C8-7760E27C09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83D1B5-2578-4068-9D2A-BA7B47112E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093377-CD44-4757-98DB-31B2E705CC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A4FA1C-B618-4718-8B30-5835F74ACC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6960B8-249D-4B70-A1B0-3A732F61DE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8B6751-EC35-4AD4-8DD9-692D029B7E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387F59-8EFA-4D73-A7A4-5BFA2C7065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5F1FF2-AD37-43B4-A945-D9C4915C4B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398368-7A0A-4441-9BCB-D788D75428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E53BCA-B112-4175-8B3B-BE40CE2F9C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5C023E-698D-4CB0-B200-0E1650D880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C0DABC-69C6-40CE-8F2F-DC389D556D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554EE5-40B4-4DEF-814E-F03B5544A7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F30C6D-9FD0-4EBE-820B-D29BC6CA31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FAAD98-BF67-407F-899E-89F5AC78E7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0218DD-E717-46B1-BF88-EA05620D22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1B1B89-E45E-41BF-B1D5-DD0C4FFEC2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C7EA80-F31D-41F6-AABF-EF8D26E10C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2C7BF9-62D6-4C31-95AE-0E8BEEB9A6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202B59-4FE5-48AF-BA25-8F636C47E1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824439-9A9C-486E-B5DE-13CD467B26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21</c:v>
                </c:pt>
                <c:pt idx="1">
                  <c:v>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21</c:v>
                </c:pt>
                <c:pt idx="1">
                  <c:v>66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30" dataDxfId="29">
  <autoFilter ref="R13:X16" xr:uid="{FF2C9E8B-1A62-479C-AF68-79B236C0B7BB}"/>
  <tableColumns count="7">
    <tableColumn id="1" xr3:uid="{727C6146-39EA-4E15-8783-53CAA87FAF36}" name="Zone ID" dataDxfId="28"/>
    <tableColumn id="2" xr3:uid="{2CA65110-6DD7-46D8-BFC2-5EB0C0E57567}" name="Description" dataDxfId="27"/>
    <tableColumn id="3" xr3:uid="{12D64F80-6A69-494F-BF8F-E326D34A185A}" name="Short Description" dataDxfId="26"/>
    <tableColumn id="4" xr3:uid="{71F3F5B2-8F6B-4985-B1FC-5A9D60095474}" name="Start Date" dataDxfId="25"/>
    <tableColumn id="5" xr3:uid="{57258378-8FED-4727-89AC-D938CB414B7B}" name="Finish Date" dataDxfId="24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23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22">
      <calculatedColumnFormula>IF(AA13 = "Date", $S$4, AA13+7)</calculatedColumnFormula>
    </tableColumn>
    <tableColumn id="6" xr3:uid="{5740AC03-CF53-4345-8667-6AC0CA6843D0}" name="Primary Areas" dataDxfId="21">
      <calculatedColumnFormula>PrimaryAreas(3)</calculatedColumnFormula>
    </tableColumn>
    <tableColumn id="2" xr3:uid="{AF232D3D-EC3F-4232-BA5D-1427173C2D6A}" name="Weekly Plan" dataDxfId="20">
      <calculatedColumnFormula xml:space="preserve"> IF(#REF!="", 0,#REF!)+ IF(#REF!="", 0,#REF!)+ IF(#REF!="", 0,#REF!)</calculatedColumnFormula>
    </tableColumn>
    <tableColumn id="3" xr3:uid="{B28103F6-7596-4848-9F0D-3E4A9E5CBEFE}" name="Weekly Actual" dataDxfId="19">
      <calculatedColumnFormula>IF(AND(ISBLANK(#REF!),ISBLANK(#REF!),ISBLANK(#REF!)),"",#REF! +#REF!+#REF!)</calculatedColumnFormula>
    </tableColumn>
    <tableColumn id="4" xr3:uid="{EF1C6009-71E6-491B-B64F-04049D2D9103}" name="Accumulated Plan" dataDxfId="18">
      <calculatedColumnFormula>SUM($AC$14:AC14)</calculatedColumnFormula>
    </tableColumn>
    <tableColumn id="5" xr3:uid="{442DAB73-1233-4C61-8DE9-3B44CE2C5D69}" name="Accumulated Actual" dataDxfId="17">
      <calculatedColumnFormula>IF(AD14="",NA(),SUM($AD$14:AD14))</calculatedColumnFormula>
    </tableColumn>
    <tableColumn id="13" xr3:uid="{DDF07A4A-97E0-4BD1-96E3-82CB2D3D61F8}" name="WP_A1" dataDxfId="2">
      <calculatedColumnFormula>WeeklyPlanned(Output_Template[[#Headers],[WP_A1]], Output_Template[[#This Row],[Date]])</calculatedColumnFormula>
    </tableColumn>
    <tableColumn id="14" xr3:uid="{2FBA01D1-3C37-4389-A246-ED52CD704E4E}" name="WA_A1" dataDxfId="14"/>
    <tableColumn id="15" xr3:uid="{F99EF783-00A1-427D-B075-6FACCB0725C8}" name="WP_A2" dataDxfId="1">
      <calculatedColumnFormula>WeeklyPlanned(Output_Template[[#Headers],[WP_A2]], Output_Template[[#This Row],[Date]])</calculatedColumnFormula>
    </tableColumn>
    <tableColumn id="16" xr3:uid="{69FE37FB-2BA0-4059-8E62-688F283AE3C7}" name="WA_A2" dataDxfId="13"/>
    <tableColumn id="17" xr3:uid="{0569D69F-9565-4D24-9A8D-CF8F0560F3EC}" name="WP_A3" dataDxfId="0">
      <calculatedColumnFormula>WeeklyPlanned(Output_Template[[#Headers],[WP_A3]], Output_Template[[#This Row],[Date]])</calculatedColumnFormula>
    </tableColumn>
    <tableColumn id="18" xr3:uid="{B07E079A-8DA0-43E7-B25D-A50449A802C8}" name="WA_A3" dataDxfId="1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6">
  <autoFilter ref="H2:H5" xr:uid="{1041DC80-58D6-4308-9DE1-A4EC8AAD3C20}"/>
  <tableColumns count="1">
    <tableColumn id="1" xr3:uid="{0E6D3E77-7CB7-40A1-BCA6-DDC8164AAEB9}" name="Holidays" dataDxfId="15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zoomScale="85" zoomScaleNormal="85" workbookViewId="0">
      <selection activeCell="R25" sqref="R25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63" t="s">
        <v>94</v>
      </c>
      <c r="AB1" s="64"/>
    </row>
    <row r="2" spans="2:39" x14ac:dyDescent="0.3">
      <c r="B2" s="74" t="str">
        <f>_xlfn.CONCAT("PROGRESS REPORT ", TEXT(S3,"mm/dd/yyyy"))</f>
        <v>PROGRESS REPORT 03/24/2020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6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59"/>
      <c r="AB2" s="60"/>
    </row>
    <row r="3" spans="2:39" x14ac:dyDescent="0.3">
      <c r="B3" s="77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9"/>
      <c r="R3" s="24" t="s">
        <v>18</v>
      </c>
      <c r="S3" s="27">
        <f>Report_Date</f>
        <v>43914</v>
      </c>
      <c r="T3" s="24" t="s">
        <v>72</v>
      </c>
      <c r="U3" s="34" t="b">
        <v>1</v>
      </c>
      <c r="AA3" s="59"/>
      <c r="AB3" s="60"/>
    </row>
    <row r="4" spans="2:39" ht="15" x14ac:dyDescent="0.3">
      <c r="B4" s="28" t="s">
        <v>49</v>
      </c>
      <c r="C4" s="80" t="str">
        <f>Project_Name</f>
        <v>Westland Super Cool Project</v>
      </c>
      <c r="D4" s="80"/>
      <c r="E4" s="80"/>
      <c r="F4" s="80"/>
      <c r="G4" s="80"/>
      <c r="H4" s="80"/>
      <c r="I4" s="80"/>
      <c r="J4" s="81" t="s">
        <v>50</v>
      </c>
      <c r="K4" s="81"/>
      <c r="L4" s="81"/>
      <c r="M4" s="81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59"/>
      <c r="AB4" s="60"/>
    </row>
    <row r="5" spans="2:39" ht="15" x14ac:dyDescent="0.3">
      <c r="B5" s="28" t="s">
        <v>53</v>
      </c>
      <c r="C5" s="80" t="str">
        <f>Project_Number</f>
        <v>S000</v>
      </c>
      <c r="D5" s="80"/>
      <c r="E5" s="80"/>
      <c r="F5" s="80"/>
      <c r="G5" s="80"/>
      <c r="H5" s="80"/>
      <c r="I5" s="80"/>
      <c r="J5" s="73" t="s">
        <v>54</v>
      </c>
      <c r="K5" s="73"/>
      <c r="L5" s="73"/>
      <c r="M5" s="73"/>
      <c r="N5" s="32">
        <f ca="1">IF(ISERROR(N7/N6), 0, N7/N6)</f>
        <v>3.6363636363636369E-2</v>
      </c>
      <c r="O5" s="33">
        <f ca="1">IF(ISERROR(O7/O6), 0, O7/O6)</f>
        <v>7.3333333333333349E-3</v>
      </c>
      <c r="R5" s="24" t="s">
        <v>92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59"/>
      <c r="AB5" s="60"/>
    </row>
    <row r="6" spans="2:39" ht="15" x14ac:dyDescent="0.3">
      <c r="B6" s="28" t="s">
        <v>55</v>
      </c>
      <c r="C6" s="80" t="str">
        <f>Main!C12</f>
        <v>XYZ Corp</v>
      </c>
      <c r="D6" s="80"/>
      <c r="E6" s="80"/>
      <c r="F6" s="80"/>
      <c r="G6" s="80"/>
      <c r="H6" s="80"/>
      <c r="I6" s="80"/>
      <c r="J6" s="73" t="str">
        <f>_xlfn.CONCAT("Overall Totals (", IF(ISBLANK($S$6),"",$S$6), ")")</f>
        <v>Overall Totals (SF)</v>
      </c>
      <c r="K6" s="73"/>
      <c r="L6" s="73"/>
      <c r="M6" s="73"/>
      <c r="N6" s="35">
        <f ca="1">SUM(INDIRECT("Input_"&amp;$S$2&amp;"[Total]"))</f>
        <v>9000</v>
      </c>
      <c r="O6" s="36">
        <f ca="1">SUM(INDIRECT("Output_"&amp;$S$2&amp;"[Weekly Plan]"))</f>
        <v>8999.9999999999982</v>
      </c>
      <c r="R6" s="24" t="s">
        <v>63</v>
      </c>
      <c r="S6" s="26" t="s">
        <v>64</v>
      </c>
      <c r="T6" s="24" t="s">
        <v>75</v>
      </c>
      <c r="U6" s="34" t="b">
        <v>1</v>
      </c>
      <c r="AA6" s="59"/>
      <c r="AB6" s="60"/>
      <c r="AD6" s="45"/>
    </row>
    <row r="7" spans="2:39" ht="15.5" thickBot="1" x14ac:dyDescent="0.35">
      <c r="B7" s="28" t="s">
        <v>56</v>
      </c>
      <c r="C7" s="80" t="str">
        <f>RIGHT(Main!B13, LEN(Main!B13) - 4)</f>
        <v>Foundation Walls</v>
      </c>
      <c r="D7" s="80"/>
      <c r="E7" s="80"/>
      <c r="F7" s="80"/>
      <c r="G7" s="80"/>
      <c r="H7" s="80"/>
      <c r="I7" s="80"/>
      <c r="J7" s="73" t="str">
        <f>_xlfn.CONCAT("Overall Completed Totals (", IF(ISBLANK($S$6),"",$S$6), ")")</f>
        <v>Overall Completed Totals (SF)</v>
      </c>
      <c r="K7" s="73"/>
      <c r="L7" s="73"/>
      <c r="M7" s="73"/>
      <c r="N7" s="35">
        <f ca="1">VLOOKUP($S$3, INDIRECT("Output_"&amp;$S$2), 5, FALSE)</f>
        <v>327.27272727272731</v>
      </c>
      <c r="O7" s="36">
        <f ca="1">_xlfn.IFNA(VLOOKUP($S$3, INDIRECT("Output_"&amp;$S$2), 6, FALSE), 0)</f>
        <v>66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1"/>
      <c r="AB7" s="62"/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73" t="str">
        <f>_xlfn.CONCAT("This Week's Production (", IF(ISBLANK($S$6),"",$S$6), ")")</f>
        <v>This Week's Production (SF)</v>
      </c>
      <c r="K8" s="73"/>
      <c r="L8" s="73"/>
      <c r="M8" s="73"/>
      <c r="N8" s="35">
        <f ca="1">VLOOKUP($S$3, INDIRECT("Output_"&amp;$S$2), 3, FALSE)</f>
        <v>272.72727272727275</v>
      </c>
      <c r="O8" s="36">
        <f ca="1">VLOOKUP($S$3, INDIRECT("Output_"&amp;$S$2), 4, FALSE)</f>
        <v>45</v>
      </c>
      <c r="R8" s="24" t="s">
        <v>62</v>
      </c>
      <c r="S8" s="26" t="s">
        <v>93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73" t="str">
        <f>_xlfn.CONCAT("Weekly Average (", IF(ISBLANK($S$6),"",$S$6), ")")</f>
        <v>Weekly Average (SF)</v>
      </c>
      <c r="K9" s="73"/>
      <c r="L9" s="73"/>
      <c r="M9" s="73"/>
      <c r="N9" s="39">
        <f ca="1">AVERAGE(INDIRECT("Output_"&amp;$S$2&amp;"[Weekly Plan]"))</f>
        <v>299.99999999999994</v>
      </c>
      <c r="O9" s="40">
        <f ca="1">AVERAGE(INDIRECT("AD14:AD" &amp;MATCH($S$3,INDIRECT("Output_"&amp;$S$2&amp;"[Date]"),0)+13))</f>
        <v>33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73" t="str">
        <f>_xlfn.CONCAT("Average Past 4 Weeks (", IF(ISBLANK($S$6),"",$S$6), ")")</f>
        <v>Average Past 4 Weeks (SF)</v>
      </c>
      <c r="K10" s="73"/>
      <c r="L10" s="73"/>
      <c r="M10" s="7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163.63636363636365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33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73" t="str">
        <f>_xlfn.CONCAT("On Schedule Average (", IF(ISBLANK($S$6),"",$S$6), ")")</f>
        <v>On Schedule Average (SF)</v>
      </c>
      <c r="K11" s="73"/>
      <c r="L11" s="73"/>
      <c r="M11" s="73"/>
      <c r="N11" s="39"/>
      <c r="O11" s="4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65" t="s">
        <v>57</v>
      </c>
      <c r="K12" s="65"/>
      <c r="L12" s="65"/>
      <c r="M12" s="65"/>
      <c r="N12" s="66">
        <f ca="1">MAX(INDIRECT("Input_"&amp;$S$2&amp;"[Finish Date]"))</f>
        <v>44105</v>
      </c>
      <c r="O12" s="67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65" t="s">
        <v>58</v>
      </c>
      <c r="K13" s="65"/>
      <c r="L13" s="65"/>
      <c r="M13" s="65"/>
      <c r="N13" s="66"/>
      <c r="O13" s="68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86" t="s">
        <v>95</v>
      </c>
      <c r="AH13" s="86" t="s">
        <v>97</v>
      </c>
      <c r="AI13" s="86" t="s">
        <v>96</v>
      </c>
      <c r="AJ13" s="86" t="s">
        <v>98</v>
      </c>
      <c r="AK13" s="86" t="s">
        <v>99</v>
      </c>
      <c r="AL13" s="86" t="s">
        <v>100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9"/>
      <c r="N14" s="69"/>
      <c r="O14" s="70"/>
      <c r="R14" s="43" t="s">
        <v>88</v>
      </c>
      <c r="S14" s="44"/>
      <c r="T14" s="44" t="s">
        <v>85</v>
      </c>
      <c r="U14" s="45">
        <v>43905</v>
      </c>
      <c r="V14" s="45">
        <v>43983</v>
      </c>
      <c r="W14" s="8">
        <v>3000</v>
      </c>
      <c r="X14" s="8">
        <v>2900</v>
      </c>
      <c r="AA14" s="54">
        <f t="shared" ref="AA14:AA24" si="0">IF(AA13 = "Date", $S$4, AA13+7)</f>
        <v>43907</v>
      </c>
      <c r="AB14" s="56" t="str">
        <f ca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21</v>
      </c>
      <c r="AE14" s="58">
        <f ca="1">SUM($AC$14:AC14)</f>
        <v>54.545454545454547</v>
      </c>
      <c r="AF14" s="58">
        <f>IF(AD14="",NA(),SUM($AD$14:AD14))</f>
        <v>21</v>
      </c>
      <c r="AG14" s="58">
        <f ca="1">WeeklyPlanned(Output_Template[[#Headers],[WP_A1]], Output_Template[[#This Row],[Date]])</f>
        <v>54.545454545454547</v>
      </c>
      <c r="AH14" s="58">
        <v>21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1"/>
      <c r="M15" s="71"/>
      <c r="N15" s="71"/>
      <c r="O15" s="72"/>
      <c r="R15" s="43" t="s">
        <v>89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750</v>
      </c>
      <c r="AA15" s="54">
        <f t="shared" si="0"/>
        <v>43914</v>
      </c>
      <c r="AB15" s="56" t="str">
        <f ca="1">PrimaryAreas(3)</f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45</v>
      </c>
      <c r="AE15" s="58">
        <f ca="1">SUM($AC$14:AC15)</f>
        <v>327.27272727272731</v>
      </c>
      <c r="AF15" s="58">
        <f>IF(AD15="",NA(),SUM($AD$14:AD15))</f>
        <v>66</v>
      </c>
      <c r="AG15" s="58">
        <f ca="1">WeeklyPlanned(Output_Template[[#Headers],[WP_A1]], Output_Template[[#This Row],[Date]])</f>
        <v>272.72727272727275</v>
      </c>
      <c r="AH15" s="58">
        <v>45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90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6" t="str">
        <f ca="1">PrimaryAreas(3)</f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6" s="58">
        <f ca="1">SUM($AC$14:AC16)</f>
        <v>600</v>
      </c>
      <c r="AF16" s="58" t="e">
        <f>IF(AD16="",NA(),SUM($AD$14:AD16))</f>
        <v>#N/A</v>
      </c>
      <c r="AG16" s="58">
        <f ca="1">WeeklyPlanned(Output_Template[[#Headers],[WP_A1]], Output_Template[[#This Row],[Date]])</f>
        <v>272.72727272727275</v>
      </c>
      <c r="AH16" s="58"/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6" t="str">
        <f ca="1">PrimaryAreas(3)</f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7" s="58">
        <f ca="1">SUM($AC$14:AC17)</f>
        <v>872.72727272727275</v>
      </c>
      <c r="AF17" s="58" t="e">
        <f>IF(AD17="",NA(),SUM($AD$14:AD17))</f>
        <v>#N/A</v>
      </c>
      <c r="AG17" s="58">
        <f ca="1">WeeklyPlanned(Output_Template[[#Headers],[WP_A1]], Output_Template[[#This Row],[Date]])</f>
        <v>272.72727272727275</v>
      </c>
      <c r="AH17" s="58"/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6" t="str">
        <f ca="1">PrimaryAreas(3)</f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8" s="58">
        <f ca="1">SUM($AC$14:AC18)</f>
        <v>1145.4545454545455</v>
      </c>
      <c r="AF18" s="58" t="e">
        <f>IF(AD18="",NA(),SUM($AD$14:AD18))</f>
        <v>#N/A</v>
      </c>
      <c r="AG18" s="58">
        <f ca="1">WeeklyPlanned(Output_Template[[#Headers],[WP_A1]], Output_Template[[#This Row],[Date]])</f>
        <v>272.72727272727275</v>
      </c>
      <c r="AH18" s="58"/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6" t="str">
        <f ca="1">PrimaryAreas(3)</f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9" s="58">
        <f ca="1">SUM($AC$14:AC19)</f>
        <v>1418.1818181818182</v>
      </c>
      <c r="AF19" s="58" t="e">
        <f>IF(AD19="",NA(),SUM($AD$14:AD19))</f>
        <v>#N/A</v>
      </c>
      <c r="AG19" s="58">
        <f ca="1">WeeklyPlanned(Output_Template[[#Headers],[WP_A1]], Output_Template[[#This Row],[Date]])</f>
        <v>272.72727272727275</v>
      </c>
      <c r="AH19" s="58"/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6" t="str">
        <f ca="1">PrimaryAreas(3)</f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0" s="58">
        <f ca="1">SUM($AC$14:AC20)</f>
        <v>1690.909090909091</v>
      </c>
      <c r="AF20" s="58" t="e">
        <f>IF(AD20="",NA(),SUM($AD$14:AD20))</f>
        <v>#N/A</v>
      </c>
      <c r="AG20" s="58">
        <f ca="1">WeeklyPlanned(Output_Template[[#Headers],[WP_A1]], Output_Template[[#This Row],[Date]])</f>
        <v>272.72727272727275</v>
      </c>
      <c r="AH20" s="58"/>
      <c r="AI20" s="58" t="str">
        <f ca="1">WeeklyPlanned(Output_Template[[#Headers],[WP_A2]], Output_Template[[#This Row],[Date]])</f>
        <v/>
      </c>
      <c r="AJ20" s="58"/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6" t="str">
        <f ca="1">PrimaryAreas(3)</f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1" s="58">
        <f ca="1">SUM($AC$14:AC21)</f>
        <v>1963.6363636363637</v>
      </c>
      <c r="AF21" s="58" t="e">
        <f>IF(AD21="",NA(),SUM($AD$14:AD21))</f>
        <v>#N/A</v>
      </c>
      <c r="AG21" s="58">
        <f ca="1">WeeklyPlanned(Output_Template[[#Headers],[WP_A1]], Output_Template[[#This Row],[Date]])</f>
        <v>272.72727272727275</v>
      </c>
      <c r="AH21" s="58"/>
      <c r="AI21" s="58" t="str">
        <f ca="1">WeeklyPlanned(Output_Template[[#Headers],[WP_A2]], Output_Template[[#This Row],[Date]])</f>
        <v/>
      </c>
      <c r="AJ21" s="58"/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6" t="str">
        <f ca="1">PrimaryAreas(3)</f>
        <v>A1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2" s="58">
        <f ca="1">SUM($AC$14:AC22)</f>
        <v>2236.3636363636365</v>
      </c>
      <c r="AF22" s="58" t="e">
        <f>IF(AD22="",NA(),SUM($AD$14:AD22))</f>
        <v>#N/A</v>
      </c>
      <c r="AG22" s="58">
        <f ca="1">WeeklyPlanned(Output_Template[[#Headers],[WP_A1]], Output_Template[[#This Row],[Date]])</f>
        <v>272.72727272727275</v>
      </c>
      <c r="AH22" s="58"/>
      <c r="AI22" s="58" t="str">
        <f ca="1">WeeklyPlanned(Output_Template[[#Headers],[WP_A2]], Output_Template[[#This Row],[Date]])</f>
        <v/>
      </c>
      <c r="AJ22" s="58"/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6" t="str">
        <f ca="1">PrimaryAreas(3)</f>
        <v>A1, 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3" s="58">
        <f ca="1">SUM($AC$14:AC23)</f>
        <v>2618.1818181818185</v>
      </c>
      <c r="AF23" s="58" t="e">
        <f>IF(AD23="",NA(),SUM($AD$14:AD23))</f>
        <v>#N/A</v>
      </c>
      <c r="AG23" s="58">
        <f ca="1">WeeklyPlanned(Output_Template[[#Headers],[WP_A1]], Output_Template[[#This Row],[Date]])</f>
        <v>272.72727272727275</v>
      </c>
      <c r="AH23" s="58"/>
      <c r="AI23" s="58">
        <f ca="1">WeeklyPlanned(Output_Template[[#Headers],[WP_A2]], Output_Template[[#This Row],[Date]])</f>
        <v>109.09090909090909</v>
      </c>
      <c r="AJ23" s="58"/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6" t="str">
        <f ca="1">PrimaryAreas(3)</f>
        <v>A1, 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4" s="58">
        <f ca="1">SUM($AC$14:AC24)</f>
        <v>3054.545454545455</v>
      </c>
      <c r="AF24" s="58" t="e">
        <f>IF(AD24="",NA(),SUM($AD$14:AD24))</f>
        <v>#N/A</v>
      </c>
      <c r="AG24" s="58">
        <f ca="1">WeeklyPlanned(Output_Template[[#Headers],[WP_A1]], Output_Template[[#This Row],[Date]])</f>
        <v>218.18181818181819</v>
      </c>
      <c r="AH24" s="58"/>
      <c r="AI24" s="58">
        <f ca="1">WeeklyPlanned(Output_Template[[#Headers],[WP_A2]], Output_Template[[#This Row],[Date]])</f>
        <v>218.18181818181819</v>
      </c>
      <c r="AJ24" s="58"/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1">IF(AA24 = "Date", $S$4, AA24+7)</f>
        <v>43984</v>
      </c>
      <c r="AB25" s="56" t="str">
        <f ca="1">PrimaryAreas(3)</f>
        <v>A1, 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3600.0000000000005</v>
      </c>
      <c r="AF25" s="58" t="e">
        <f>IF(AD25="",NA(),SUM($AD$14:AD25))</f>
        <v>#N/A</v>
      </c>
      <c r="AG25" s="58">
        <f ca="1">WeeklyPlanned(Output_Template[[#Headers],[WP_A1]], Output_Template[[#This Row],[Date]])</f>
        <v>272.72727272727275</v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>IF(AA25 = "Date", $S$4, AA25+7)</f>
        <v>43991</v>
      </c>
      <c r="AB26" s="56" t="str">
        <f ca="1">PrimaryAreas(3)</f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3872.727272727273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>IF(AA26 = "Date", $S$4, AA26+7)</f>
        <v>43998</v>
      </c>
      <c r="AB27" s="56" t="str">
        <f ca="1">PrimaryAreas(3)</f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4145.454545454546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>IF(AA27 = "Date", $S$4, AA27+7)</f>
        <v>44005</v>
      </c>
      <c r="AB28" s="56" t="str">
        <f ca="1">PrimaryAreas(3)</f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4418.1818181818189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>IF(AA28 = "Date", $S$4, AA28+7)</f>
        <v>44012</v>
      </c>
      <c r="AB29" s="56" t="str">
        <f ca="1">PrimaryAreas(3)</f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4690.9090909090919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>IF(AA29 = "Date", $S$4, AA29+7)</f>
        <v>44019</v>
      </c>
      <c r="AB30" s="56" t="str">
        <f ca="1">PrimaryAreas(3)</f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4963.6363636363649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>IF(AA30 = "Date", $S$4, AA30+7)</f>
        <v>44026</v>
      </c>
      <c r="AB31" s="56" t="str">
        <f ca="1">PrimaryAreas(3)</f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5236.3636363636379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>IF(AA31 = "Date", $S$4, AA31+7)</f>
        <v>44033</v>
      </c>
      <c r="AB32" s="56" t="str">
        <f ca="1">PrimaryAreas(3)</f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5719.6172248803841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210.52631578947367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>IF(AA32 = "Date", $S$4, AA32+7)</f>
        <v>44040</v>
      </c>
      <c r="AB33" s="56" t="str">
        <f ca="1">PrimaryAreas(3)</f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6255.5023923444987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>IF(AA33 = "Date", $S$4, AA33+7)</f>
        <v>44047</v>
      </c>
      <c r="AB34" s="56" t="str">
        <f ca="1">PrimaryAreas(3)</f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6736.8421052631593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218.18181818181819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>IF(AA34 = "Date", $S$4, AA34+7)</f>
        <v>44054</v>
      </c>
      <c r="AB35" s="56" t="str">
        <f ca="1">PrimaryAreas(3)</f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7000.0000000000018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>IF(AA35 = "Date", $S$4, AA35+7)</f>
        <v>44061</v>
      </c>
      <c r="AB36" s="56" t="str">
        <f ca="1">PrimaryAreas(3)</f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7263.1578947368434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>IF(AA36 = "Date", $S$4, AA36+7)</f>
        <v>44068</v>
      </c>
      <c r="AB37" s="56" t="str">
        <f ca="1">PrimaryAreas(3)</f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7526.3157894736851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>IF(AA37 = "Date", $S$4, AA37+7)</f>
        <v>44075</v>
      </c>
      <c r="AB38" s="56" t="str">
        <f ca="1">PrimaryAreas(3)</f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7789.4736842105267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>IF(AA38 = "Date", $S$4, AA38+7)</f>
        <v>44082</v>
      </c>
      <c r="AB39" s="56" t="str">
        <f ca="1">PrimaryAreas(3)</f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8052.6315789473683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>IF(AA39 = "Date", $S$4, AA39+7)</f>
        <v>44089</v>
      </c>
      <c r="AB40" s="56" t="str">
        <f ca="1">PrimaryAreas(3)</f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8315.78947368421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>IF(AA40 = "Date", $S$4, AA40+7)</f>
        <v>44096</v>
      </c>
      <c r="AB41" s="56" t="str">
        <f ca="1">PrimaryAreas(3)</f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8578.9473684210516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>IF(AA41 = "Date", $S$4, AA41+7)</f>
        <v>44103</v>
      </c>
      <c r="AB42" s="56" t="str">
        <f ca="1">PrimaryAreas(3)</f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8842.1052631578932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>IF(AA42 = "Date", $S$4, AA42+7)</f>
        <v>44110</v>
      </c>
      <c r="AB43" s="56" t="str">
        <f ca="1">PrimaryAreas(3)</f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8999.9999999999982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157.89473684210526</v>
      </c>
      <c r="AL43" s="58"/>
    </row>
  </sheetData>
  <mergeCells count="19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</mergeCells>
  <phoneticPr fontId="6" type="noConversion"/>
  <conditionalFormatting sqref="AF14:AL43">
    <cfRule type="containsErrors" dxfId="11" priority="10">
      <formula>ISERROR(AF14)</formula>
    </cfRule>
  </conditionalFormatting>
  <conditionalFormatting sqref="W13:X13">
    <cfRule type="expression" dxfId="10" priority="8">
      <formula>IF(OR($S$8 = "Assemble Addin", $S$8 = "Bluebeam QL"), TRUE, FALSE)</formula>
    </cfRule>
  </conditionalFormatting>
  <conditionalFormatting sqref="N6:O6">
    <cfRule type="expression" dxfId="9" priority="7">
      <formula>IF($N$6=$O$6, FALSE, TRUE)</formula>
    </cfRule>
  </conditionalFormatting>
  <conditionalFormatting sqref="W14:X16">
    <cfRule type="expression" dxfId="8" priority="5">
      <formula>IF(OR($S$8 = "Assemble Addin", $S$8 = "Bluebeam QL"), TRUE, FALSE)</formula>
    </cfRule>
    <cfRule type="expression" dxfId="7" priority="6">
      <formula>IF(OR($S$8 = "Assemble Addin", $S$8 = "Bluebeam QL"), MOD(ROW(), 2)=0, FALSE)</formula>
    </cfRule>
  </conditionalFormatting>
  <conditionalFormatting sqref="R13">
    <cfRule type="expression" dxfId="6" priority="2">
      <formula>IF($S$8 = "Assemble Addin", TRUE, FALSE)</formula>
    </cfRule>
  </conditionalFormatting>
  <conditionalFormatting sqref="R14:R16">
    <cfRule type="expression" dxfId="5" priority="1">
      <formula>IF($S$8 = "Assemble Addin", MOD(ROW(), 2)=0, FALSE)</formula>
    </cfRule>
  </conditionalFormatting>
  <dataValidations disablePrompts="1"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C31" sqref="C31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82" t="s">
        <v>5</v>
      </c>
      <c r="F1" s="82"/>
      <c r="H1" s="2" t="s">
        <v>9</v>
      </c>
      <c r="K1" s="5" t="s">
        <v>12</v>
      </c>
      <c r="L1" s="5" t="s">
        <v>17</v>
      </c>
    </row>
    <row r="2" spans="2:12" ht="15.5" x14ac:dyDescent="0.35">
      <c r="B2" s="83" t="s">
        <v>6</v>
      </c>
      <c r="C2" s="83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91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J6" sqref="J6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85" t="str">
        <f>"PROGRESS REPORT "&amp; TEXT(Report_Date, "mm/dd/yyy")</f>
        <v>PROGRESS REPORT 03/24/2020</v>
      </c>
      <c r="C2" s="85"/>
      <c r="D2" s="85"/>
      <c r="E2" s="85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43914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84" t="s">
        <v>31</v>
      </c>
      <c r="C11" s="84"/>
      <c r="D11" s="84"/>
      <c r="E11" s="84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84" t="s">
        <v>32</v>
      </c>
      <c r="C15" s="84"/>
      <c r="D15" s="84"/>
      <c r="E15" s="84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84" t="s">
        <v>33</v>
      </c>
      <c r="C18" s="84"/>
      <c r="D18" s="84"/>
      <c r="E18" s="84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84" t="s">
        <v>34</v>
      </c>
      <c r="C21" s="84"/>
      <c r="D21" s="84"/>
      <c r="E21" s="84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84" t="s">
        <v>35</v>
      </c>
      <c r="C24" s="84"/>
      <c r="D24" s="84"/>
      <c r="E24" s="84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4" priority="1">
      <formula>IF(ISBLANK($D12), FALSE, IF(RedGreen_Formatting = "Enabled", $D12 &lt;= $E12 + Percent_Error, FALSE))</formula>
    </cfRule>
    <cfRule type="expression" dxfId="3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2020-06-08T22:18:17Z</cp:lastPrinted>
  <dcterms:created xsi:type="dcterms:W3CDTF">2019-04-09T17:53:55Z</dcterms:created>
  <dcterms:modified xsi:type="dcterms:W3CDTF">2020-06-08T22:26:05Z</dcterms:modified>
</cp:coreProperties>
</file>