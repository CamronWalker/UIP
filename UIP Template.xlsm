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4CE25C61-4CBB-44F3-92A1-8C95DB773F22}" xr6:coauthVersionLast="44" xr6:coauthVersionMax="44" xr10:uidLastSave="{00000000-0000-0000-0000-000000000000}"/>
  <bookViews>
    <workbookView xWindow="-28920" yWindow="14190" windowWidth="29040" windowHeight="1764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40" i="3" l="1"/>
  <c r="AD41" i="3"/>
  <c r="AD42" i="3"/>
  <c r="AD43" i="3"/>
  <c r="AC40" i="3"/>
  <c r="AC41" i="3"/>
  <c r="AC42" i="3"/>
  <c r="AC43" i="3"/>
  <c r="AD39" i="3" l="1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S5" i="3"/>
  <c r="S4" i="3"/>
  <c r="AF37" i="3" l="1"/>
  <c r="AF38" i="3"/>
  <c r="AF40" i="3"/>
  <c r="AF39" i="3"/>
  <c r="AE40" i="3"/>
  <c r="AE41" i="3"/>
  <c r="AE42" i="3"/>
  <c r="AE37" i="3"/>
  <c r="AE43" i="3"/>
  <c r="AE38" i="3"/>
  <c r="AE39" i="3"/>
  <c r="AF41" i="3"/>
  <c r="AF43" i="3"/>
  <c r="AF42" i="3"/>
  <c r="AF15" i="3"/>
  <c r="AF16" i="3"/>
  <c r="AF28" i="3"/>
  <c r="AF29" i="3"/>
  <c r="AF18" i="3"/>
  <c r="AF19" i="3"/>
  <c r="AF31" i="3"/>
  <c r="AE15" i="3"/>
  <c r="AF20" i="3"/>
  <c r="AF32" i="3"/>
  <c r="AF33" i="3"/>
  <c r="AF22" i="3"/>
  <c r="AF21" i="3"/>
  <c r="AF23" i="3"/>
  <c r="AF34" i="3"/>
  <c r="AF35" i="3"/>
  <c r="AF24" i="3"/>
  <c r="AF36" i="3"/>
  <c r="AF25" i="3"/>
  <c r="AF26" i="3"/>
  <c r="AF27" i="3"/>
  <c r="AF17" i="3"/>
  <c r="AF30" i="3"/>
  <c r="AE26" i="3"/>
  <c r="AE25" i="3"/>
  <c r="AE36" i="3"/>
  <c r="AE24" i="3"/>
  <c r="AE35" i="3"/>
  <c r="AE23" i="3"/>
  <c r="AE34" i="3"/>
  <c r="AE22" i="3"/>
  <c r="AE33" i="3"/>
  <c r="AE21" i="3"/>
  <c r="AE32" i="3"/>
  <c r="AE20" i="3"/>
  <c r="AE31" i="3"/>
  <c r="AE19" i="3"/>
  <c r="AE30" i="3"/>
  <c r="AE18" i="3"/>
  <c r="AE29" i="3"/>
  <c r="AE17" i="3"/>
  <c r="AE28" i="3"/>
  <c r="AE16" i="3"/>
  <c r="AE27" i="3"/>
  <c r="AF14" i="3"/>
  <c r="AA14" i="3"/>
  <c r="AA15" i="3" s="1"/>
  <c r="AA16" i="3" s="1"/>
  <c r="AA17" i="3" s="1"/>
  <c r="AA18" i="3" s="1"/>
  <c r="AA19" i="3" s="1"/>
  <c r="AA20" i="3" s="1"/>
  <c r="AA21" i="3" s="1"/>
  <c r="AA22" i="3" s="1"/>
  <c r="J11" i="3"/>
  <c r="J10" i="3"/>
  <c r="J9" i="3"/>
  <c r="J8" i="3"/>
  <c r="J7" i="3"/>
  <c r="J6" i="3"/>
  <c r="AE14" i="3" l="1"/>
  <c r="N6" i="3" l="1"/>
  <c r="S7" i="3" l="1"/>
  <c r="L14" i="3" s="1"/>
  <c r="S3" i="3"/>
  <c r="B2" i="3" s="1"/>
  <c r="S2" i="3"/>
  <c r="AB30" i="3"/>
  <c r="AB32" i="3"/>
  <c r="AB35" i="3"/>
  <c r="AB25" i="3"/>
  <c r="AB28" i="3"/>
  <c r="AB33" i="3"/>
  <c r="AB27" i="3"/>
  <c r="AB20" i="3"/>
  <c r="AB17" i="3"/>
  <c r="AB26" i="3"/>
  <c r="AB42" i="3"/>
  <c r="AB16" i="3"/>
  <c r="AB37" i="3"/>
  <c r="AB34" i="3"/>
  <c r="AB15" i="3"/>
  <c r="AB41" i="3"/>
  <c r="AB24" i="3"/>
  <c r="AB36" i="3"/>
  <c r="AB14" i="3"/>
  <c r="AB43" i="3"/>
  <c r="AB39" i="3"/>
  <c r="AB22" i="3"/>
  <c r="AB19" i="3"/>
  <c r="AB21" i="3"/>
  <c r="AB31" i="3"/>
  <c r="AB38" i="3"/>
  <c r="AB40" i="3"/>
  <c r="AB29" i="3"/>
  <c r="AB23" i="3"/>
  <c r="AB18" i="3"/>
  <c r="C7" i="3" l="1"/>
  <c r="C6" i="3"/>
  <c r="C5" i="3"/>
  <c r="C4" i="3"/>
  <c r="N12" i="3"/>
  <c r="O11" i="3"/>
  <c r="O8" i="3"/>
  <c r="N8" i="3"/>
  <c r="O7" i="3"/>
  <c r="N7" i="3"/>
  <c r="N5" i="3" s="1"/>
  <c r="O6" i="3"/>
  <c r="O10" i="3"/>
  <c r="O9" i="3"/>
  <c r="N10" i="3"/>
  <c r="N11" i="3"/>
  <c r="N9" i="3"/>
  <c r="O5" i="3" l="1"/>
  <c r="N13" i="3"/>
  <c r="B8" i="2" l="1"/>
  <c r="B7" i="2"/>
  <c r="B6" i="2"/>
  <c r="B2" i="2" l="1"/>
  <c r="B4" i="2"/>
  <c r="C6" i="1" l="1"/>
  <c r="AA23" i="3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<sst xmlns="http://schemas.openxmlformats.org/spreadsheetml/2006/main" count="102" uniqueCount="100">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</sst>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0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3">
    <cellStyle name="Calculation" xfId="2" builtinId="22"/>
    <cellStyle name="Input" xfId="1" builtinId="20"/>
    <cellStyle name="Normal" xfId="0" builtinId="0"/>
  </cellStyles>
  <dxfs count="26"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ont>
        <color theme="0"/>
      </font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8313391-96C4-4C07-B851-A93E3EECA3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018724-0469-43D9-9004-848EAEBFE1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CB0A9C-AF6E-460C-8609-06E04481A7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B47EF6-686F-4ACF-948F-E1F096BC13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09B658-3B82-47ED-A08B-883C17E1DE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00E8518-2D65-4EC3-A2BA-7BE433173D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BA5F22-3600-4E1A-83D1-CFDAA72208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522811-30A3-4EB5-98B0-4E08EC0916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586874-ABBE-49B3-A656-0A50478083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4D08DAC-0640-4688-AF6B-ACBB3B1397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9409DDD-A973-40CA-A27C-4577325398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D8B736-CD7B-4756-B305-1343AA8507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BFC2BF-01EB-4896-B731-E39699592F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25B5871-B8A9-4146-AA87-8FA73C17BE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7B55D2D-C195-4E1F-B379-88FE330B1F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4FBA227-CEFB-424C-9D4C-8CE500BFAE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0E2D038-1E06-4F9B-879D-6C4AAA89CC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93EE459-8FC3-40D4-A73C-CA890C2EAE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C3E1D1E-2E7D-48F4-9077-CCE548C62D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3EA983-AABA-499F-B81B-096F68DED7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FB2E1A7-00A0-4363-80C9-88929E64BC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8E3C971-7778-4F1D-AC79-CD48A5EF88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B025496-9887-4194-A5AB-44225C4F4C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5F70FC7-4A2B-4552-AD53-1E304DD8B4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5C7198-2C93-4F03-A421-CA3A991DEF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48C635D-05D2-4F67-8CF4-D82EFBDF9D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D24E65-DFED-488D-89C3-015451409B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E938EB7-4408-4E6A-BE9F-BCCC98C398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B8BED41-E6AC-471F-930E-0163D1DE65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8EBDEB7-9AC3-409E-AD15-544A40E06E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Template!$AC$14:$AC$43</c:f>
              <c:numCache>
                <c:formatCode>General</c:formatCode>
                <c:ptCount val="3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150</c:v>
                </c:pt>
                <c:pt idx="21">
                  <c:v>150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77</c:v>
                </c:pt>
                <c:pt idx="28">
                  <c:v>55</c:v>
                </c:pt>
                <c:pt idx="29">
                  <c:v>75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Template!$AB$14:$AB$43</c15:f>
                <c15:dlblRangeCache>
                  <c:ptCount val="30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</c:v>
                  </c:pt>
                  <c:pt idx="19">
                    <c:v>A2</c:v>
                  </c:pt>
                  <c:pt idx="20">
                    <c:v>A2, A3</c:v>
                  </c:pt>
                  <c:pt idx="21">
                    <c:v>A2, 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Template!$AD$14:$AD$43</c:f>
              <c:numCache>
                <c:formatCode>General</c:formatCode>
                <c:ptCount val="30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110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55</c:v>
                </c:pt>
                <c:pt idx="15">
                  <c:v>55</c:v>
                </c:pt>
                <c:pt idx="16">
                  <c:v>55</c:v>
                </c:pt>
                <c:pt idx="17">
                  <c:v>55</c:v>
                </c:pt>
                <c:pt idx="18">
                  <c:v>55</c:v>
                </c:pt>
                <c:pt idx="19">
                  <c:v>55</c:v>
                </c:pt>
                <c:pt idx="20">
                  <c:v>110</c:v>
                </c:pt>
                <c:pt idx="21">
                  <c:v>110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55</c:v>
                </c:pt>
                <c:pt idx="26">
                  <c:v>55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Template!$AE$14:$AE$43</c:f>
              <c:numCache>
                <c:formatCode>General</c:formatCode>
                <c:ptCount val="30"/>
                <c:pt idx="0">
                  <c:v>75</c:v>
                </c:pt>
                <c:pt idx="1">
                  <c:v>150</c:v>
                </c:pt>
                <c:pt idx="2">
                  <c:v>225</c:v>
                </c:pt>
                <c:pt idx="3">
                  <c:v>300</c:v>
                </c:pt>
                <c:pt idx="4">
                  <c:v>375</c:v>
                </c:pt>
                <c:pt idx="5">
                  <c:v>450</c:v>
                </c:pt>
                <c:pt idx="6">
                  <c:v>525</c:v>
                </c:pt>
                <c:pt idx="7">
                  <c:v>600</c:v>
                </c:pt>
                <c:pt idx="8">
                  <c:v>675</c:v>
                </c:pt>
                <c:pt idx="9">
                  <c:v>825</c:v>
                </c:pt>
                <c:pt idx="10">
                  <c:v>975</c:v>
                </c:pt>
                <c:pt idx="11">
                  <c:v>1125</c:v>
                </c:pt>
                <c:pt idx="12">
                  <c:v>1200</c:v>
                </c:pt>
                <c:pt idx="13">
                  <c:v>1275</c:v>
                </c:pt>
                <c:pt idx="14">
                  <c:v>1350</c:v>
                </c:pt>
                <c:pt idx="15">
                  <c:v>1425</c:v>
                </c:pt>
                <c:pt idx="16">
                  <c:v>1500</c:v>
                </c:pt>
                <c:pt idx="17">
                  <c:v>1575</c:v>
                </c:pt>
                <c:pt idx="18">
                  <c:v>1650</c:v>
                </c:pt>
                <c:pt idx="19">
                  <c:v>1725</c:v>
                </c:pt>
                <c:pt idx="20">
                  <c:v>1875</c:v>
                </c:pt>
                <c:pt idx="21">
                  <c:v>2025</c:v>
                </c:pt>
                <c:pt idx="22">
                  <c:v>2100</c:v>
                </c:pt>
                <c:pt idx="23">
                  <c:v>2175</c:v>
                </c:pt>
                <c:pt idx="24">
                  <c:v>2250</c:v>
                </c:pt>
                <c:pt idx="25">
                  <c:v>2325</c:v>
                </c:pt>
                <c:pt idx="26">
                  <c:v>2400</c:v>
                </c:pt>
                <c:pt idx="27">
                  <c:v>2477</c:v>
                </c:pt>
                <c:pt idx="28">
                  <c:v>2532</c:v>
                </c:pt>
                <c:pt idx="29">
                  <c:v>2607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Template!$AF$14:$AF$43</c:f>
              <c:numCache>
                <c:formatCode>General</c:formatCode>
                <c:ptCount val="30"/>
                <c:pt idx="0">
                  <c:v>55</c:v>
                </c:pt>
                <c:pt idx="1">
                  <c:v>110</c:v>
                </c:pt>
                <c:pt idx="2">
                  <c:v>165</c:v>
                </c:pt>
                <c:pt idx="3">
                  <c:v>220</c:v>
                </c:pt>
                <c:pt idx="4">
                  <c:v>275</c:v>
                </c:pt>
                <c:pt idx="5">
                  <c:v>330</c:v>
                </c:pt>
                <c:pt idx="6">
                  <c:v>385</c:v>
                </c:pt>
                <c:pt idx="7">
                  <c:v>440</c:v>
                </c:pt>
                <c:pt idx="8">
                  <c:v>495</c:v>
                </c:pt>
                <c:pt idx="9">
                  <c:v>605</c:v>
                </c:pt>
                <c:pt idx="10">
                  <c:v>715</c:v>
                </c:pt>
                <c:pt idx="11">
                  <c:v>825</c:v>
                </c:pt>
                <c:pt idx="12">
                  <c:v>935</c:v>
                </c:pt>
                <c:pt idx="13">
                  <c:v>1045</c:v>
                </c:pt>
                <c:pt idx="14">
                  <c:v>1100</c:v>
                </c:pt>
                <c:pt idx="15">
                  <c:v>1155</c:v>
                </c:pt>
                <c:pt idx="16">
                  <c:v>1210</c:v>
                </c:pt>
                <c:pt idx="17">
                  <c:v>1265</c:v>
                </c:pt>
                <c:pt idx="18">
                  <c:v>1320</c:v>
                </c:pt>
                <c:pt idx="19">
                  <c:v>1375</c:v>
                </c:pt>
                <c:pt idx="20">
                  <c:v>1485</c:v>
                </c:pt>
                <c:pt idx="21">
                  <c:v>1595</c:v>
                </c:pt>
                <c:pt idx="22">
                  <c:v>1650</c:v>
                </c:pt>
                <c:pt idx="23">
                  <c:v>1705</c:v>
                </c:pt>
                <c:pt idx="24">
                  <c:v>1760</c:v>
                </c:pt>
                <c:pt idx="25">
                  <c:v>1815</c:v>
                </c:pt>
                <c:pt idx="26">
                  <c:v>1870</c:v>
                </c:pt>
                <c:pt idx="27">
                  <c:v>1945</c:v>
                </c:pt>
                <c:pt idx="28">
                  <c:v>2020</c:v>
                </c:pt>
                <c:pt idx="29">
                  <c:v>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733426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1644650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196850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4" dataDxfId="23">
  <autoFilter ref="R13:X16" xr:uid="{FF2C9E8B-1A62-479C-AF68-79B236C0B7BB}"/>
  <tableColumns count="7">
    <tableColumn id="1" xr3:uid="{727C6146-39EA-4E15-8783-53CAA87FAF36}" name="Zone ID" dataDxfId="22"/>
    <tableColumn id="2" xr3:uid="{2CA65110-6DD7-46D8-BFC2-5EB0C0E57567}" name="Description" dataDxfId="21"/>
    <tableColumn id="3" xr3:uid="{12D64F80-6A69-494F-BF8F-E326D34A185A}" name="Short Description" dataDxfId="20"/>
    <tableColumn id="4" xr3:uid="{71F3F5B2-8F6B-4985-B1FC-5A9D60095474}" name="Start Date" dataDxfId="19"/>
    <tableColumn id="5" xr3:uid="{57258378-8FED-4727-89AC-D938CB414B7B}" name="Finish Date" dataDxfId="18"/>
    <tableColumn id="6" xr3:uid="{ED4D3C9E-A6C7-420C-BE38-7AA6F80835A2}" name="Total" dataDxfId="17"/>
    <tableColumn id="7" xr3:uid="{AC25D65C-9FB4-4F8A-9A72-57F6F2EC5CEF}" name="Completed Tota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5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4">
      <calculatedColumnFormula>IF(AA13 = "Date", $S$4, AA13+7)</calculatedColumnFormula>
    </tableColumn>
    <tableColumn id="6" xr3:uid="{5740AC03-CF53-4345-8667-6AC0CA6843D0}" name="Primary Areas" dataDxfId="13">
      <calculatedColumnFormula>PrimaryAreas(3)</calculatedColumnFormula>
    </tableColumn>
    <tableColumn id="2" xr3:uid="{AF232D3D-EC3F-4232-BA5D-1427173C2D6A}" name="Weekly Plan">
      <calculatedColumnFormula>#REF!+#REF!+#REF!</calculatedColumnFormula>
    </tableColumn>
    <tableColumn id="3" xr3:uid="{B28103F6-7596-4848-9F0D-3E4A9E5CBEFE}" name="Weekly Actual" dataDxfId="12">
      <calculatedColumnFormula>IF(AND(ISBLANK(#REF!),ISBLANK(#REF!),ISBLANK(#REF!)), "",#REF! +#REF!+#REF!)</calculatedColumnFormula>
    </tableColumn>
    <tableColumn id="4" xr3:uid="{EF1C6009-71E6-491B-B64F-04049D2D9103}" name="Accumulated Plan" dataDxfId="11">
      <calculatedColumnFormula>SUM($AC$14:AC14)</calculatedColumnFormula>
    </tableColumn>
    <tableColumn id="5" xr3:uid="{442DAB73-1233-4C61-8DE9-3B44CE2C5D69}" name="Accumulated Actual" dataDxfId="10">
      <calculatedColumnFormula>IF(AD14="",NA(),SUM($AD$14:AD14))</calculatedColumnFormula>
    </tableColumn>
    <tableColumn id="73" xr3:uid="{19DEAF04-CF4F-47B3-9F12-A3511B46CD86}" name="WP_A1" dataDxfId="9"/>
    <tableColumn id="74" xr3:uid="{40AF4BA6-7EF3-458A-A686-B17DC1058FDC}" name="WA_A1" dataDxfId="8"/>
    <tableColumn id="75" xr3:uid="{D6846A3D-51F0-435C-AB01-61ADF80CA836}" name="WP_A2" dataDxfId="7"/>
    <tableColumn id="76" xr3:uid="{D93EF851-63E2-4A34-8872-23E6A1DC739D}" name="WA_A2" dataDxfId="6"/>
    <tableColumn id="77" xr3:uid="{583E983D-2328-495F-AA39-29E65C484A57}" name="WP_A3" dataDxfId="5"/>
    <tableColumn id="78" xr3:uid="{9B5C21C0-6C9C-460B-A46F-58C73220D30A}" name="WA_A3" dataDxfId="4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3">
  <autoFilter ref="H2:H5" xr:uid="{1041DC80-58D6-4308-9DE1-A4EC8AAD3C20}"/>
  <tableColumns count="1">
    <tableColumn id="1" xr3:uid="{0E6D3E77-7CB7-40A1-BCA6-DDC8164AAEB9}" name="Holidays" dataDxfId="2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O1" zoomScale="85" zoomScaleNormal="85" workbookViewId="0">
      <selection activeCell="V24" sqref="V24"/>
    </sheetView>
  </sheetViews>
  <sheetFormatPr defaultColWidth="8.7265625" defaultRowHeight="14" x14ac:dyDescent="0.3"/>
  <cols>
    <col min="1" max="1" width="2.632812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6328125" style="8" customWidth="1"/>
    <col min="16" max="17" width="2.632812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6328125" style="8" bestFit="1" customWidth="1"/>
    <col min="22" max="22" width="14.6328125" style="8" customWidth="1"/>
    <col min="23" max="24" width="17.26953125" style="8" customWidth="1"/>
    <col min="25" max="26" width="2.6328125" style="8" customWidth="1"/>
    <col min="27" max="27" width="14.81640625" style="8" customWidth="1"/>
    <col min="28" max="28" width="16.6328125" style="58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/>
    <row r="2" spans="2:39" x14ac:dyDescent="0.3">
      <c r="B2" s="68" t="str">
        <f>_xlfn.CONCAT("PROGRESS REPORT ", TEXT(S3,"mm/dd/yyyy"))</f>
        <v>PROGRESS REPORT 05/20/2020</v>
      </c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70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72</v>
      </c>
      <c r="U2" s="34" t="b">
        <v>1</v>
      </c>
    </row>
    <row r="3" spans="2:39" x14ac:dyDescent="0.3">
      <c r="B3" s="71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3"/>
      <c r="R3" s="24" t="s">
        <v>18</v>
      </c>
      <c r="S3" s="27">
        <f>Report_Date</f>
        <v>43971</v>
      </c>
      <c r="T3" s="24" t="s">
        <v>73</v>
      </c>
      <c r="U3" s="34" t="b">
        <v>1</v>
      </c>
    </row>
    <row r="4" spans="2:39" ht="15" x14ac:dyDescent="0.3">
      <c r="B4" s="28" t="s">
        <v>49</v>
      </c>
      <c r="C4" s="74" t="str">
        <f>Project_Name</f>
        <v>Westland Super Cool Project</v>
      </c>
      <c r="D4" s="74"/>
      <c r="E4" s="74"/>
      <c r="F4" s="74"/>
      <c r="G4" s="74"/>
      <c r="H4" s="74"/>
      <c r="I4" s="74"/>
      <c r="J4" s="75" t="s">
        <v>50</v>
      </c>
      <c r="K4" s="75"/>
      <c r="L4" s="75"/>
      <c r="M4" s="75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74</v>
      </c>
      <c r="U4" s="34" t="b">
        <v>1</v>
      </c>
    </row>
    <row r="5" spans="2:39" ht="15" x14ac:dyDescent="0.3">
      <c r="B5" s="28" t="s">
        <v>53</v>
      </c>
      <c r="C5" s="74" t="str">
        <f>Project_Number</f>
        <v>S000</v>
      </c>
      <c r="D5" s="74"/>
      <c r="E5" s="74"/>
      <c r="F5" s="74"/>
      <c r="G5" s="74"/>
      <c r="H5" s="74"/>
      <c r="I5" s="74"/>
      <c r="J5" s="67" t="s">
        <v>54</v>
      </c>
      <c r="K5" s="67"/>
      <c r="L5" s="67"/>
      <c r="M5" s="67"/>
      <c r="N5" s="32">
        <f>IF(ISERROR(N7/N6), 0, N7/N6)</f>
        <v>0</v>
      </c>
      <c r="O5" s="33">
        <f>IF(ISERROR(O7/O6), 0, O7/O6)</f>
        <v>0</v>
      </c>
      <c r="R5" s="24" t="s">
        <v>99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75</v>
      </c>
      <c r="U5" s="34" t="b">
        <v>1</v>
      </c>
    </row>
    <row r="6" spans="2:39" ht="15" x14ac:dyDescent="0.3">
      <c r="B6" s="28" t="s">
        <v>55</v>
      </c>
      <c r="C6" s="74" t="str">
        <f>Main!C12</f>
        <v>XYZ Corp</v>
      </c>
      <c r="D6" s="74"/>
      <c r="E6" s="74"/>
      <c r="F6" s="74"/>
      <c r="G6" s="74"/>
      <c r="H6" s="74"/>
      <c r="I6" s="74"/>
      <c r="J6" s="67" t="str">
        <f>_xlfn.CONCAT("Overall Totals (", IF(ISBLANK($S$6),"",$S$6), ")")</f>
        <v>Overall Totals (SF)</v>
      </c>
      <c r="K6" s="67"/>
      <c r="L6" s="67"/>
      <c r="M6" s="67"/>
      <c r="N6" s="35" t="str">
        <f>$R$7</f>
        <v>Schedule Run Date:</v>
      </c>
      <c r="O6" s="36" t="e">
        <f>#REF!</f>
        <v>#REF!</v>
      </c>
      <c r="R6" s="24" t="s">
        <v>64</v>
      </c>
      <c r="S6" s="26" t="s">
        <v>65</v>
      </c>
      <c r="T6" s="24" t="s">
        <v>76</v>
      </c>
      <c r="U6" s="34" t="b">
        <v>1</v>
      </c>
    </row>
    <row r="7" spans="2:39" ht="15" x14ac:dyDescent="0.3">
      <c r="B7" s="28" t="s">
        <v>56</v>
      </c>
      <c r="C7" s="74" t="str">
        <f>RIGHT(Main!B13, LEN(Main!B13) - 4)</f>
        <v>Foundation Walls</v>
      </c>
      <c r="D7" s="74"/>
      <c r="E7" s="74"/>
      <c r="F7" s="74"/>
      <c r="G7" s="74"/>
      <c r="H7" s="74"/>
      <c r="I7" s="74"/>
      <c r="J7" s="67" t="str">
        <f>_xlfn.CONCAT("Overall Completed Totals (", IF(ISBLANK($S$6),"",$S$6), ")")</f>
        <v>Overall Completed Totals (SF)</v>
      </c>
      <c r="K7" s="67"/>
      <c r="L7" s="67"/>
      <c r="M7" s="67"/>
      <c r="N7" s="35" t="str">
        <f>$T$16</f>
        <v>A3</v>
      </c>
      <c r="O7" s="36">
        <f>$U$16</f>
        <v>44027</v>
      </c>
      <c r="R7" s="24" t="s">
        <v>79</v>
      </c>
      <c r="S7" s="31">
        <f>Schedule_Run_Date</f>
        <v>44652</v>
      </c>
      <c r="T7" s="24" t="s">
        <v>77</v>
      </c>
      <c r="U7" s="34" t="b">
        <v>0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67" t="str">
        <f>_xlfn.CONCAT("This Week's Production (", IF(ISBLANK($S$6),"",$S$6), ")")</f>
        <v>This Week's Production (SF)</v>
      </c>
      <c r="K8" s="67"/>
      <c r="L8" s="67"/>
      <c r="M8" s="67"/>
      <c r="N8" s="35" t="str">
        <f>$R$16</f>
        <v>L6</v>
      </c>
      <c r="O8" s="36">
        <f>$S$16</f>
        <v>0</v>
      </c>
      <c r="R8" s="24" t="s">
        <v>63</v>
      </c>
      <c r="S8" s="26" t="s">
        <v>62</v>
      </c>
      <c r="T8" s="24" t="s">
        <v>78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67" t="str">
        <f>_xlfn.CONCAT("Weekly Average (", IF(ISBLANK($S$6),"",$S$6), ")")</f>
        <v>Weekly Average (SF)</v>
      </c>
      <c r="K9" s="67"/>
      <c r="L9" s="67"/>
      <c r="M9" s="67"/>
      <c r="N9" s="39" t="e">
        <f ca="1">AVERAGE(INDIRECT("Main_"&amp;$R$2&amp;"[Weekly Plan]"))</f>
        <v>#REF!</v>
      </c>
      <c r="O9" s="40" t="e">
        <f ca="1">AVERAGE(INDIRECT("Main_"&amp;$R$2&amp;"[Weekly Actual]"))</f>
        <v>#REF!</v>
      </c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67" t="str">
        <f>_xlfn.CONCAT("Average Past 4 Weeks (", IF(ISBLANK($S$6),"",$S$6), ")")</f>
        <v>Average Past 4 Weeks (SF)</v>
      </c>
      <c r="K10" s="67"/>
      <c r="L10" s="67"/>
      <c r="M10" s="67"/>
      <c r="N10" s="39" t="e">
        <f ca="1">(VLOOKUP($R$3,INDIRECT("Main_"&amp;$R$2), 2)+VLOOKUP($R$3-7,INDIRECT("Main_"&amp;$R$2), 2)+VLOOKUP($R$3-14,INDIRECT("Main_"&amp;$R$2), 2)+VLOOKUP($R$3-21,INDIRECT("Main_"&amp;$R$2), 2))/4</f>
        <v>#REF!</v>
      </c>
      <c r="O10" s="40" t="e">
        <f ca="1">(VLOOKUP($R$3,INDIRECT("Main_"&amp;$R$2), 3)+VLOOKUP($R$3-7,INDIRECT("Main_"&amp;$R$2), 3)+VLOOKUP($R$3-14,INDIRECT("Main_"&amp;$R$2), 3)+VLOOKUP($R$3-21,INDIRECT("Main_"&amp;$R$2), 3))/4</f>
        <v>#REF!</v>
      </c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67" t="str">
        <f>_xlfn.CONCAT("On Schedule Average (", IF(ISBLANK($S$6),"",$S$6), ")")</f>
        <v>On Schedule Average (SF)</v>
      </c>
      <c r="K11" s="67"/>
      <c r="L11" s="67"/>
      <c r="M11" s="67"/>
      <c r="N11" s="39" t="e">
        <f ca="1">AVERAGE(INDIRECT("Main_"&amp;$R$2&amp;"[Weekly Plan]"))</f>
        <v>#REF!</v>
      </c>
      <c r="O11" s="40" t="e">
        <f>IF(($T$2-$R$3)&gt;0,($R$7-$R$5)/(CEILING(($T$2-$R$3),7)/7),"N/A")</f>
        <v>#VALUE!</v>
      </c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59" t="s">
        <v>57</v>
      </c>
      <c r="K12" s="59"/>
      <c r="L12" s="59"/>
      <c r="M12" s="59"/>
      <c r="N12" s="60" t="str">
        <f>$T$2</f>
        <v>Works Monday:</v>
      </c>
      <c r="O12" s="61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59" t="s">
        <v>58</v>
      </c>
      <c r="K13" s="59"/>
      <c r="L13" s="59"/>
      <c r="M13" s="59"/>
      <c r="N13" s="60" t="e">
        <f ca="1">$R$3+ROUNDUP(($R$7-$R$5)/($O$10/IF($T$4="NO", 5,6)),0)+(TRUNC(ROUNDUP(($R$7-$R$5)/($O$10/IF($T$4="NO", 5,6)),0)/7)*IF($T$4="NO",2,1))</f>
        <v>#VALUE!</v>
      </c>
      <c r="O13" s="62"/>
      <c r="R13" s="41" t="s">
        <v>66</v>
      </c>
      <c r="S13" s="41" t="s">
        <v>50</v>
      </c>
      <c r="T13" s="41" t="s">
        <v>67</v>
      </c>
      <c r="U13" s="41" t="s">
        <v>68</v>
      </c>
      <c r="V13" s="41" t="s">
        <v>69</v>
      </c>
      <c r="W13" s="41" t="s">
        <v>70</v>
      </c>
      <c r="X13" s="41" t="s">
        <v>71</v>
      </c>
      <c r="AA13" t="s">
        <v>80</v>
      </c>
      <c r="AB13" s="57" t="s">
        <v>85</v>
      </c>
      <c r="AC13" t="s">
        <v>81</v>
      </c>
      <c r="AD13" t="s">
        <v>82</v>
      </c>
      <c r="AE13" t="s">
        <v>83</v>
      </c>
      <c r="AF13" t="s">
        <v>84</v>
      </c>
      <c r="AG13" s="56" t="s">
        <v>89</v>
      </c>
      <c r="AH13" s="56" t="s">
        <v>91</v>
      </c>
      <c r="AI13" s="56" t="s">
        <v>90</v>
      </c>
      <c r="AJ13" s="56" t="s">
        <v>92</v>
      </c>
      <c r="AK13" s="56" t="s">
        <v>93</v>
      </c>
      <c r="AL13" s="56" t="s">
        <v>94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63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63"/>
      <c r="N14" s="63"/>
      <c r="O14" s="64"/>
      <c r="R14" s="43" t="s">
        <v>95</v>
      </c>
      <c r="S14" s="44"/>
      <c r="T14" s="44" t="s">
        <v>86</v>
      </c>
      <c r="U14" s="45">
        <v>43905</v>
      </c>
      <c r="V14" s="45">
        <v>43983</v>
      </c>
      <c r="W14" s="8">
        <v>3000</v>
      </c>
      <c r="AA14" s="54">
        <f t="shared" ref="AA14:AA43" si="0">IF(AA13 = "Date", $S$4, AA13+7)</f>
        <v>43907</v>
      </c>
      <c r="AB14" s="57" t="str">
        <f ca="1">PrimaryAreas(3)</f>
        <v>A1</v>
      </c>
      <c r="AC14">
        <f>Output_Template[[#This Row],[WP_A1]]+Output_Template[[#This Row],[WP_A2]]+Output_Template[[#This Row],[WP_A3]]</f>
        <v>75</v>
      </c>
      <c r="AD14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4">
        <f>SUM($AC$14:AC14)</f>
        <v>75</v>
      </c>
      <c r="AF14">
        <f>IF(AD14="",NA(),SUM($AD$14:AD14))</f>
        <v>55</v>
      </c>
      <c r="AG14" s="19">
        <v>75</v>
      </c>
      <c r="AH14" s="19">
        <v>55</v>
      </c>
      <c r="AI14" s="19"/>
      <c r="AJ14" s="19"/>
      <c r="AK14" s="19"/>
      <c r="AL14" s="19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65"/>
      <c r="M15" s="65"/>
      <c r="N15" s="65"/>
      <c r="O15" s="66"/>
      <c r="R15" s="43" t="s">
        <v>96</v>
      </c>
      <c r="S15" s="44"/>
      <c r="T15" s="44" t="s">
        <v>87</v>
      </c>
      <c r="U15" s="45">
        <v>43966</v>
      </c>
      <c r="V15" s="45">
        <v>44044</v>
      </c>
      <c r="W15" s="8">
        <v>3000</v>
      </c>
      <c r="AA15" s="54">
        <f t="shared" si="0"/>
        <v>43914</v>
      </c>
      <c r="AB15" s="57" t="str">
        <f t="shared" ref="AB15:AB43" ca="1" si="1">PrimaryAreas(3)</f>
        <v>A1</v>
      </c>
      <c r="AC15">
        <f>Output_Template[[#This Row],[WP_A1]]+Output_Template[[#This Row],[WP_A2]]+Output_Template[[#This Row],[WP_A3]]</f>
        <v>75</v>
      </c>
      <c r="AD15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5">
        <f>SUM($AC$14:AC15)</f>
        <v>150</v>
      </c>
      <c r="AF15">
        <f>IF(AD15="",NA(),SUM($AD$14:AD15))</f>
        <v>110</v>
      </c>
      <c r="AG15" s="19">
        <v>75</v>
      </c>
      <c r="AH15" s="19">
        <v>55</v>
      </c>
      <c r="AI15" s="19"/>
      <c r="AJ15" s="19"/>
      <c r="AK15" s="19"/>
      <c r="AL15" s="19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97</v>
      </c>
      <c r="S16" s="44"/>
      <c r="T16" s="44" t="s">
        <v>88</v>
      </c>
      <c r="U16" s="45">
        <v>44027</v>
      </c>
      <c r="V16" s="45">
        <v>44105</v>
      </c>
      <c r="W16" s="8">
        <v>3000</v>
      </c>
      <c r="AA16" s="54">
        <f t="shared" si="0"/>
        <v>43921</v>
      </c>
      <c r="AB16" s="57" t="str">
        <f t="shared" ca="1" si="1"/>
        <v>A1</v>
      </c>
      <c r="AC16">
        <f>Output_Template[[#This Row],[WP_A1]]+Output_Template[[#This Row],[WP_A2]]+Output_Template[[#This Row],[WP_A3]]</f>
        <v>75</v>
      </c>
      <c r="AD16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6">
        <f>SUM($AC$14:AC16)</f>
        <v>225</v>
      </c>
      <c r="AF16">
        <f>IF(AD16="",NA(),SUM($AD$14:AD16))</f>
        <v>165</v>
      </c>
      <c r="AG16" s="19">
        <v>75</v>
      </c>
      <c r="AH16" s="19">
        <v>55</v>
      </c>
      <c r="AI16" s="19"/>
      <c r="AJ16" s="19"/>
      <c r="AK16" s="19"/>
      <c r="AL16" s="19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s="57" t="str">
        <f t="shared" ca="1" si="1"/>
        <v>A1</v>
      </c>
      <c r="AC17">
        <f>Output_Template[[#This Row],[WP_A1]]+Output_Template[[#This Row],[WP_A2]]+Output_Template[[#This Row],[WP_A3]]</f>
        <v>75</v>
      </c>
      <c r="AD17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7">
        <f>SUM($AC$14:AC17)</f>
        <v>300</v>
      </c>
      <c r="AF17">
        <f>IF(AD17="",NA(),SUM($AD$14:AD17))</f>
        <v>220</v>
      </c>
      <c r="AG17" s="19">
        <v>75</v>
      </c>
      <c r="AH17" s="19">
        <v>55</v>
      </c>
      <c r="AI17" s="19"/>
      <c r="AJ17" s="19"/>
      <c r="AK17" s="19"/>
      <c r="AL17" s="19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s="57" t="str">
        <f t="shared" ca="1" si="1"/>
        <v>A1</v>
      </c>
      <c r="AC18">
        <f>Output_Template[[#This Row],[WP_A1]]+Output_Template[[#This Row],[WP_A2]]+Output_Template[[#This Row],[WP_A3]]</f>
        <v>75</v>
      </c>
      <c r="AD18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8">
        <f>SUM($AC$14:AC18)</f>
        <v>375</v>
      </c>
      <c r="AF18">
        <f>IF(AD18="",NA(),SUM($AD$14:AD18))</f>
        <v>275</v>
      </c>
      <c r="AG18" s="19">
        <v>75</v>
      </c>
      <c r="AH18" s="19">
        <v>55</v>
      </c>
      <c r="AI18" s="19"/>
      <c r="AJ18" s="19"/>
      <c r="AK18" s="19"/>
      <c r="AL18" s="19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s="57" t="str">
        <f t="shared" ca="1" si="1"/>
        <v>A1</v>
      </c>
      <c r="AC19">
        <f>Output_Template[[#This Row],[WP_A1]]+Output_Template[[#This Row],[WP_A2]]+Output_Template[[#This Row],[WP_A3]]</f>
        <v>75</v>
      </c>
      <c r="AD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9">
        <f>SUM($AC$14:AC19)</f>
        <v>450</v>
      </c>
      <c r="AF19">
        <f>IF(AD19="",NA(),SUM($AD$14:AD19))</f>
        <v>330</v>
      </c>
      <c r="AG19" s="19">
        <v>75</v>
      </c>
      <c r="AH19" s="19">
        <v>55</v>
      </c>
      <c r="AI19" s="19"/>
      <c r="AJ19" s="19"/>
      <c r="AK19" s="19"/>
      <c r="AL19" s="19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s="57" t="str">
        <f t="shared" ca="1" si="1"/>
        <v>A1</v>
      </c>
      <c r="AC20">
        <f>Output_Template[[#This Row],[WP_A1]]+Output_Template[[#This Row],[WP_A2]]+Output_Template[[#This Row],[WP_A3]]</f>
        <v>75</v>
      </c>
      <c r="AD2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0">
        <f>SUM($AC$14:AC20)</f>
        <v>525</v>
      </c>
      <c r="AF20">
        <f>IF(AD20="",NA(),SUM($AD$14:AD20))</f>
        <v>385</v>
      </c>
      <c r="AG20" s="19">
        <v>75</v>
      </c>
      <c r="AH20" s="19">
        <v>55</v>
      </c>
      <c r="AI20" s="19"/>
      <c r="AJ20" s="19"/>
      <c r="AK20" s="19"/>
      <c r="AL20" s="19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s="57" t="str">
        <f t="shared" ca="1" si="1"/>
        <v>A1</v>
      </c>
      <c r="AC21">
        <f>Output_Template[[#This Row],[WP_A1]]+Output_Template[[#This Row],[WP_A2]]+Output_Template[[#This Row],[WP_A3]]</f>
        <v>75</v>
      </c>
      <c r="AD21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1">
        <f>SUM($AC$14:AC21)</f>
        <v>600</v>
      </c>
      <c r="AF21">
        <f>IF(AD21="",NA(),SUM($AD$14:AD21))</f>
        <v>440</v>
      </c>
      <c r="AG21" s="19">
        <v>75</v>
      </c>
      <c r="AH21" s="19">
        <v>55</v>
      </c>
      <c r="AI21" s="19"/>
      <c r="AJ21" s="19"/>
      <c r="AK21" s="19"/>
      <c r="AL21" s="19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s="57" t="str">
        <f t="shared" ca="1" si="1"/>
        <v>A1</v>
      </c>
      <c r="AC22">
        <f>Output_Template[[#This Row],[WP_A1]]+Output_Template[[#This Row],[WP_A2]]+Output_Template[[#This Row],[WP_A3]]</f>
        <v>75</v>
      </c>
      <c r="AD22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2">
        <f>SUM($AC$14:AC22)</f>
        <v>675</v>
      </c>
      <c r="AF22">
        <f>IF(AD22="",NA(),SUM($AD$14:AD22))</f>
        <v>495</v>
      </c>
      <c r="AG22" s="19">
        <v>75</v>
      </c>
      <c r="AH22" s="19">
        <v>55</v>
      </c>
      <c r="AI22" s="19"/>
      <c r="AJ22" s="19"/>
      <c r="AK22" s="19"/>
      <c r="AL22" s="19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s="57" t="str">
        <f t="shared" ca="1" si="1"/>
        <v>A1, A2</v>
      </c>
      <c r="AC23">
        <f>Output_Template[[#This Row],[WP_A1]]+Output_Template[[#This Row],[WP_A2]]+Output_Template[[#This Row],[WP_A3]]</f>
        <v>150</v>
      </c>
      <c r="AD23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3">
        <f>SUM($AC$14:AC23)</f>
        <v>825</v>
      </c>
      <c r="AF23">
        <f>IF(AD23="",NA(),SUM($AD$14:AD23))</f>
        <v>605</v>
      </c>
      <c r="AG23" s="19">
        <v>75</v>
      </c>
      <c r="AH23" s="19">
        <v>55</v>
      </c>
      <c r="AI23" s="19">
        <v>75</v>
      </c>
      <c r="AJ23" s="19">
        <v>55</v>
      </c>
      <c r="AK23" s="19"/>
      <c r="AL23" s="19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s="57" t="str">
        <f t="shared" ca="1" si="1"/>
        <v>A1, A2</v>
      </c>
      <c r="AC24">
        <f>Output_Template[[#This Row],[WP_A1]]+Output_Template[[#This Row],[WP_A2]]+Output_Template[[#This Row],[WP_A3]]</f>
        <v>150</v>
      </c>
      <c r="AD24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4">
        <f>SUM($AC$14:AC24)</f>
        <v>975</v>
      </c>
      <c r="AF24">
        <f>IF(AD24="",NA(),SUM($AD$14:AD24))</f>
        <v>715</v>
      </c>
      <c r="AG24" s="19">
        <v>75</v>
      </c>
      <c r="AH24" s="19">
        <v>55</v>
      </c>
      <c r="AI24" s="19">
        <v>75</v>
      </c>
      <c r="AJ24" s="19">
        <v>55</v>
      </c>
      <c r="AK24" s="19"/>
      <c r="AL24" s="19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0"/>
        <v>43984</v>
      </c>
      <c r="AB25" s="57" t="str">
        <f t="shared" ca="1" si="1"/>
        <v>A1, A2</v>
      </c>
      <c r="AC25">
        <f>Output_Template[[#This Row],[WP_A1]]+Output_Template[[#This Row],[WP_A2]]+Output_Template[[#This Row],[WP_A3]]</f>
        <v>150</v>
      </c>
      <c r="AD25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5">
        <f>SUM($AC$14:AC25)</f>
        <v>1125</v>
      </c>
      <c r="AF25">
        <f>IF(AD25="",NA(),SUM($AD$14:AD25))</f>
        <v>825</v>
      </c>
      <c r="AG25" s="19">
        <v>75</v>
      </c>
      <c r="AH25" s="19">
        <v>55</v>
      </c>
      <c r="AI25" s="19">
        <v>75</v>
      </c>
      <c r="AJ25" s="19">
        <v>55</v>
      </c>
      <c r="AK25" s="19"/>
      <c r="AL25" s="19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si="0"/>
        <v>43991</v>
      </c>
      <c r="AB26" s="57" t="str">
        <f t="shared" ca="1" si="1"/>
        <v>A2</v>
      </c>
      <c r="AC26">
        <f>Output_Template[[#This Row],[WP_A1]]+Output_Template[[#This Row],[WP_A2]]+Output_Template[[#This Row],[WP_A3]]</f>
        <v>75</v>
      </c>
      <c r="AD26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6">
        <f>SUM($AC$14:AC26)</f>
        <v>1200</v>
      </c>
      <c r="AF26">
        <f>IF(AD26="",NA(),SUM($AD$14:AD26))</f>
        <v>935</v>
      </c>
      <c r="AG26" s="19"/>
      <c r="AH26" s="19">
        <v>55</v>
      </c>
      <c r="AI26" s="19">
        <v>75</v>
      </c>
      <c r="AJ26" s="19">
        <v>55</v>
      </c>
      <c r="AK26" s="19"/>
      <c r="AL26" s="19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0"/>
        <v>43998</v>
      </c>
      <c r="AB27" s="57" t="str">
        <f t="shared" ca="1" si="1"/>
        <v>A2</v>
      </c>
      <c r="AC27">
        <f>Output_Template[[#This Row],[WP_A1]]+Output_Template[[#This Row],[WP_A2]]+Output_Template[[#This Row],[WP_A3]]</f>
        <v>75</v>
      </c>
      <c r="AD27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7">
        <f>SUM($AC$14:AC27)</f>
        <v>1275</v>
      </c>
      <c r="AF27">
        <f>IF(AD27="",NA(),SUM($AD$14:AD27))</f>
        <v>1045</v>
      </c>
      <c r="AG27" s="19"/>
      <c r="AH27" s="19">
        <v>55</v>
      </c>
      <c r="AI27" s="19">
        <v>75</v>
      </c>
      <c r="AJ27" s="19">
        <v>55</v>
      </c>
      <c r="AK27" s="19"/>
      <c r="AL27" s="19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0"/>
        <v>44005</v>
      </c>
      <c r="AB28" s="57" t="str">
        <f t="shared" ca="1" si="1"/>
        <v>A2</v>
      </c>
      <c r="AC28">
        <f>Output_Template[[#This Row],[WP_A1]]+Output_Template[[#This Row],[WP_A2]]+Output_Template[[#This Row],[WP_A3]]</f>
        <v>75</v>
      </c>
      <c r="AD28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8">
        <f>SUM($AC$14:AC28)</f>
        <v>1350</v>
      </c>
      <c r="AF28">
        <f>IF(AD28="",NA(),SUM($AD$14:AD28))</f>
        <v>1100</v>
      </c>
      <c r="AG28" s="19"/>
      <c r="AH28" s="19"/>
      <c r="AI28" s="19">
        <v>75</v>
      </c>
      <c r="AJ28" s="19">
        <v>55</v>
      </c>
      <c r="AK28" s="19"/>
      <c r="AL28" s="19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0"/>
        <v>44012</v>
      </c>
      <c r="AB29" s="57" t="str">
        <f t="shared" ca="1" si="1"/>
        <v>A2</v>
      </c>
      <c r="AC29">
        <f>Output_Template[[#This Row],[WP_A1]]+Output_Template[[#This Row],[WP_A2]]+Output_Template[[#This Row],[WP_A3]]</f>
        <v>75</v>
      </c>
      <c r="AD29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9">
        <f>SUM($AC$14:AC29)</f>
        <v>1425</v>
      </c>
      <c r="AF29">
        <f>IF(AD29="",NA(),SUM($AD$14:AD29))</f>
        <v>1155</v>
      </c>
      <c r="AG29" s="19"/>
      <c r="AH29" s="19"/>
      <c r="AI29" s="19">
        <v>75</v>
      </c>
      <c r="AJ29" s="19">
        <v>55</v>
      </c>
      <c r="AK29" s="19"/>
      <c r="AL29" s="19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0"/>
        <v>44019</v>
      </c>
      <c r="AB30" s="57" t="str">
        <f t="shared" ca="1" si="1"/>
        <v>A2</v>
      </c>
      <c r="AC30">
        <f>Output_Template[[#This Row],[WP_A1]]+Output_Template[[#This Row],[WP_A2]]+Output_Template[[#This Row],[WP_A3]]</f>
        <v>75</v>
      </c>
      <c r="AD30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0">
        <f>SUM($AC$14:AC30)</f>
        <v>1500</v>
      </c>
      <c r="AF30">
        <f>IF(AD30="",NA(),SUM($AD$14:AD30))</f>
        <v>1210</v>
      </c>
      <c r="AG30" s="19"/>
      <c r="AH30" s="19"/>
      <c r="AI30" s="19">
        <v>75</v>
      </c>
      <c r="AJ30" s="19">
        <v>55</v>
      </c>
      <c r="AK30" s="19"/>
      <c r="AL30" s="19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0"/>
        <v>44026</v>
      </c>
      <c r="AB31" s="57" t="str">
        <f t="shared" ca="1" si="1"/>
        <v>A2</v>
      </c>
      <c r="AC31">
        <f>Output_Template[[#This Row],[WP_A1]]+Output_Template[[#This Row],[WP_A2]]+Output_Template[[#This Row],[WP_A3]]</f>
        <v>75</v>
      </c>
      <c r="AD31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1">
        <f>SUM($AC$14:AC31)</f>
        <v>1575</v>
      </c>
      <c r="AF31">
        <f>IF(AD31="",NA(),SUM($AD$14:AD31))</f>
        <v>1265</v>
      </c>
      <c r="AG31" s="19"/>
      <c r="AH31" s="19"/>
      <c r="AI31" s="19">
        <v>75</v>
      </c>
      <c r="AJ31" s="19">
        <v>55</v>
      </c>
      <c r="AK31" s="19"/>
      <c r="AL31" s="19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0"/>
        <v>44033</v>
      </c>
      <c r="AB32" s="57" t="str">
        <f t="shared" ca="1" si="1"/>
        <v>A2</v>
      </c>
      <c r="AC32">
        <f>Output_Template[[#This Row],[WP_A1]]+Output_Template[[#This Row],[WP_A2]]+Output_Template[[#This Row],[WP_A3]]</f>
        <v>75</v>
      </c>
      <c r="AD32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2">
        <f>SUM($AC$14:AC32)</f>
        <v>1650</v>
      </c>
      <c r="AF32">
        <f>IF(AD32="",NA(),SUM($AD$14:AD32))</f>
        <v>1320</v>
      </c>
      <c r="AG32" s="19"/>
      <c r="AH32" s="19"/>
      <c r="AI32" s="19">
        <v>75</v>
      </c>
      <c r="AJ32" s="19">
        <v>55</v>
      </c>
      <c r="AK32" s="19"/>
      <c r="AL32" s="19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0"/>
        <v>44040</v>
      </c>
      <c r="AB33" s="57" t="str">
        <f t="shared" ca="1" si="1"/>
        <v>A2</v>
      </c>
      <c r="AC33">
        <f>Output_Template[[#This Row],[WP_A1]]+Output_Template[[#This Row],[WP_A2]]+Output_Template[[#This Row],[WP_A3]]</f>
        <v>75</v>
      </c>
      <c r="AD33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3">
        <f>SUM($AC$14:AC33)</f>
        <v>1725</v>
      </c>
      <c r="AF33">
        <f>IF(AD33="",NA(),SUM($AD$14:AD33))</f>
        <v>1375</v>
      </c>
      <c r="AG33" s="19"/>
      <c r="AH33" s="19"/>
      <c r="AI33" s="19">
        <v>75</v>
      </c>
      <c r="AJ33" s="19">
        <v>55</v>
      </c>
      <c r="AK33" s="19"/>
      <c r="AL33" s="19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0"/>
        <v>44047</v>
      </c>
      <c r="AB34" s="57" t="str">
        <f t="shared" ca="1" si="1"/>
        <v>A2, A3</v>
      </c>
      <c r="AC34">
        <f>Output_Template[[#This Row],[WP_A1]]+Output_Template[[#This Row],[WP_A2]]+Output_Template[[#This Row],[WP_A3]]</f>
        <v>150</v>
      </c>
      <c r="AD34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34">
        <f>SUM($AC$14:AC34)</f>
        <v>1875</v>
      </c>
      <c r="AF34">
        <f>IF(AD34="",NA(),SUM($AD$14:AD34))</f>
        <v>1485</v>
      </c>
      <c r="AG34" s="19"/>
      <c r="AH34" s="19"/>
      <c r="AI34" s="19">
        <v>75</v>
      </c>
      <c r="AJ34" s="19">
        <v>55</v>
      </c>
      <c r="AK34" s="19">
        <v>75</v>
      </c>
      <c r="AL34" s="19">
        <v>55</v>
      </c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0"/>
        <v>44054</v>
      </c>
      <c r="AB35" s="57" t="str">
        <f t="shared" ca="1" si="1"/>
        <v>A2, A3</v>
      </c>
      <c r="AC35">
        <f>Output_Template[[#This Row],[WP_A1]]+Output_Template[[#This Row],[WP_A2]]+Output_Template[[#This Row],[WP_A3]]</f>
        <v>150</v>
      </c>
      <c r="AD35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35">
        <f>SUM($AC$14:AC35)</f>
        <v>2025</v>
      </c>
      <c r="AF35">
        <f>IF(AD35="",NA(),SUM($AD$14:AD35))</f>
        <v>1595</v>
      </c>
      <c r="AG35" s="19"/>
      <c r="AH35" s="19"/>
      <c r="AI35" s="19">
        <v>75</v>
      </c>
      <c r="AJ35" s="19">
        <v>55</v>
      </c>
      <c r="AK35" s="19">
        <v>75</v>
      </c>
      <c r="AL35" s="19">
        <v>55</v>
      </c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0"/>
        <v>44061</v>
      </c>
      <c r="AB36" s="57" t="str">
        <f t="shared" ca="1" si="1"/>
        <v>A3</v>
      </c>
      <c r="AC36">
        <f>Output_Template[[#This Row],[WP_A1]]+Output_Template[[#This Row],[WP_A2]]+Output_Template[[#This Row],[WP_A3]]</f>
        <v>75</v>
      </c>
      <c r="AD36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6">
        <f>SUM($AC$14:AC36)</f>
        <v>2100</v>
      </c>
      <c r="AF36">
        <f>IF(AD36="",NA(),SUM($AD$14:AD36))</f>
        <v>1650</v>
      </c>
      <c r="AG36" s="19"/>
      <c r="AH36" s="19"/>
      <c r="AI36" s="19"/>
      <c r="AJ36" s="19"/>
      <c r="AK36" s="19">
        <v>75</v>
      </c>
      <c r="AL36" s="19">
        <v>55</v>
      </c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0"/>
        <v>44068</v>
      </c>
      <c r="AB37" s="57" t="str">
        <f t="shared" ca="1" si="1"/>
        <v>A3</v>
      </c>
      <c r="AC37">
        <f>Output_Template[[#This Row],[WP_A1]]+Output_Template[[#This Row],[WP_A2]]+Output_Template[[#This Row],[WP_A3]]</f>
        <v>75</v>
      </c>
      <c r="AD37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7">
        <f>SUM($AC$14:AC37)</f>
        <v>2175</v>
      </c>
      <c r="AF37">
        <f>IF(AD37="",NA(),SUM($AD$14:AD37))</f>
        <v>1705</v>
      </c>
      <c r="AG37" s="19"/>
      <c r="AH37" s="19"/>
      <c r="AI37" s="19"/>
      <c r="AJ37" s="19"/>
      <c r="AK37" s="19">
        <v>75</v>
      </c>
      <c r="AL37" s="19">
        <v>55</v>
      </c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0"/>
        <v>44075</v>
      </c>
      <c r="AB38" s="57" t="str">
        <f t="shared" ca="1" si="1"/>
        <v>A3</v>
      </c>
      <c r="AC38">
        <f>Output_Template[[#This Row],[WP_A1]]+Output_Template[[#This Row],[WP_A2]]+Output_Template[[#This Row],[WP_A3]]</f>
        <v>75</v>
      </c>
      <c r="AD38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8">
        <f>SUM($AC$14:AC38)</f>
        <v>2250</v>
      </c>
      <c r="AF38">
        <f>IF(AD38="",NA(),SUM($AD$14:AD38))</f>
        <v>1760</v>
      </c>
      <c r="AG38" s="19"/>
      <c r="AH38" s="19"/>
      <c r="AI38" s="19"/>
      <c r="AJ38" s="19"/>
      <c r="AK38" s="19">
        <v>75</v>
      </c>
      <c r="AL38" s="19">
        <v>55</v>
      </c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0"/>
        <v>44082</v>
      </c>
      <c r="AB39" s="57" t="str">
        <f t="shared" ca="1" si="1"/>
        <v>A3</v>
      </c>
      <c r="AC39">
        <f>Output_Template[[#This Row],[WP_A1]]+Output_Template[[#This Row],[WP_A2]]+Output_Template[[#This Row],[WP_A3]]</f>
        <v>75</v>
      </c>
      <c r="AD39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9">
        <f>SUM($AC$14:AC39)</f>
        <v>2325</v>
      </c>
      <c r="AF39">
        <f>IF(AD39="",NA(),SUM($AD$14:AD39))</f>
        <v>1815</v>
      </c>
      <c r="AG39" s="19"/>
      <c r="AH39" s="19"/>
      <c r="AI39" s="19"/>
      <c r="AJ39" s="19"/>
      <c r="AK39" s="19">
        <v>75</v>
      </c>
      <c r="AL39" s="19">
        <v>55</v>
      </c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0"/>
        <v>44089</v>
      </c>
      <c r="AB40" s="57" t="str">
        <f t="shared" ca="1" si="1"/>
        <v>A3</v>
      </c>
      <c r="AC40">
        <f>Output_Template[[#This Row],[WP_A1]]+Output_Template[[#This Row],[WP_A2]]+Output_Template[[#This Row],[WP_A3]]</f>
        <v>75</v>
      </c>
      <c r="AD40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40">
        <f>SUM($AC$14:AC40)</f>
        <v>2400</v>
      </c>
      <c r="AF40">
        <f>IF(AD40="",NA(),SUM($AD$14:AD40))</f>
        <v>1870</v>
      </c>
      <c r="AG40" s="19"/>
      <c r="AH40" s="19"/>
      <c r="AI40" s="19"/>
      <c r="AJ40" s="19"/>
      <c r="AK40" s="19">
        <v>75</v>
      </c>
      <c r="AL40" s="19">
        <v>55</v>
      </c>
    </row>
    <row r="41" spans="2:38" ht="14.5" x14ac:dyDescent="0.35">
      <c r="AA41" s="54">
        <f t="shared" si="0"/>
        <v>44096</v>
      </c>
      <c r="AB41" s="57" t="str">
        <f t="shared" ca="1" si="1"/>
        <v>A3</v>
      </c>
      <c r="AC41">
        <f>Output_Template[[#This Row],[WP_A1]]+Output_Template[[#This Row],[WP_A2]]+Output_Template[[#This Row],[WP_A3]]</f>
        <v>77</v>
      </c>
      <c r="AD41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75</v>
      </c>
      <c r="AE41">
        <f>SUM($AC$14:AC41)</f>
        <v>2477</v>
      </c>
      <c r="AF41">
        <f>IF(AD41="",NA(),SUM($AD$14:AD41))</f>
        <v>1945</v>
      </c>
      <c r="AG41" s="19"/>
      <c r="AH41" s="19"/>
      <c r="AI41" s="19"/>
      <c r="AJ41" s="19"/>
      <c r="AK41" s="19">
        <v>77</v>
      </c>
      <c r="AL41" s="19">
        <v>75</v>
      </c>
    </row>
    <row r="42" spans="2:38" ht="14.5" x14ac:dyDescent="0.35">
      <c r="AA42" s="54">
        <f t="shared" si="0"/>
        <v>44103</v>
      </c>
      <c r="AB42" s="57" t="str">
        <f t="shared" ca="1" si="1"/>
        <v>A3</v>
      </c>
      <c r="AC42">
        <f>Output_Template[[#This Row],[WP_A1]]+Output_Template[[#This Row],[WP_A2]]+Output_Template[[#This Row],[WP_A3]]</f>
        <v>55</v>
      </c>
      <c r="AD42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75</v>
      </c>
      <c r="AE42">
        <f>SUM($AC$14:AC42)</f>
        <v>2532</v>
      </c>
      <c r="AF42">
        <f>IF(AD42="",NA(),SUM($AD$14:AD42))</f>
        <v>2020</v>
      </c>
      <c r="AG42" s="19"/>
      <c r="AH42" s="19"/>
      <c r="AI42" s="19"/>
      <c r="AJ42" s="19"/>
      <c r="AK42" s="19">
        <v>55</v>
      </c>
      <c r="AL42" s="19">
        <v>75</v>
      </c>
    </row>
    <row r="43" spans="2:38" ht="14.5" x14ac:dyDescent="0.35">
      <c r="AA43" s="54">
        <f t="shared" si="0"/>
        <v>44110</v>
      </c>
      <c r="AB43" s="57" t="str">
        <f t="shared" ca="1" si="1"/>
        <v>A3</v>
      </c>
      <c r="AC43">
        <f>Output_Template[[#This Row],[WP_A1]]+Output_Template[[#This Row],[WP_A2]]+Output_Template[[#This Row],[WP_A3]]</f>
        <v>75</v>
      </c>
      <c r="AD43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75</v>
      </c>
      <c r="AE43">
        <f>SUM($AC$14:AC43)</f>
        <v>2607</v>
      </c>
      <c r="AF43">
        <f>IF(AD43="",NA(),SUM($AD$14:AD43))</f>
        <v>2095</v>
      </c>
      <c r="AG43" s="19"/>
      <c r="AH43" s="19"/>
      <c r="AI43" s="19"/>
      <c r="AJ43" s="19"/>
      <c r="AK43" s="19">
        <v>75</v>
      </c>
      <c r="AL43" s="19">
        <v>75</v>
      </c>
    </row>
  </sheetData>
  <mergeCells count="18"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J12:M12"/>
    <mergeCell ref="N12:O12"/>
    <mergeCell ref="J13:M13"/>
    <mergeCell ref="N13:O13"/>
    <mergeCell ref="L14:O15"/>
  </mergeCells>
  <phoneticPr fontId="6" type="noConversion"/>
  <conditionalFormatting sqref="AF14:AL43">
    <cfRule type="containsErrors" dxfId="25" priority="1">
      <formula>ISERROR(AF14)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6" sqref="H6"/>
    </sheetView>
  </sheetViews>
  <sheetFormatPr defaultRowHeight="14.5" x14ac:dyDescent="0.35"/>
  <cols>
    <col min="1" max="1" width="2.6328125" customWidth="1"/>
    <col min="2" max="2" width="18.36328125" bestFit="1" customWidth="1"/>
    <col min="3" max="3" width="35.54296875" customWidth="1"/>
    <col min="4" max="4" width="2.36328125" customWidth="1"/>
    <col min="5" max="5" width="17.81640625" bestFit="1" customWidth="1"/>
    <col min="6" max="6" width="14.36328125" customWidth="1"/>
    <col min="7" max="7" width="2.6328125" customWidth="1"/>
    <col min="8" max="8" width="17.453125" customWidth="1"/>
    <col min="9" max="10" width="2.6328125" customWidth="1"/>
    <col min="11" max="11" width="23.08984375" bestFit="1" customWidth="1"/>
    <col min="12" max="12" width="86.6328125" bestFit="1" customWidth="1"/>
  </cols>
  <sheetData>
    <row r="1" spans="2:12" ht="15.5" x14ac:dyDescent="0.35">
      <c r="E1" s="76" t="s">
        <v>5</v>
      </c>
      <c r="F1" s="76"/>
      <c r="H1" s="2" t="s">
        <v>9</v>
      </c>
      <c r="K1" s="5" t="s">
        <v>12</v>
      </c>
      <c r="L1" s="5" t="s">
        <v>17</v>
      </c>
    </row>
    <row r="2" spans="2:12" ht="15.5" x14ac:dyDescent="0.35">
      <c r="B2" s="77" t="s">
        <v>6</v>
      </c>
      <c r="C2" s="77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98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1644650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G25" sqref="G25"/>
    </sheetView>
  </sheetViews>
  <sheetFormatPr defaultRowHeight="14.5" x14ac:dyDescent="0.35"/>
  <cols>
    <col min="1" max="1" width="2.1796875" customWidth="1"/>
    <col min="2" max="2" width="45.08984375" style="8" customWidth="1"/>
    <col min="3" max="3" width="27.453125" style="8" customWidth="1"/>
    <col min="4" max="5" width="10.90625" style="10" customWidth="1"/>
    <col min="6" max="6" width="2.26953125" customWidth="1"/>
    <col min="7" max="7" width="21.632812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79" t="str">
        <f>"PROGRESS REPORT "&amp; TEXT(Report_Date, "mm/dd/yyy")</f>
        <v>PROGRESS REPORT 05/20/2020</v>
      </c>
      <c r="C2" s="79"/>
      <c r="D2" s="79"/>
      <c r="E2" s="79"/>
    </row>
    <row r="3" spans="2:11" ht="8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43971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78" t="s">
        <v>31</v>
      </c>
      <c r="C11" s="78"/>
      <c r="D11" s="78"/>
      <c r="E11" s="78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78" t="s">
        <v>32</v>
      </c>
      <c r="C15" s="78"/>
      <c r="D15" s="78"/>
      <c r="E15" s="78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78" t="s">
        <v>33</v>
      </c>
      <c r="C18" s="78"/>
      <c r="D18" s="78"/>
      <c r="E18" s="78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78" t="s">
        <v>34</v>
      </c>
      <c r="C21" s="78"/>
      <c r="D21" s="78"/>
      <c r="E21" s="78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78" t="s">
        <v>35</v>
      </c>
      <c r="C24" s="78"/>
      <c r="D24" s="78"/>
      <c r="E24" s="78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" priority="1">
      <formula>IF(ISBLANK($D12), FALSE, IF(RedGreen_Formatting = "Enabled", $D12 &lt;= $E12 + Percent_Error, FALSE))</formula>
    </cfRule>
    <cfRule type="expression" dxfId="0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2020-05-20T16:34:20Z</cp:lastPrinted>
  <dcterms:created xsi:type="dcterms:W3CDTF">2019-04-09T17:53:55Z</dcterms:created>
  <dcterms:modified xsi:type="dcterms:W3CDTF">2020-05-21T00:10:33Z</dcterms:modified>
</cp:coreProperties>
</file>