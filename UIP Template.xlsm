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8742EFBB-E4F5-4BA8-AF2A-8ABBA7C2C745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  <sheet name="0401" sheetId="17" r:id="rId9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8">'0401'!$B$2:$O$40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7" l="1"/>
  <c r="C6" i="17"/>
  <c r="AF43" i="17"/>
  <c r="AD43" i="17"/>
  <c r="AF42" i="17"/>
  <c r="AD42" i="17"/>
  <c r="AD41" i="17"/>
  <c r="AF41" i="17" s="1"/>
  <c r="AF40" i="17"/>
  <c r="AD40" i="17"/>
  <c r="AF39" i="17"/>
  <c r="AD39" i="17"/>
  <c r="AF38" i="17"/>
  <c r="AD38" i="17"/>
  <c r="AD37" i="17"/>
  <c r="AF37" i="17" s="1"/>
  <c r="AF36" i="17"/>
  <c r="AD36" i="17"/>
  <c r="AF35" i="17"/>
  <c r="AD35" i="17"/>
  <c r="AF34" i="17"/>
  <c r="AD34" i="17"/>
  <c r="AD33" i="17"/>
  <c r="AF33" i="17" s="1"/>
  <c r="AF32" i="17"/>
  <c r="AD32" i="17"/>
  <c r="AF31" i="17"/>
  <c r="AD31" i="17"/>
  <c r="AF30" i="17"/>
  <c r="AD30" i="17"/>
  <c r="AD29" i="17"/>
  <c r="AF29" i="17" s="1"/>
  <c r="AD28" i="17"/>
  <c r="AD27" i="17"/>
  <c r="AF27" i="17" s="1"/>
  <c r="AF26" i="17"/>
  <c r="AD26" i="17"/>
  <c r="AD25" i="17"/>
  <c r="AF25" i="17" s="1"/>
  <c r="AD24" i="17"/>
  <c r="AF24" i="17" s="1"/>
  <c r="AD23" i="17"/>
  <c r="AF23" i="17" s="1"/>
  <c r="AF22" i="17"/>
  <c r="AD22" i="17"/>
  <c r="AD21" i="17"/>
  <c r="AF21" i="17" s="1"/>
  <c r="AD20" i="17"/>
  <c r="AF20" i="17" s="1"/>
  <c r="AD19" i="17"/>
  <c r="AF19" i="17" s="1"/>
  <c r="AF18" i="17"/>
  <c r="AD18" i="17"/>
  <c r="AD17" i="17"/>
  <c r="AF17" i="17" s="1"/>
  <c r="AD16" i="17"/>
  <c r="AF16" i="17" s="1"/>
  <c r="AD15" i="17"/>
  <c r="AF15" i="17" s="1"/>
  <c r="AF14" i="17"/>
  <c r="AD14" i="17"/>
  <c r="AF28" i="17" s="1"/>
  <c r="J11" i="17"/>
  <c r="J10" i="17"/>
  <c r="J9" i="17"/>
  <c r="J8" i="17"/>
  <c r="AC7" i="17"/>
  <c r="S7" i="17"/>
  <c r="L14" i="17" s="1"/>
  <c r="J7" i="17"/>
  <c r="J6" i="17"/>
  <c r="S5" i="17"/>
  <c r="C5" i="17"/>
  <c r="S4" i="17"/>
  <c r="AA14" i="17" s="1"/>
  <c r="AA15" i="17" s="1"/>
  <c r="AA16" i="17" s="1"/>
  <c r="AA17" i="17" s="1"/>
  <c r="AA18" i="17" s="1"/>
  <c r="AA19" i="17" s="1"/>
  <c r="AA20" i="17" s="1"/>
  <c r="AA21" i="17" s="1"/>
  <c r="AA22" i="17" s="1"/>
  <c r="AA23" i="17" s="1"/>
  <c r="AA24" i="17" s="1"/>
  <c r="AA25" i="17" s="1"/>
  <c r="AA26" i="17" s="1"/>
  <c r="AA27" i="17" s="1"/>
  <c r="AA28" i="17" s="1"/>
  <c r="AA29" i="17" s="1"/>
  <c r="AA30" i="17" s="1"/>
  <c r="AA31" i="17" s="1"/>
  <c r="AA32" i="17" s="1"/>
  <c r="AA33" i="17" s="1"/>
  <c r="AA34" i="17" s="1"/>
  <c r="AA35" i="17" s="1"/>
  <c r="AA36" i="17" s="1"/>
  <c r="AA37" i="17" s="1"/>
  <c r="AA38" i="17" s="1"/>
  <c r="AA39" i="17" s="1"/>
  <c r="AA40" i="17" s="1"/>
  <c r="AA41" i="17" s="1"/>
  <c r="AA42" i="17" s="1"/>
  <c r="AA43" i="17" s="1"/>
  <c r="C4" i="17"/>
  <c r="S3" i="17"/>
  <c r="S2" i="17"/>
  <c r="R1" i="17"/>
  <c r="AG42" i="17"/>
  <c r="AG38" i="17"/>
  <c r="AG34" i="17"/>
  <c r="AG30" i="17"/>
  <c r="AG26" i="17"/>
  <c r="AG22" i="17"/>
  <c r="AG18" i="17"/>
  <c r="AG14" i="17"/>
  <c r="AK43" i="17"/>
  <c r="AK39" i="17"/>
  <c r="AK35" i="17"/>
  <c r="AK23" i="17"/>
  <c r="AI43" i="17"/>
  <c r="AI39" i="17"/>
  <c r="AI35" i="17"/>
  <c r="AI31" i="17"/>
  <c r="AI27" i="17"/>
  <c r="AI23" i="17"/>
  <c r="AI19" i="17"/>
  <c r="AI15" i="17"/>
  <c r="AG43" i="17"/>
  <c r="AG39" i="17"/>
  <c r="AG35" i="17"/>
  <c r="AG31" i="17"/>
  <c r="AG27" i="17"/>
  <c r="AG23" i="17"/>
  <c r="AG19" i="17"/>
  <c r="AG15" i="17"/>
  <c r="AK40" i="17"/>
  <c r="AK36" i="17"/>
  <c r="AK32" i="17"/>
  <c r="AK28" i="17"/>
  <c r="AK24" i="17"/>
  <c r="AK20" i="17"/>
  <c r="AK16" i="17"/>
  <c r="AK15" i="17"/>
  <c r="AI40" i="17"/>
  <c r="AI36" i="17"/>
  <c r="AI32" i="17"/>
  <c r="AI28" i="17"/>
  <c r="AI24" i="17"/>
  <c r="AI20" i="17"/>
  <c r="AI16" i="17"/>
  <c r="AK37" i="17"/>
  <c r="AK29" i="17"/>
  <c r="AK21" i="17"/>
  <c r="AK17" i="17"/>
  <c r="AI30" i="17"/>
  <c r="AI14" i="17"/>
  <c r="AG40" i="17"/>
  <c r="AG36" i="17"/>
  <c r="AG32" i="17"/>
  <c r="AG28" i="17"/>
  <c r="AG24" i="17"/>
  <c r="AG20" i="17"/>
  <c r="AG16" i="17"/>
  <c r="AK41" i="17"/>
  <c r="AK25" i="17"/>
  <c r="AB36" i="17"/>
  <c r="AB28" i="17"/>
  <c r="AI22" i="17"/>
  <c r="AK27" i="17"/>
  <c r="AK33" i="17"/>
  <c r="AI42" i="17"/>
  <c r="AB32" i="17"/>
  <c r="AB20" i="17"/>
  <c r="AB43" i="17"/>
  <c r="AI41" i="17"/>
  <c r="AB39" i="17"/>
  <c r="AI37" i="17"/>
  <c r="AB35" i="17"/>
  <c r="AI33" i="17"/>
  <c r="AI29" i="17"/>
  <c r="AB27" i="17"/>
  <c r="AI25" i="17"/>
  <c r="AB23" i="17"/>
  <c r="AI21" i="17"/>
  <c r="AI17" i="17"/>
  <c r="AB15" i="17"/>
  <c r="AI18" i="17"/>
  <c r="AG41" i="17"/>
  <c r="AG37" i="17"/>
  <c r="AG33" i="17"/>
  <c r="AG29" i="17"/>
  <c r="AG25" i="17"/>
  <c r="AG21" i="17"/>
  <c r="AG17" i="17"/>
  <c r="AB24" i="17"/>
  <c r="AK42" i="17"/>
  <c r="AB42" i="17" s="1"/>
  <c r="AK38" i="17"/>
  <c r="AK34" i="17"/>
  <c r="AK30" i="17"/>
  <c r="AB30" i="17" s="1"/>
  <c r="AK26" i="17"/>
  <c r="AK22" i="17"/>
  <c r="AB22" i="17" s="1"/>
  <c r="AK18" i="17"/>
  <c r="AB18" i="17" s="1"/>
  <c r="AK14" i="17"/>
  <c r="AB14" i="17" s="1"/>
  <c r="AI38" i="17"/>
  <c r="AB38" i="17" s="1"/>
  <c r="AI34" i="17"/>
  <c r="AB34" i="17" s="1"/>
  <c r="AI26" i="17"/>
  <c r="AB26" i="17" s="1"/>
  <c r="AK31" i="17"/>
  <c r="AB31" i="17" s="1"/>
  <c r="AK19" i="17"/>
  <c r="AB19" i="17" s="1"/>
  <c r="AB40" i="17"/>
  <c r="AB16" i="17"/>
  <c r="AB41" i="17"/>
  <c r="AB37" i="17"/>
  <c r="AB33" i="17"/>
  <c r="AB29" i="17"/>
  <c r="AB25" i="17"/>
  <c r="AB21" i="17"/>
  <c r="AB17" i="17"/>
  <c r="AC17" i="17" l="1"/>
  <c r="AC21" i="17"/>
  <c r="AC25" i="17"/>
  <c r="AC29" i="17"/>
  <c r="AC33" i="17"/>
  <c r="AC37" i="17"/>
  <c r="AC41" i="17"/>
  <c r="AC16" i="17"/>
  <c r="AC20" i="17"/>
  <c r="AC24" i="17"/>
  <c r="AC28" i="17"/>
  <c r="AC32" i="17"/>
  <c r="AC36" i="17"/>
  <c r="AC40" i="17"/>
  <c r="AC15" i="17"/>
  <c r="AC19" i="17"/>
  <c r="AC23" i="17"/>
  <c r="AC27" i="17"/>
  <c r="AC31" i="17"/>
  <c r="AC35" i="17"/>
  <c r="AC39" i="17"/>
  <c r="AC43" i="17"/>
  <c r="AC14" i="17"/>
  <c r="AC18" i="17"/>
  <c r="AC22" i="17"/>
  <c r="AC26" i="17"/>
  <c r="AC30" i="17"/>
  <c r="AC34" i="17"/>
  <c r="AC38" i="17"/>
  <c r="AC42" i="17"/>
  <c r="B2" i="17"/>
  <c r="R1" i="3"/>
  <c r="R1" i="10"/>
  <c r="H16" i="2"/>
  <c r="N6" i="17"/>
  <c r="N10" i="17"/>
  <c r="O7" i="17"/>
  <c r="O6" i="17"/>
  <c r="N11" i="17"/>
  <c r="N8" i="17"/>
  <c r="N12" i="17"/>
  <c r="O10" i="17"/>
  <c r="O9" i="17"/>
  <c r="O8" i="17"/>
  <c r="N9" i="17"/>
  <c r="O5" i="17" l="1"/>
  <c r="AE42" i="17"/>
  <c r="AE38" i="17"/>
  <c r="AE34" i="17"/>
  <c r="AE30" i="17"/>
  <c r="AE26" i="17"/>
  <c r="AE22" i="17"/>
  <c r="AE18" i="17"/>
  <c r="AE14" i="17"/>
  <c r="AE37" i="17"/>
  <c r="AE25" i="17"/>
  <c r="AE43" i="17"/>
  <c r="AE39" i="17"/>
  <c r="AE35" i="17"/>
  <c r="AE31" i="17"/>
  <c r="AE27" i="17"/>
  <c r="AE23" i="17"/>
  <c r="AE19" i="17"/>
  <c r="AE15" i="17"/>
  <c r="AE21" i="17"/>
  <c r="AE40" i="17"/>
  <c r="AE36" i="17"/>
  <c r="AE32" i="17"/>
  <c r="AE28" i="17"/>
  <c r="AE24" i="17"/>
  <c r="AE20" i="17"/>
  <c r="AE16" i="17"/>
  <c r="AE33" i="17"/>
  <c r="AE41" i="17"/>
  <c r="AE29" i="17"/>
  <c r="AE17" i="17"/>
  <c r="A1" i="9"/>
  <c r="N7" i="17"/>
  <c r="N5" i="17" l="1"/>
  <c r="V3" i="17"/>
  <c r="J2" i="2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O11" i="17"/>
  <c r="N13" i="17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I16" i="2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I33" i="2"/>
  <c r="AI33" i="11"/>
  <c r="AI31" i="11"/>
  <c r="O10" i="11"/>
  <c r="V2" i="17" l="1"/>
  <c r="AF22" i="1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I15" i="3"/>
  <c r="AG15" i="3"/>
  <c r="AK15" i="3"/>
  <c r="N12" i="3"/>
  <c r="AC15" i="3" l="1"/>
  <c r="AE15" i="3" s="1"/>
  <c r="AE14" i="3"/>
  <c r="AA16" i="3"/>
  <c r="B2" i="3"/>
  <c r="C5" i="3"/>
  <c r="C4" i="3"/>
  <c r="AB15" i="3"/>
  <c r="AI16" i="3"/>
  <c r="N6" i="3"/>
  <c r="AK16" i="3"/>
  <c r="AG1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B17" i="3"/>
  <c r="AK18" i="3"/>
  <c r="AG18" i="3"/>
  <c r="AC18" i="3" l="1"/>
  <c r="AA19" i="3"/>
  <c r="AE17" i="3"/>
  <c r="B2" i="2"/>
  <c r="B4" i="2"/>
  <c r="AI19" i="3"/>
  <c r="AB18" i="3"/>
  <c r="AK19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G21" i="3"/>
  <c r="AB20" i="3"/>
  <c r="AK21" i="3"/>
  <c r="AI21" i="3"/>
  <c r="AC21" i="3" l="1"/>
  <c r="AA22" i="3"/>
  <c r="AB21" i="3"/>
  <c r="AK22" i="3"/>
  <c r="AI22" i="3"/>
  <c r="AG22" i="3"/>
  <c r="AC22" i="3" l="1"/>
  <c r="AE22" i="3" s="1"/>
  <c r="AA23" i="3"/>
  <c r="AE21" i="3"/>
  <c r="AK23" i="3"/>
  <c r="AI23" i="3"/>
  <c r="AB22" i="3"/>
  <c r="AG23" i="3"/>
  <c r="AC23" i="3" l="1"/>
  <c r="AA24" i="3"/>
  <c r="AK24" i="3"/>
  <c r="AB23" i="3"/>
  <c r="AI24" i="3"/>
  <c r="AG24" i="3"/>
  <c r="AC24" i="3" l="1"/>
  <c r="AE23" i="3"/>
  <c r="AA25" i="3"/>
  <c r="AG25" i="3"/>
  <c r="AB24" i="3"/>
  <c r="AI25" i="3"/>
  <c r="AK25" i="3"/>
  <c r="AC25" i="3" l="1"/>
  <c r="AA26" i="3"/>
  <c r="AE24" i="3"/>
  <c r="AB25" i="3"/>
  <c r="AG26" i="3"/>
  <c r="AI26" i="3"/>
  <c r="AK26" i="3"/>
  <c r="AC26" i="3" l="1"/>
  <c r="AA27" i="3"/>
  <c r="AE25" i="3"/>
  <c r="AI27" i="3"/>
  <c r="AB26" i="3"/>
  <c r="AG27" i="3"/>
  <c r="AK27" i="3"/>
  <c r="AC27" i="3" l="1"/>
  <c r="AA28" i="3"/>
  <c r="AE26" i="3"/>
  <c r="AI28" i="3"/>
  <c r="AB27" i="3"/>
  <c r="AK28" i="3"/>
  <c r="AG28" i="3"/>
  <c r="AC28" i="3" l="1"/>
  <c r="AA29" i="3"/>
  <c r="AE27" i="3"/>
  <c r="AI29" i="3"/>
  <c r="AB28" i="3"/>
  <c r="AK29" i="3"/>
  <c r="AG29" i="3"/>
  <c r="AC29" i="3" l="1"/>
  <c r="AA30" i="3"/>
  <c r="AE28" i="3"/>
  <c r="AI30" i="3"/>
  <c r="AG30" i="3"/>
  <c r="AB29" i="3"/>
  <c r="AK30" i="3"/>
  <c r="AC30" i="3" l="1"/>
  <c r="AA31" i="3"/>
  <c r="AE29" i="3"/>
  <c r="AB30" i="3"/>
  <c r="AK31" i="3"/>
  <c r="AG31" i="3"/>
  <c r="AI31" i="3"/>
  <c r="AC31" i="3" l="1"/>
  <c r="AA32" i="3"/>
  <c r="AE30" i="3"/>
  <c r="AK32" i="3"/>
  <c r="AI32" i="3"/>
  <c r="AG32" i="3"/>
  <c r="AB31" i="3"/>
  <c r="AC32" i="3" l="1"/>
  <c r="AA33" i="3"/>
  <c r="AE31" i="3"/>
  <c r="AI33" i="3"/>
  <c r="AB32" i="3"/>
  <c r="AG33" i="3"/>
  <c r="AK33" i="3"/>
  <c r="AC33" i="3" l="1"/>
  <c r="AA34" i="3"/>
  <c r="AE32" i="3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C76BA93A-A35E-48B6-A122-88EF1F8136D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4768587-BFFC-4C2F-8F8D-3BFCEB309C93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<sst xmlns="http://schemas.openxmlformats.org/spreadsheetml/2006/main" count="579" uniqueCount="161">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</sst>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1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10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NumberFormat="1"/>
    <xf numFmtId="0" fontId="21" fillId="0" borderId="0" xfId="3" applyAlignment="1">
      <alignment horizontal="right"/>
    </xf>
    <xf numFmtId="10" fontId="9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46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67C241-C697-428C-AD43-36DC4ADA9B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470AE7-17ED-4F68-BA68-22875806C5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110E4C-1403-4A5B-A481-C69FFDE51E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BD214D-FE07-4209-848D-C9912D8062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687544-0425-4431-B54B-4BB7AF19C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AABEE2-C730-4AF8-9285-1E70A2219E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DC7CCF-831C-410A-B1EA-D9932B16A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9BC462-7799-4697-A799-31248C7B1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40E7FA-7929-42E7-9533-D9CB63454C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27F06D-95E2-4B67-942D-14B9A12F46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CA6557-CAF9-47BF-A62E-8B19F8167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F5E6E4-0569-4B7F-BF39-075DF88ADD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1A4FE9-67D7-4407-81F1-9660E4055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4C0996-ED55-4AF7-B99C-56F50DE07A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29E1D6-B0F5-427B-9C77-7D1882E6F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79F59B-BB32-4E18-B8BB-F7E251E201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4AEA8D-C23E-44B0-87B8-7543439422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E72E40-A88C-416D-BBEC-B5C726BE7C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9BEF2A-81F5-4225-92C5-D81617F8C8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4B6849-8423-4CF1-9CE7-7C8348819B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8954BA-E9E6-40D7-9B11-17C8F6FA8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E99CCD-53A7-4DB2-80A6-22707CD9AF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9085A5-BD51-49F4-9C18-ABD7FED158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878A57-DC5F-48CB-8AD7-EEF1E6BFC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974738-96EC-4BD4-AC3A-57DB8B3441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1DCB26-958D-4972-82A5-16E931081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D9BD90-29F9-4FEF-A93C-13C9E0CE8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B6B7F8-F258-48A4-B159-5E01AEE7B9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125DFF0-694C-433A-B81D-E9FE1FED17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CFB282-E481-4DDB-95AB-ED81F86D49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B569A6-CB94-4E26-97AB-96EBCC4A8A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FC26F5-DD06-4E80-A520-B76EE2D428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681D70-07B1-4321-AC0D-9DE872DE1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1B2E6B-0EBF-4A8C-8842-9D725CE7BD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2B910B-832C-4A1E-9C96-581A024417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5E3CA1-BC6D-4E21-B530-0EABB3DC78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BD8AAF-B114-475D-A0DE-746906E75C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194D50-1EE0-4369-9EF2-3BC71641F9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A6F0B5-B470-449E-A3B9-39AAAA9D0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EA80D2-0504-4490-BAB9-990747780F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8D5084-139E-4CC5-83FA-924A114A3E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13A67A-BDF9-4E52-A0D1-6BEE178097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678E33-A12F-4D46-A3A2-F2DC602D8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01B092-E7B5-4416-A85B-02BA642812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1ED7E3-B9AD-4769-B8AD-B3AB26A76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8486D9-743E-4419-9518-120C227712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A074BF-AFC8-4778-9532-7BB8995FDD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5EE1AA-B2A4-4B27-BC1D-A7BD69BFD2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533269-383D-412E-ADC7-F6915012E1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C83EEF-6C13-4551-B0C1-909920483C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01E250-90D9-4D43-B804-8631C42C2E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B9AA5E-781D-425C-BB94-1C5318448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6D6CFB-6146-45B6-9412-06BCDA71FE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6D871C-E87C-45AD-84E3-BA3CD8F9D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53FB0C-CAB9-4E47-8C67-AEC3510C82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6D227B-21BD-453E-BA04-004191459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D4E1CF-A274-4D70-82D0-BDC6B5F5FB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B8C450-16A6-411B-BF0C-F80C2D6FC9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9B2E0C-09E6-44C9-B128-131B554D76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A007B0-595E-4761-9776-E05581E45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4A9C55-2E91-4E14-8954-23A18EB20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3B0760-9978-41A7-96A3-C3983DEDF1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43D26D2-108B-41E9-9BB6-B0F727A690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A15689-32FB-47C0-9A62-69B2AC45D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FD035F-1B17-4170-9696-348BF43EBA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A02E81-99D5-4830-88C0-2B8AE217F0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8D7BC2-F00E-494E-B071-9826BAF4E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7FA327-8E72-4C84-B7AB-44871431A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96130E-18D7-45BC-AABE-82ED1E858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0B9D82-A2E0-471C-9260-88F95848A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F189AC-5FE2-4CC4-8573-9865F29362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CC76D2-FBFE-40C5-B30B-D2F2A5E84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3DA273-6D52-4BC1-B8D1-90234E435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92B716-0442-4E5F-9916-860EB96366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7A8EA9-F00E-4E3A-864E-CA9F54BF2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506DD7-3521-4D78-9806-8711F2BB1D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E17567-D828-4209-9255-281F101AAD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42E0E0-DAD1-4402-B988-18A696BEE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D13D62-6D79-41B7-A5DD-EA2528F99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1E97A2-2E49-40F4-B019-E15BDEB55B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4B5279-84FF-4FD6-B1DE-B924DA828F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E72ADA-3A9D-4D6B-9AB4-E8D418DB04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F1C836-0707-47A4-96E5-E31968043E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25D90C-A19D-473B-BC90-09A8F5BCA1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339F80-62E8-4D75-A7EC-4D0B1FCAA7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9AA09C-C5C2-4F27-A5FD-07A804FF54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1DD70B-D799-4509-BEF8-3FA045024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05DE50-D199-41EF-A708-9EFFFE164D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3F8088-D23B-4DFC-99CE-7F6203A7FE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AC8131-FFC2-4525-A9B8-188919D68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74C504-E00F-463E-B78E-A2C44F573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9D649D-AFBA-4984-85B4-FAA9585F68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'0401'!$AC$13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251316-0EF1-40D6-9BD7-DDE936E77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71-4C99-AB35-00DD4D6C51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B84FD4-C04B-47DF-9BB9-228707EAA4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71-4C99-AB35-00DD4D6C51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FBEBF0-13E3-4E7F-A2A5-2F469EE3D5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71-4C99-AB35-00DD4D6C51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AD560C-EF85-4899-A721-58B511A7F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71-4C99-AB35-00DD4D6C51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4F7A04-CF34-43F2-931C-032BD76945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71-4C99-AB35-00DD4D6C51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D9B809-6416-4EE5-B9CB-06DB7BC301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71-4C99-AB35-00DD4D6C51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5B7F38-1CB8-48C0-8EBF-67EF5EA9E4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71-4C99-AB35-00DD4D6C51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A26EC2-BD15-43D0-9AE2-F8BEFC5798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71-4C99-AB35-00DD4D6C51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7BDA92-1955-4535-902A-4340320BEC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71-4C99-AB35-00DD4D6C51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F6B317-B243-4B75-90E3-19AA550A5E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71-4C99-AB35-00DD4D6C51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2A6E35-CE04-4D84-B449-54C5981089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71-4C99-AB35-00DD4D6C51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D185B6-8EA9-44B8-829C-BA17FED14B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71-4C99-AB35-00DD4D6C51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3060A0-F537-47DC-B1F3-4C91AD104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71-4C99-AB35-00DD4D6C51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8CA35F-612C-4EC4-80B1-44C68922C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71-4C99-AB35-00DD4D6C51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70320D-134A-4CDC-A089-66BEBE02CC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71-4C99-AB35-00DD4D6C51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D0E30F-7AB4-43B8-996C-0BD4970C4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71-4C99-AB35-00DD4D6C51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20E41C-F953-45B3-89D1-6EE1F00CEF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71-4C99-AB35-00DD4D6C51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1CD33A-3BDA-40B5-A965-B2DC176E38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71-4C99-AB35-00DD4D6C51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E1A0CA-D52A-4B52-8E81-F65A00B1AF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71-4C99-AB35-00DD4D6C51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E46EDA-15F1-46B1-8ED8-AEE28E3366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71-4C99-AB35-00DD4D6C51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A98049-EA12-45BF-9287-5C8D354F9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71-4C99-AB35-00DD4D6C51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9B7B86-D8D9-4FC9-8DF4-005E2DBF7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71-4C99-AB35-00DD4D6C51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D21323-61AD-40FA-85CF-5FF137819D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71-4C99-AB35-00DD4D6C51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61A673-4E0B-4CDB-A8F6-16D31649CA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71-4C99-AB35-00DD4D6C51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B71E63-636F-4180-99F5-C029D4890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71-4C99-AB35-00DD4D6C51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80C4C8-B561-40D8-BEB2-35F3DF3FD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71-4C99-AB35-00DD4D6C51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F95572-8097-4A49-801B-E8D3E36278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71-4C99-AB35-00DD4D6C51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C35285-5348-45E3-B7F9-B8FAFF918D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71-4C99-AB35-00DD4D6C51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A3E981-6899-427C-A01C-E37CCA4E6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71-4C99-AB35-00DD4D6C51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E68270-E791-4065-A586-46583DD62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71-4C99-AB35-00DD4D6C51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D71-4C99-AB35-00DD4D6C5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'0401'!$AB$14:$AB$44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7D71-4C99-AB35-00DD4D6C51D0}"/>
            </c:ext>
          </c:extLst>
        </c:ser>
        <c:ser>
          <c:idx val="1"/>
          <c:order val="1"/>
          <c:tx>
            <c:strRef>
              <c:f>'0401'!$AD$13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D71-4C99-AB35-00DD4D6C51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'0401'!$AE$13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D71-4C99-AB35-00DD4D6C51D0}"/>
            </c:ext>
          </c:extLst>
        </c:ser>
        <c:ser>
          <c:idx val="3"/>
          <c:order val="3"/>
          <c:tx>
            <c:strRef>
              <c:f>'0401'!$AF$13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'0401'!$AA$14:$AA$44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'0401'!$AF$14:$AF$44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D71-4C99-AB35-00DD4D6C51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'0401'!$N$5:$O$5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FB-4A55-893D-F7A208DDF176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6FB-4A55-893D-F7A208DDF1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'0401'!$V$2:$V$3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FB-4A55-893D-F7A208DDF1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6912</xdr:colOff>
      <xdr:row>3</xdr:row>
      <xdr:rowOff>11355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4A8725-AD7F-4012-B019-C3967E2B2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11847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9F0404-F5A9-4265-A47E-730D45528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C915FE-6A29-4333-87DC-A4195EE81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70020D21-782D-4A56-AD8C-361B5889D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98A50948-C92F-4063-845C-32B0D263D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9B246C88-860D-46D0-AF2E-A8A9A4DAA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7605B8A5-8420-4BB2-A6C5-539E2D994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7DC673C7-92E1-415D-9FDB-6A872B8C0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BD38290F-9E8A-4A5D-829F-B7EAA9952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6D73A735-5A13-4EAD-B92B-2F3BCEC81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45" dataDxfId="144">
  <autoFilter ref="R13:X16" xr:uid="{FF2C9E8B-1A62-479C-AF68-79B236C0B7BB}"/>
  <tableColumns count="7">
    <tableColumn id="1" xr3:uid="{727C6146-39EA-4E15-8783-53CAA87FAF36}" name="Zone ID" dataDxfId="143"/>
    <tableColumn id="2" xr3:uid="{2CA65110-6DD7-46D8-BFC2-5EB0C0E57567}" name="Description" dataDxfId="142"/>
    <tableColumn id="3" xr3:uid="{12D64F80-6A69-494F-BF8F-E326D34A185A}" name="Short Description" dataDxfId="141"/>
    <tableColumn id="4" xr3:uid="{71F3F5B2-8F6B-4985-B1FC-5A9D60095474}" name="Start Date" dataDxfId="140"/>
    <tableColumn id="5" xr3:uid="{57258378-8FED-4727-89AC-D938CB414B7B}" name="Finish Date" dataDxfId="139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8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37">
      <calculatedColumnFormula>IF(AA13 = "Date", $S$4, AA13+7)</calculatedColumnFormula>
    </tableColumn>
    <tableColumn id="6" xr3:uid="{5740AC03-CF53-4345-8667-6AC0CA6843D0}" name="Primary Areas" dataDxfId="136">
      <calculatedColumnFormula>PrimaryAreas(3)</calculatedColumnFormula>
    </tableColumn>
    <tableColumn id="2" xr3:uid="{AF232D3D-EC3F-4232-BA5D-1427173C2D6A}" name="Weekly Plan" dataDxfId="135">
      <calculatedColumnFormula xml:space="preserve"> IF(#REF!="", 0,#REF!)+ IF(#REF!="", 0,#REF!)+ IF(#REF!="", 0,#REF!)</calculatedColumnFormula>
    </tableColumn>
    <tableColumn id="3" xr3:uid="{B28103F6-7596-4848-9F0D-3E4A9E5CBEFE}" name="Weekly Actual" dataDxfId="134">
      <calculatedColumnFormula>IF(AND(ISBLANK(#REF!),ISBLANK(#REF!),ISBLANK(#REF!)),"",#REF! +#REF!+#REF!)</calculatedColumnFormula>
    </tableColumn>
    <tableColumn id="4" xr3:uid="{EF1C6009-71E6-491B-B64F-04049D2D9103}" name="Accumulated Plan" dataDxfId="133">
      <calculatedColumnFormula>SUM($AC$14:AC14)</calculatedColumnFormula>
    </tableColumn>
    <tableColumn id="5" xr3:uid="{442DAB73-1233-4C61-8DE9-3B44CE2C5D69}" name="Accumulated Actual" dataDxfId="132">
      <calculatedColumnFormula>IF(AD14="",NA(),SUM($AD$14:AD14))</calculatedColumnFormula>
    </tableColumn>
    <tableColumn id="43" xr3:uid="{CE31DBAF-57B0-4D4D-852A-B07516A73A41}" name="WP_A1" dataDxfId="131">
      <calculatedColumnFormula>WeeklyPlanned(Output_Template[[#Headers],[WP_A1]], Output_Template[[#This Row],[Date]])</calculatedColumnFormula>
    </tableColumn>
    <tableColumn id="44" xr3:uid="{A0857F89-2BC6-42D6-B02F-90D9272451CA}" name="WA_A1" dataDxfId="130"/>
    <tableColumn id="45" xr3:uid="{2A74D439-B21B-40DD-BB55-7D2C2B18629E}" name="WP_A2" dataDxfId="129">
      <calculatedColumnFormula>WeeklyPlanned(Output_Template[[#Headers],[WP_A2]], Output_Template[[#This Row],[Date]])</calculatedColumnFormula>
    </tableColumn>
    <tableColumn id="46" xr3:uid="{670DB326-434A-466C-9E3C-6A8FE180F21F}" name="WA_A2" dataDxfId="128"/>
    <tableColumn id="47" xr3:uid="{B6798EC6-DE2D-49BB-961E-220FED1F6F10}" name="WP_A3" dataDxfId="127">
      <calculatedColumnFormula>WeeklyPlanned(Output_Template[[#Headers],[WP_A3]], Output_Template[[#This Row],[Date]])</calculatedColumnFormula>
    </tableColumn>
    <tableColumn id="48" xr3:uid="{B2CB6DA2-6E53-4BAC-881B-229E451DFCE0}" name="WA_A3" dataDxfId="12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25">
  <autoFilter ref="H2:H5" xr:uid="{1041DC80-58D6-4308-9DE1-A4EC8AAD3C20}"/>
  <tableColumns count="1">
    <tableColumn id="1" xr3:uid="{0E6D3E77-7CB7-40A1-BCA6-DDC8164AAEB9}" name="Holidays" dataDxfId="124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123" dataDxfId="122">
  <autoFilter ref="R13:X21" xr:uid="{FF2C9E8B-1A62-479C-AF68-79B236C0B7BB}"/>
  <tableColumns count="7">
    <tableColumn id="1" xr3:uid="{9FED2BA1-A1A7-4513-A20F-F09DB113155D}" name="Zone ID" dataDxfId="121"/>
    <tableColumn id="2" xr3:uid="{8B67A205-5329-400B-84DC-CB06A032CF16}" name="Description" dataDxfId="120"/>
    <tableColumn id="3" xr3:uid="{2253D560-C30C-43DE-ABAB-BFAFD145DF40}" name="Short Description" dataDxfId="119"/>
    <tableColumn id="4" xr3:uid="{09E57ADB-1BEB-4CFB-B160-A9C7ADA56DE0}" name="Start Date" dataDxfId="118"/>
    <tableColumn id="5" xr3:uid="{B704EAFC-B4AE-45F3-A5AC-5189060C6D42}" name="Finish Date" dataDxfId="117"/>
    <tableColumn id="6" xr3:uid="{FAFABCDE-D7F7-45A9-83E7-80ADC6F01B0B}" name="Total" dataDxfId="116" dataCellStyle="Normal"/>
    <tableColumn id="7" xr3:uid="{F8D69A8D-7550-4939-9D63-599172BCFFFD}" name="Completed Total" dataDxfId="115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114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113">
      <calculatedColumnFormula>IF(AA13 = "Date", $S$4, AA13+7)</calculatedColumnFormula>
    </tableColumn>
    <tableColumn id="6" xr3:uid="{DE271CBB-C0FC-482D-929A-C21AEFAC32E4}" name="Primary Areas" dataDxfId="112">
      <calculatedColumnFormula>PrimaryAreas(8)</calculatedColumnFormula>
    </tableColumn>
    <tableColumn id="2" xr3:uid="{71EE47CC-75E0-49E1-B527-E1364059B0A6}" name="Weekly Plan" dataDxfId="111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10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09">
      <calculatedColumnFormula>SUM($AC$14:AC14)</calculatedColumnFormula>
    </tableColumn>
    <tableColumn id="5" xr3:uid="{CB7FAB5B-BEAB-4D4A-BD18-57DE0B5DE266}" name="Accumulated Actual" dataDxfId="108">
      <calculatedColumnFormula>IF(AD14="",NA(),SUM($AD$14:AD14))</calculatedColumnFormula>
    </tableColumn>
    <tableColumn id="7" xr3:uid="{2A1CBA5C-29D6-4EB1-8BAA-AF2C064B4A02}" name="WP_ABC" dataDxfId="107">
      <calculatedColumnFormula>WeeklyPlanned(Output_0501[[#Headers],[WP_ABC]], Output_0501[[#This Row],[Date]])</calculatedColumnFormula>
    </tableColumn>
    <tableColumn id="8" xr3:uid="{04DC9374-2B37-4BF5-AA39-F11FC0149281}" name="WA_ABC" dataDxfId="106"/>
    <tableColumn id="9" xr3:uid="{4F88CC2C-A480-4C5B-BA01-24B210AB447A}" name="WP_ACS" dataDxfId="105">
      <calculatedColumnFormula>WeeklyPlanned(Output_0501[[#Headers],[WP_ACS]], Output_0501[[#This Row],[Date]])</calculatedColumnFormula>
    </tableColumn>
    <tableColumn id="10" xr3:uid="{48C24C77-4D2B-435F-BBC2-FAD4AD540AB6}" name="WA_ACS" dataDxfId="104"/>
    <tableColumn id="11" xr3:uid="{75D5C587-305D-4077-9FAA-C79F65923E57}" name="WP_AL1" dataDxfId="103">
      <calculatedColumnFormula>WeeklyPlanned(Output_0501[[#Headers],[WP_AL1]], Output_0501[[#This Row],[Date]])</calculatedColumnFormula>
    </tableColumn>
    <tableColumn id="12" xr3:uid="{8077796C-E6FC-4EE3-89F7-798709387F7F}" name="WA_AL1" dataDxfId="102"/>
    <tableColumn id="13" xr3:uid="{792F3323-B0E8-4776-9689-FD45E57B619D}" name="WP_HBase" dataDxfId="101">
      <calculatedColumnFormula>WeeklyPlanned(Output_0501[[#Headers],[WP_HBase]], Output_0501[[#This Row],[Date]])</calculatedColumnFormula>
    </tableColumn>
    <tableColumn id="14" xr3:uid="{9E7E74B1-B432-4576-8F57-2DCED559C004}" name="WA_HBase" dataDxfId="100"/>
    <tableColumn id="15" xr3:uid="{6C8A9406-B3E7-4378-8961-19DE99A823B8}" name="WP_HWST" dataDxfId="99">
      <calculatedColumnFormula>WeeklyPlanned(Output_0501[[#Headers],[WP_HWST]], Output_0501[[#This Row],[Date]])</calculatedColumnFormula>
    </tableColumn>
    <tableColumn id="16" xr3:uid="{85632008-1A06-41BF-96BF-DF4F2942C8E3}" name="WA_HWST" dataDxfId="98"/>
    <tableColumn id="17" xr3:uid="{4ED0746A-56E1-4B9A-8D82-621AD6A805EE}" name="WP_HWSR" dataDxfId="97">
      <calculatedColumnFormula>WeeklyPlanned(Output_0501[[#Headers],[WP_HWSR]], Output_0501[[#This Row],[Date]])</calculatedColumnFormula>
    </tableColumn>
    <tableColumn id="18" xr3:uid="{616A2447-10D3-4C5E-BE98-C8594A351722}" name="WA_HWSR" dataDxfId="96"/>
    <tableColumn id="19" xr3:uid="{13711C20-54F0-41FE-93CC-92DB5745C53C}" name="WP_HL2" dataDxfId="95">
      <calculatedColumnFormula>WeeklyPlanned(Output_0501[[#Headers],[WP_HL2]], Output_0501[[#This Row],[Date]])</calculatedColumnFormula>
    </tableColumn>
    <tableColumn id="20" xr3:uid="{AE155A80-4969-4902-8DAF-8DC808584420}" name="WA_HL2" dataDxfId="94"/>
    <tableColumn id="21" xr3:uid="{186F9C43-2DF5-47B7-A779-6A42D4C3454E}" name="WP_HBCeil" dataDxfId="93">
      <calculatedColumnFormula>WeeklyPlanned(Output_0501[[#Headers],[WP_HBCeil]], Output_0501[[#This Row],[Date]])</calculatedColumnFormula>
    </tableColumn>
    <tableColumn id="22" xr3:uid="{7F8ADB3E-C083-4C51-8B5A-9EACC6ABF4A0}" name="WA_HBCeil" dataDxfId="9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91" dataDxfId="90">
  <autoFilter ref="R13:X16" xr:uid="{FF2C9E8B-1A62-479C-AF68-79B236C0B7BB}"/>
  <tableColumns count="7">
    <tableColumn id="1" xr3:uid="{98B6CEFA-F45C-41F6-AA4B-12A3C8376FF3}" name="Zone ID" dataDxfId="89"/>
    <tableColumn id="2" xr3:uid="{0EED481C-6B7F-45EA-96EB-621E9C83F3F6}" name="Description" dataDxfId="88"/>
    <tableColumn id="3" xr3:uid="{92B65829-37BF-4514-B7D6-292B5B8F0C44}" name="Short Description" dataDxfId="87"/>
    <tableColumn id="4" xr3:uid="{80A86D55-7D1D-4DFA-811D-6869E0913B53}" name="Start Date" dataDxfId="86"/>
    <tableColumn id="5" xr3:uid="{93521AA3-7D74-4D93-B395-07061FC7E0C3}" name="Finish Date" dataDxfId="85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8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83">
      <calculatedColumnFormula>IF(AA13 = "Date", $S$4, AA13+7)</calculatedColumnFormula>
    </tableColumn>
    <tableColumn id="6" xr3:uid="{AB52DC66-705D-403C-9556-5F09775CDBB4}" name="Primary Areas" dataDxfId="82">
      <calculatedColumnFormula>PrimaryAreas(3)</calculatedColumnFormula>
    </tableColumn>
    <tableColumn id="2" xr3:uid="{B199DE9E-07BB-4F6F-BF0F-FD9612C1E4A1}" name="Weekly Plan" dataDxfId="81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0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9">
      <calculatedColumnFormula>SUM($AC$14:AC14)</calculatedColumnFormula>
    </tableColumn>
    <tableColumn id="5" xr3:uid="{651F866A-913C-41F0-96AF-A1AE2AFF845B}" name="Accumulated Actual" dataDxfId="78">
      <calculatedColumnFormula>IF(AD14="",NA(),SUM($AD$14:AD14))</calculatedColumnFormula>
    </tableColumn>
    <tableColumn id="43" xr3:uid="{32BBBBE6-824B-424A-A817-1078C82774BD}" name="WP_A1" dataDxfId="77">
      <calculatedColumnFormula>WeeklyPlanned(Output_0001[[#Headers],[WP_A1]], Output_0001[[#This Row],[Date]])</calculatedColumnFormula>
    </tableColumn>
    <tableColumn id="44" xr3:uid="{2E76C9D7-DBC3-40AA-B2D2-F2A8133ADEDC}" name="WA_A1" dataDxfId="76"/>
    <tableColumn id="45" xr3:uid="{8349A05E-AB3B-4D38-86D5-C3757AF0C549}" name="WP_A2" dataDxfId="75">
      <calculatedColumnFormula>WeeklyPlanned(Output_0001[[#Headers],[WP_A2]], Output_0001[[#This Row],[Date]])</calculatedColumnFormula>
    </tableColumn>
    <tableColumn id="46" xr3:uid="{98829D33-590E-463C-A7AE-DB10CF64BCCB}" name="WA_A2" dataDxfId="74"/>
    <tableColumn id="47" xr3:uid="{0C2A1C55-569B-4688-8BB0-54DD665AAD32}" name="WP_A3" dataDxfId="73">
      <calculatedColumnFormula>WeeklyPlanned(Output_0001[[#Headers],[WP_A3]], Output_0001[[#This Row],[Date]])</calculatedColumnFormula>
    </tableColumn>
    <tableColumn id="48" xr3:uid="{5EA3C838-64EE-4DF3-8DFE-BE9B5AC605F5}" name="WA_A3" dataDxfId="72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A2421F3-FB18-4C5F-BB36-11F9AB0EDF55}" name="Input_0401" displayName="Input_0401" ref="R13:X16" totalsRowShown="0" headerRowDxfId="71" dataDxfId="70">
  <autoFilter ref="R13:X16" xr:uid="{FF2C9E8B-1A62-479C-AF68-79B236C0B7BB}"/>
  <tableColumns count="7">
    <tableColumn id="1" xr3:uid="{11A3DCBB-4AD9-4D95-9F47-FC3A384B8A51}" name="Zone ID" dataDxfId="69"/>
    <tableColumn id="2" xr3:uid="{C775639B-C16D-4CFB-88AC-5A1FC7216CE0}" name="Description" dataDxfId="68"/>
    <tableColumn id="3" xr3:uid="{10D3381A-2A59-4C2A-842C-74D552DE7429}" name="Short Description" dataDxfId="67"/>
    <tableColumn id="4" xr3:uid="{25459723-D085-4C2B-8A4C-F4615E07C739}" name="Start Date" dataDxfId="66"/>
    <tableColumn id="5" xr3:uid="{6C60C310-DED0-4779-9F52-615392DBF5DD}" name="Finish Date" dataDxfId="65"/>
    <tableColumn id="6" xr3:uid="{4A6EE999-0133-4E9A-9383-A18B0DE5C7CA}" name="Total" dataCellStyle="Normal"/>
    <tableColumn id="7" xr3:uid="{99509FE5-DA78-462E-B4E2-9C933BD372C6}" name="Completed Total" dataCellStyle="Normal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6340750-8F9D-4F1B-88E4-808515504910}" name="Output_0401" displayName="Output_0401" ref="AA13:AL43" totalsRowShown="0" headerRowDxfId="6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877D5E5-C1BC-4FDB-8260-82F4FAE58078}" name="Date" dataDxfId="63">
      <calculatedColumnFormula>IF(AA13 = "Date", $S$4, AA13+7)</calculatedColumnFormula>
    </tableColumn>
    <tableColumn id="6" xr3:uid="{7DC90E73-6425-4FBA-8E4E-5303C55D08D6}" name="Primary Areas" dataDxfId="62">
      <calculatedColumnFormula>PrimaryAreas(3)</calculatedColumnFormula>
    </tableColumn>
    <tableColumn id="2" xr3:uid="{C4B3E048-AC91-47B9-BD35-BC0AECD34F35}" name="Weekly Plan" dataDxfId="61">
      <calculatedColumnFormula>IF(Output_0401[[#This Row],[WP_A1]]="", 0, Output_0401[[#This Row],[WP_A1]])+IF(Output_0401[[#This Row],[WP_A2]]="", 0, Output_0401[[#This Row],[WP_A2]])+IF(Output_0401[[#This Row],[WP_A3]]="", 0, Output_0401[[#This Row],[WP_A3]])</calculatedColumnFormula>
    </tableColumn>
    <tableColumn id="3" xr3:uid="{7B324020-7E74-40BF-AAE9-811BBD34E7BE}" name="Weekly Actual" dataDxfId="60">
      <calculatedColumnFormula>IF(AND(ISBLANK(Output_0401[[#This Row],[WA_A1]]),ISBLANK(Output_0401[[#This Row],[WA_A2]]),ISBLANK(Output_0401[[#This Row],[WA_A3]])),"", Output_0401[[#This Row],[WA_A1]]+Output_0401[[#This Row],[WA_A2]]+Output_0401[[#This Row],[WA_A3]])</calculatedColumnFormula>
    </tableColumn>
    <tableColumn id="4" xr3:uid="{04701AD1-E1C4-44E4-84D2-D56DC563FC82}" name="Accumulated Plan" dataDxfId="59">
      <calculatedColumnFormula>SUM($AC$14:AC14)</calculatedColumnFormula>
    </tableColumn>
    <tableColumn id="5" xr3:uid="{41AF8DC1-0471-40C7-BADD-583993ED2D1C}" name="Accumulated Actual" dataDxfId="58">
      <calculatedColumnFormula>IF(AD14="",NA(),SUM($AD$14:AD14))</calculatedColumnFormula>
    </tableColumn>
    <tableColumn id="43" xr3:uid="{4A6AB1CF-9FDC-4390-B8ED-BF33A5792CE0}" name="WP_A1" dataDxfId="57">
      <calculatedColumnFormula>WeeklyPlanned(Output_0401[[#Headers],[WP_A1]], Output_0401[[#This Row],[Date]])</calculatedColumnFormula>
    </tableColumn>
    <tableColumn id="44" xr3:uid="{696C8E0A-0396-4283-A82F-39142300CCB8}" name="WA_A1" dataDxfId="56"/>
    <tableColumn id="45" xr3:uid="{CC4D6215-65B2-4143-BF2B-5056507C5DF8}" name="WP_A2" dataDxfId="55">
      <calculatedColumnFormula>WeeklyPlanned(Output_0401[[#Headers],[WP_A2]], Output_0401[[#This Row],[Date]])</calculatedColumnFormula>
    </tableColumn>
    <tableColumn id="46" xr3:uid="{6BD940D6-A694-4986-BCBA-EB02EF06A54F}" name="WA_A2" dataDxfId="54"/>
    <tableColumn id="47" xr3:uid="{E5600800-50E5-4ACC-A256-F034A23FB5E2}" name="WP_A3" dataDxfId="53">
      <calculatedColumnFormula>WeeklyPlanned(Output_0401[[#Headers],[WP_A3]], Output_0401[[#This Row],[Date]])</calculatedColumnFormula>
    </tableColumn>
    <tableColumn id="48" xr3:uid="{97A1C993-F2D3-4FB2-A089-8DE8CE54547A}" name="WA_A3" dataDxfId="5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8.xml"/><Relationship Id="rId12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str">
        <f>Main!C33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str">
        <f>RIGHT(Main!B33, LEN(Main!B33)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155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1" t="s">
        <v>46</v>
      </c>
      <c r="K13" s="81"/>
      <c r="L13" s="81"/>
      <c r="M13" s="81"/>
      <c r="N13" s="8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51" priority="10">
      <formula>ISERROR(AF14)</formula>
    </cfRule>
  </conditionalFormatting>
  <conditionalFormatting sqref="W13:X13">
    <cfRule type="expression" dxfId="50" priority="8">
      <formula>IF(OR($S$8 = "Assemble Addin", $S$8 = "Bluebeam QL"), TRUE, FALSE)</formula>
    </cfRule>
  </conditionalFormatting>
  <conditionalFormatting sqref="N6:O6">
    <cfRule type="expression" dxfId="49" priority="7">
      <formula>IF($N$6=$O$6, FALSE, TRUE)</formula>
    </cfRule>
  </conditionalFormatting>
  <conditionalFormatting sqref="W14:X16">
    <cfRule type="expression" dxfId="48" priority="5">
      <formula>IF(OR($S$8 = "Assemble Addin", $S$8 = "Bluebeam QL"), TRUE, FALSE)</formula>
    </cfRule>
    <cfRule type="expression" dxfId="47" priority="6">
      <formula>IF(OR($S$8 = "Assemble Addin", $S$8 = "Bluebeam QL"), MOD(ROW(), 2)=0, FALSE)</formula>
    </cfRule>
  </conditionalFormatting>
  <conditionalFormatting sqref="R13">
    <cfRule type="expression" dxfId="46" priority="2">
      <formula>IF($S$8 = "Assemble Addin", TRUE, FALSE)</formula>
    </cfRule>
  </conditionalFormatting>
  <conditionalFormatting sqref="R14:R16">
    <cfRule type="expression" dxfId="45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0" t="str">
        <f>UPPER("Structural Steel 07/01/2020")</f>
        <v>STRUCTURAL STEEL 07/01/2020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4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4" spans="1:14" x14ac:dyDescent="0.35">
      <c r="A34" s="101" t="s">
        <v>116</v>
      </c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3" t="s">
        <v>5</v>
      </c>
      <c r="F1" s="103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4" t="s">
        <v>6</v>
      </c>
      <c r="C2" s="104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153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150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151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C35" sqref="C35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6" t="str">
        <f>"PROGRESS REPORT "&amp; TEXT(Report_Date, "mm/dd/yyy")</f>
        <v>PROGRESS REPORT 07/01/2020</v>
      </c>
      <c r="C2" s="106"/>
      <c r="D2" s="106"/>
      <c r="E2" s="106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156</v>
      </c>
      <c r="J10" s="12" t="s">
        <v>35</v>
      </c>
      <c r="K10" s="12" t="s">
        <v>34</v>
      </c>
    </row>
    <row r="11" spans="2:12" ht="15" hidden="1" x14ac:dyDescent="0.3">
      <c r="B11" s="105" t="s">
        <v>26</v>
      </c>
      <c r="C11" s="105"/>
      <c r="D11" s="105"/>
      <c r="E11" s="105"/>
      <c r="F11" s="16"/>
      <c r="G11" s="16"/>
      <c r="H11" s="16"/>
      <c r="I11" s="16"/>
      <c r="J11" s="16"/>
      <c r="K11" s="16"/>
      <c r="L11" s="76" t="s">
        <v>160</v>
      </c>
    </row>
    <row r="12" spans="2:12" hidden="1" x14ac:dyDescent="0.3">
      <c r="B12" s="13"/>
      <c r="G12" s="38"/>
      <c r="H12" s="37"/>
    </row>
    <row r="13" spans="2:12" ht="15" x14ac:dyDescent="0.3">
      <c r="B13" s="105" t="s">
        <v>27</v>
      </c>
      <c r="C13" s="105"/>
      <c r="D13" s="105"/>
      <c r="E13" s="105"/>
      <c r="F13" s="16"/>
      <c r="G13" s="16"/>
      <c r="H13" s="16"/>
      <c r="I13" s="16"/>
      <c r="J13" s="16"/>
      <c r="K13" s="16"/>
      <c r="L13" s="76" t="s">
        <v>160</v>
      </c>
    </row>
    <row r="14" spans="2:12" s="78" customFormat="1" x14ac:dyDescent="0.3">
      <c r="B14" s="9"/>
      <c r="D14" s="109"/>
      <c r="E14" s="109"/>
      <c r="G14" s="73"/>
      <c r="H14" s="37"/>
    </row>
    <row r="15" spans="2:12" ht="15" x14ac:dyDescent="0.3">
      <c r="B15" s="105" t="s">
        <v>28</v>
      </c>
      <c r="C15" s="105"/>
      <c r="D15" s="105"/>
      <c r="E15" s="105"/>
      <c r="F15" s="16"/>
      <c r="G15" s="16"/>
      <c r="H15" s="16"/>
      <c r="I15" s="16"/>
      <c r="J15" s="16"/>
      <c r="K15" s="16"/>
      <c r="L15" s="76" t="s">
        <v>160</v>
      </c>
    </row>
    <row r="16" spans="2:12" ht="14.5" x14ac:dyDescent="0.35">
      <c r="B16" s="9" t="s">
        <v>149</v>
      </c>
      <c r="C16" s="67" t="s">
        <v>148</v>
      </c>
      <c r="D16" s="10">
        <f ca="1">'0501'!N5</f>
        <v>0</v>
      </c>
      <c r="E16" s="10">
        <f ca="1">'0501'!O5</f>
        <v>0.10714285714285712</v>
      </c>
      <c r="G16" s="73"/>
      <c r="H16" s="107" t="str">
        <f>HYPERLINK("#0501!A1", "0501")</f>
        <v>0501</v>
      </c>
      <c r="I16" s="74" t="str">
        <f ca="1">IF(Report_Date = INDIRECT(H16 &amp; "!S9"), "Ready", "Not Ready")</f>
        <v>Ready</v>
      </c>
      <c r="J16" s="67" t="s">
        <v>158</v>
      </c>
      <c r="K16" s="67" t="s">
        <v>159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hidden="1" x14ac:dyDescent="0.3">
      <c r="B18" s="105" t="s">
        <v>29</v>
      </c>
      <c r="C18" s="105"/>
      <c r="D18" s="105"/>
      <c r="E18" s="105"/>
      <c r="F18" s="16"/>
      <c r="G18" s="16"/>
      <c r="H18" s="16"/>
      <c r="I18" s="16"/>
      <c r="J18" s="16"/>
      <c r="K18" s="16"/>
      <c r="L18" s="76" t="s">
        <v>160</v>
      </c>
    </row>
    <row r="19" spans="2:12" hidden="1" x14ac:dyDescent="0.3">
      <c r="B19" s="9"/>
      <c r="G19" s="73"/>
      <c r="H19" s="37"/>
    </row>
    <row r="20" spans="2:12" ht="15" hidden="1" x14ac:dyDescent="0.3">
      <c r="B20" s="105" t="s">
        <v>30</v>
      </c>
      <c r="C20" s="105"/>
      <c r="D20" s="105"/>
      <c r="E20" s="105"/>
      <c r="F20" s="16"/>
      <c r="G20" s="16"/>
      <c r="H20" s="16"/>
      <c r="I20" s="16"/>
      <c r="J20" s="16"/>
      <c r="K20" s="16"/>
      <c r="L20" s="76" t="s">
        <v>160</v>
      </c>
    </row>
    <row r="21" spans="2:12" hidden="1" x14ac:dyDescent="0.3">
      <c r="B21" s="9"/>
      <c r="G21" s="73"/>
      <c r="H21" s="37"/>
    </row>
    <row r="22" spans="2:12" ht="15" hidden="1" x14ac:dyDescent="0.3">
      <c r="B22" s="105" t="s">
        <v>127</v>
      </c>
      <c r="C22" s="105"/>
      <c r="D22" s="105"/>
      <c r="E22" s="105"/>
      <c r="F22" s="16"/>
      <c r="G22" s="16"/>
      <c r="H22" s="16"/>
      <c r="I22" s="16"/>
      <c r="J22" s="16"/>
      <c r="K22" s="16"/>
      <c r="L22" s="76" t="s">
        <v>160</v>
      </c>
    </row>
    <row r="23" spans="2:12" hidden="1" x14ac:dyDescent="0.3">
      <c r="B23" s="9"/>
      <c r="G23" s="73"/>
      <c r="H23" s="37"/>
    </row>
    <row r="24" spans="2:12" ht="15" hidden="1" x14ac:dyDescent="0.3">
      <c r="B24" s="105" t="s">
        <v>128</v>
      </c>
      <c r="C24" s="105"/>
      <c r="D24" s="105"/>
      <c r="E24" s="105"/>
      <c r="F24" s="16"/>
      <c r="G24" s="16"/>
      <c r="H24" s="16"/>
      <c r="I24" s="16"/>
      <c r="J24" s="16"/>
      <c r="K24" s="16"/>
      <c r="L24" s="76" t="s">
        <v>160</v>
      </c>
    </row>
    <row r="25" spans="2:12" hidden="1" x14ac:dyDescent="0.3">
      <c r="B25" s="9"/>
      <c r="G25" s="73"/>
      <c r="H25" s="37"/>
    </row>
    <row r="26" spans="2:12" ht="15" hidden="1" x14ac:dyDescent="0.3">
      <c r="B26" s="105" t="s">
        <v>129</v>
      </c>
      <c r="C26" s="105"/>
      <c r="D26" s="105"/>
      <c r="E26" s="105"/>
      <c r="F26" s="16"/>
      <c r="G26" s="16"/>
      <c r="H26" s="16"/>
      <c r="I26" s="16"/>
      <c r="J26" s="16"/>
      <c r="K26" s="16"/>
      <c r="L26" s="76" t="s">
        <v>160</v>
      </c>
    </row>
    <row r="27" spans="2:12" hidden="1" x14ac:dyDescent="0.3">
      <c r="B27" s="9"/>
      <c r="G27" s="73"/>
      <c r="H27" s="37"/>
    </row>
    <row r="28" spans="2:12" ht="15" hidden="1" x14ac:dyDescent="0.3">
      <c r="B28" s="105" t="s">
        <v>130</v>
      </c>
      <c r="C28" s="105"/>
      <c r="D28" s="105"/>
      <c r="E28" s="105"/>
      <c r="F28" s="16"/>
      <c r="G28" s="16"/>
      <c r="H28" s="16"/>
      <c r="I28" s="16"/>
      <c r="J28" s="16"/>
      <c r="K28" s="16"/>
      <c r="L28" s="76" t="s">
        <v>160</v>
      </c>
    </row>
    <row r="29" spans="2:12" hidden="1" x14ac:dyDescent="0.3">
      <c r="B29" s="9"/>
      <c r="G29" s="73"/>
      <c r="H29" s="37"/>
    </row>
    <row r="30" spans="2:12" ht="15" hidden="1" x14ac:dyDescent="0.3">
      <c r="B30" s="105" t="s">
        <v>131</v>
      </c>
      <c r="C30" s="105"/>
      <c r="D30" s="105"/>
      <c r="E30" s="105"/>
      <c r="F30" s="16"/>
      <c r="G30" s="16"/>
      <c r="H30" s="16"/>
      <c r="I30" s="16"/>
      <c r="J30" s="16"/>
      <c r="K30" s="16"/>
      <c r="L30" s="76" t="s">
        <v>160</v>
      </c>
    </row>
    <row r="31" spans="2:12" hidden="1" x14ac:dyDescent="0.3">
      <c r="B31" s="9"/>
      <c r="G31" s="73"/>
      <c r="H31" s="37"/>
    </row>
    <row r="32" spans="2:12" ht="15" x14ac:dyDescent="0.3">
      <c r="B32" s="105" t="s">
        <v>132</v>
      </c>
      <c r="C32" s="105"/>
      <c r="D32" s="105"/>
      <c r="E32" s="105"/>
      <c r="F32" s="16"/>
      <c r="G32" s="16"/>
      <c r="H32" s="16"/>
      <c r="I32" s="16"/>
      <c r="J32" s="16"/>
      <c r="K32" s="16"/>
      <c r="L32" s="67" t="s">
        <v>160</v>
      </c>
    </row>
    <row r="33" spans="2:10" x14ac:dyDescent="0.3">
      <c r="B33" s="9" t="s">
        <v>152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158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7:E21 E12:E15">
    <cfRule type="expression" dxfId="44" priority="57">
      <formula>IF(ISBLANK($D12), FALSE, IF(RedGreen_Formatting = "Enabled", $D12 &lt;= $E12 + Percent_Error, FALSE))</formula>
    </cfRule>
    <cfRule type="expression" dxfId="43" priority="58">
      <formula>IF(ISBLANK($D12), FALSE, IF(RedGreen_Formatting = "Enabled", $D12 &gt; $E12 + Percent_Error, FALSE))</formula>
    </cfRule>
  </conditionalFormatting>
  <conditionalFormatting sqref="E22">
    <cfRule type="expression" dxfId="42" priority="55">
      <formula>IF(ISBLANK($D22), FALSE, IF(RedGreen_Formatting = "Enabled", $D22 &lt;= $E22 + Percent_Error, FALSE))</formula>
    </cfRule>
    <cfRule type="expression" dxfId="41" priority="56">
      <formula>IF(ISBLANK($D22), FALSE, IF(RedGreen_Formatting = "Enabled", $D22 &gt; $E22 + Percent_Error, FALSE))</formula>
    </cfRule>
  </conditionalFormatting>
  <conditionalFormatting sqref="E24">
    <cfRule type="expression" dxfId="40" priority="53">
      <formula>IF(ISBLANK($D24), FALSE, IF(RedGreen_Formatting = "Enabled", $D24 &lt;= $E24 + Percent_Error, FALSE))</formula>
    </cfRule>
    <cfRule type="expression" dxfId="39" priority="54">
      <formula>IF(ISBLANK($D24), FALSE, IF(RedGreen_Formatting = "Enabled", $D24 &gt; $E24 + Percent_Error, FALSE))</formula>
    </cfRule>
  </conditionalFormatting>
  <conditionalFormatting sqref="E26">
    <cfRule type="expression" dxfId="38" priority="51">
      <formula>IF(ISBLANK($D26), FALSE, IF(RedGreen_Formatting = "Enabled", $D26 &lt;= $E26 + Percent_Error, FALSE))</formula>
    </cfRule>
    <cfRule type="expression" dxfId="37" priority="52">
      <formula>IF(ISBLANK($D26), FALSE, IF(RedGreen_Formatting = "Enabled", $D26 &gt; $E26 + Percent_Error, FALSE))</formula>
    </cfRule>
  </conditionalFormatting>
  <conditionalFormatting sqref="E28">
    <cfRule type="expression" dxfId="36" priority="49">
      <formula>IF(ISBLANK($D28), FALSE, IF(RedGreen_Formatting = "Enabled", $D28 &lt;= $E28 + Percent_Error, FALSE))</formula>
    </cfRule>
    <cfRule type="expression" dxfId="35" priority="50">
      <formula>IF(ISBLANK($D28), FALSE, IF(RedGreen_Formatting = "Enabled", $D28 &gt; $E28 + Percent_Error, FALSE))</formula>
    </cfRule>
  </conditionalFormatting>
  <conditionalFormatting sqref="E30">
    <cfRule type="expression" dxfId="34" priority="47">
      <formula>IF(ISBLANK($D30), FALSE, IF(RedGreen_Formatting = "Enabled", $D30 &lt;= $E30 + Percent_Error, FALSE))</formula>
    </cfRule>
    <cfRule type="expression" dxfId="33" priority="48">
      <formula>IF(ISBLANK($D30), FALSE, IF(RedGreen_Formatting = "Enabled", $D30 &gt; $E30 + Percent_Error, FALSE))</formula>
    </cfRule>
  </conditionalFormatting>
  <conditionalFormatting sqref="E32">
    <cfRule type="expression" dxfId="32" priority="45">
      <formula>IF(ISBLANK($D32), FALSE, IF(RedGreen_Formatting = "Enabled", $D32 &lt;= $E32 + Percent_Error, FALSE))</formula>
    </cfRule>
    <cfRule type="expression" dxfId="31" priority="46">
      <formula>IF(ISBLANK($D32), FALSE, IF(RedGreen_Formatting = "Enabled", $D32 &gt; $E32 + Percent_Error, FALSE))</formula>
    </cfRule>
  </conditionalFormatting>
  <conditionalFormatting sqref="E34">
    <cfRule type="expression" dxfId="30" priority="27">
      <formula>IF(ISBLANK($D34), FALSE, IF(RedGreen_Formatting = "Enabled", $D34 &lt;= $E34 + Percent_Error, FALSE))</formula>
    </cfRule>
    <cfRule type="expression" dxfId="29" priority="28">
      <formula>IF(ISBLANK($D34), FALSE, IF(RedGreen_Formatting = "Enabled", $D34 &gt; $E34 + Percent_Error, FALSE))</formula>
    </cfRule>
  </conditionalFormatting>
  <conditionalFormatting sqref="E33">
    <cfRule type="expression" dxfId="28" priority="7">
      <formula>IF(ISBLANK($D33), FALSE, IF(RedGreen_Formatting = "Enabled", $D33 &lt;= $E33 + Percent_Error, FALSE))</formula>
    </cfRule>
    <cfRule type="expression" dxfId="27" priority="8">
      <formula>IF(ISBLANK($D33), FALSE, IF(RedGreen_Formatting = "Enabled", $D33 &gt; $E33 + Percent_Error, FALSE))</formula>
    </cfRule>
  </conditionalFormatting>
  <conditionalFormatting sqref="E16">
    <cfRule type="expression" dxfId="26" priority="5">
      <formula>IF(ISBLANK($D16), FALSE, IF(RedGreen_Formatting = "Enabled", $D16 &lt;= $E16 + Percent_Error, FALSE))</formula>
    </cfRule>
    <cfRule type="expression" dxfId="25" priority="6">
      <formula>IF(ISBLANK($D16), FALSE, IF(RedGreen_Formatting = "Enabled", $D16 &gt; $E16 + Percent_Error, FALSE))</formula>
    </cfRule>
  </conditionalFormatting>
  <conditionalFormatting sqref="I16">
    <cfRule type="cellIs" dxfId="24" priority="3" operator="equal">
      <formula>"Not Ready"</formula>
    </cfRule>
    <cfRule type="cellIs" dxfId="23" priority="4" operator="equal">
      <formula>"Ready"</formula>
    </cfRule>
  </conditionalFormatting>
  <conditionalFormatting sqref="I33">
    <cfRule type="cellIs" dxfId="22" priority="1" operator="equal">
      <formula>"Not Ready"</formula>
    </cfRule>
    <cfRule type="cellIs" dxfId="21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C6" sqref="C6:I6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4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98" t="str">
        <f>Main!C16</f>
        <v>Glassey Steel Works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(Count)</v>
      </c>
      <c r="K6" s="91"/>
      <c r="L6" s="91"/>
      <c r="M6" s="91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8" t="str">
        <f>RIGHT(Main!B16, LEN(Main!B16) - 4)</f>
        <v>Structural Steel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(Count)</v>
      </c>
      <c r="K7" s="91"/>
      <c r="L7" s="91"/>
      <c r="M7" s="91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1" t="str">
        <f>_xlfn.CONCAT("This Week's Production (", IF(ISBLANK($S$6),"",$S$6), ")")</f>
        <v>This Week's Production (Count)</v>
      </c>
      <c r="K8" s="91"/>
      <c r="L8" s="91"/>
      <c r="M8" s="91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1" t="str">
        <f>_xlfn.CONCAT("Weekly Average (", IF(ISBLANK($S$6),"",$S$6), ")")</f>
        <v>Weekly Average (Count)</v>
      </c>
      <c r="K9" s="91"/>
      <c r="L9" s="91"/>
      <c r="M9" s="91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157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1" t="str">
        <f>_xlfn.CONCAT("Average Past 4 Weeks (", IF(ISBLANK($S$6),"",$S$6), ")")</f>
        <v>Average Past 4 Weeks (Count)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6"/>
      <c r="V10" s="86"/>
      <c r="W10" s="86"/>
      <c r="X10" s="86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1" t="str">
        <f>_xlfn.CONCAT("On Schedule Average (", IF(ISBLANK($S$6),"",$S$6), ")")</f>
        <v>On Schedule Average (Count)</v>
      </c>
      <c r="K11" s="91"/>
      <c r="L11" s="91"/>
      <c r="M11" s="91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6"/>
      <c r="V11" s="86"/>
      <c r="W11" s="86"/>
      <c r="X11" s="86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44285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7"/>
      <c r="N14" s="87"/>
      <c r="O14" s="88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9"/>
      <c r="M15" s="89"/>
      <c r="N15" s="89"/>
      <c r="O15" s="90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20" priority="7">
      <formula>ISERROR(AF14)</formula>
    </cfRule>
  </conditionalFormatting>
  <conditionalFormatting sqref="W13:X13">
    <cfRule type="expression" dxfId="19" priority="6">
      <formula>IF(OR($S$8 = "Assemble Addin", $S$8 = "Bluebeam QL"), TRUE, FALSE)</formula>
    </cfRule>
  </conditionalFormatting>
  <conditionalFormatting sqref="N6:O6">
    <cfRule type="expression" dxfId="18" priority="5">
      <formula>IF($N$6=$O$6, FALSE, TRUE)</formula>
    </cfRule>
  </conditionalFormatting>
  <conditionalFormatting sqref="W14:X21">
    <cfRule type="expression" dxfId="17" priority="3">
      <formula>IF(OR($S$8 = "Assemble Addin", $S$8 = "Bluebeam QL"), TRUE, FALSE)</formula>
    </cfRule>
    <cfRule type="expression" dxfId="16" priority="4">
      <formula>IF(OR($S$8 = "Assemble Addin", $S$8 = "Bluebeam QL"), MOD(ROW(), 2)=0, FALSE)</formula>
    </cfRule>
  </conditionalFormatting>
  <conditionalFormatting sqref="R13">
    <cfRule type="expression" dxfId="15" priority="2">
      <formula>IF($S$8 = "Assemble Addin", TRUE, FALSE)</formula>
    </cfRule>
  </conditionalFormatting>
  <conditionalFormatting sqref="R14:R21">
    <cfRule type="expression" dxfId="14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str">
        <f>Main!C33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str">
        <f>RIGHT(Main!B33, LEN(Main!B33)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155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1" t="s">
        <v>46</v>
      </c>
      <c r="K13" s="81"/>
      <c r="L13" s="81"/>
      <c r="M13" s="81"/>
      <c r="N13" s="82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16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16">
    <cfRule type="expression" dxfId="7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CEA1-4AC0-4B11-8E03-996C1803BF16}">
  <sheetPr codeName="Sheet9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78" customWidth="1"/>
    <col min="2" max="2" width="18.26953125" style="78" customWidth="1"/>
    <col min="3" max="3" width="9.1796875" style="78" customWidth="1"/>
    <col min="4" max="8" width="8.7265625" style="78"/>
    <col min="9" max="9" width="14.54296875" style="78" customWidth="1"/>
    <col min="10" max="10" width="9.1796875" style="78" customWidth="1"/>
    <col min="11" max="11" width="8.7265625" style="78"/>
    <col min="12" max="13" width="9.453125" style="78" customWidth="1"/>
    <col min="14" max="15" width="10.54296875" style="78" customWidth="1"/>
    <col min="16" max="17" width="2.54296875" style="78" customWidth="1"/>
    <col min="18" max="18" width="18.453125" style="17" customWidth="1"/>
    <col min="19" max="19" width="24.7265625" style="78" customWidth="1"/>
    <col min="20" max="20" width="22.08984375" style="78" bestFit="1" customWidth="1"/>
    <col min="21" max="21" width="15.54296875" style="78" bestFit="1" customWidth="1"/>
    <col min="22" max="22" width="14.54296875" style="78" customWidth="1"/>
    <col min="23" max="24" width="17.26953125" style="78" customWidth="1"/>
    <col min="25" max="26" width="2.54296875" style="78" customWidth="1"/>
    <col min="27" max="27" width="14.81640625" style="78" customWidth="1"/>
    <col min="28" max="28" width="16.54296875" style="50" customWidth="1"/>
    <col min="29" max="29" width="16" style="78" customWidth="1"/>
    <col min="30" max="30" width="19.26953125" style="78" customWidth="1"/>
    <col min="31" max="31" width="20.26953125" style="78" customWidth="1"/>
    <col min="32" max="32" width="22.1796875" style="78" customWidth="1"/>
    <col min="33" max="16384" width="8.7265625" style="78"/>
  </cols>
  <sheetData>
    <row r="1" spans="2:39" ht="15" thickBot="1" x14ac:dyDescent="0.4">
      <c r="R1" s="108" t="str">
        <f>HYPERLINK("#Main!A1", "Back to Main")</f>
        <v>Back to Main</v>
      </c>
      <c r="AA1" s="79" t="s">
        <v>80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17" t="s">
        <v>48</v>
      </c>
      <c r="S2" s="18" t="str">
        <f ca="1">MID(CELL("filename",B1),FIND("]",CELL("filename",B1))+1,LEN(CELL("filename",B1))-FIND("]",CELL("filename",B1)))</f>
        <v>0401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2" t="s">
        <v>39</v>
      </c>
      <c r="O4" s="23" t="s">
        <v>40</v>
      </c>
      <c r="R4" s="17" t="s">
        <v>49</v>
      </c>
      <c r="S4" s="20">
        <f>MIN(Input_0401[Start Date])+(7-WEEKDAY(MIN(Input_0401[Start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MAX(Input_0401[Finish Date])+(7-WEEKDAY(MAX(Input_0401[Finish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8" t="e">
        <f>Main!#REF!</f>
        <v>#REF!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8" t="e">
        <f>RIGHT(Main!#REF!, LEN(Main!#REF!) - 4)</f>
        <v>#REF!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78" t="str">
        <f>TEXT(AC4-AC3, "hh:mm:ss")</f>
        <v>00:00:39</v>
      </c>
    </row>
    <row r="8" spans="2:39" ht="15" x14ac:dyDescent="0.3">
      <c r="B8" s="30"/>
      <c r="C8" s="77"/>
      <c r="D8" s="77"/>
      <c r="E8" s="77"/>
      <c r="F8" s="77"/>
      <c r="G8" s="77"/>
      <c r="H8" s="77"/>
      <c r="I8" s="77"/>
      <c r="J8" s="91" t="str">
        <f>_xlfn.CONCAT("This Week's Production (", IF(ISBLANK($S$6),"",$S$6), ")")</f>
        <v>This Week's Production (SF)</v>
      </c>
      <c r="K8" s="91"/>
      <c r="L8" s="91"/>
      <c r="M8" s="9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154</v>
      </c>
      <c r="T8" s="17" t="s">
        <v>65</v>
      </c>
      <c r="U8" s="27" t="b">
        <v>0</v>
      </c>
    </row>
    <row r="9" spans="2:39" ht="15" x14ac:dyDescent="0.3">
      <c r="B9" s="30"/>
      <c r="C9" s="77"/>
      <c r="D9" s="77"/>
      <c r="E9" s="77"/>
      <c r="F9" s="77"/>
      <c r="G9" s="77"/>
      <c r="H9" s="77"/>
      <c r="I9" s="77"/>
      <c r="J9" s="91" t="str">
        <f>_xlfn.CONCAT("Weekly Average (", IF(ISBLANK($S$6),"",$S$6), ")")</f>
        <v>Weekly Average (SF)</v>
      </c>
      <c r="K9" s="91"/>
      <c r="L9" s="91"/>
      <c r="M9" s="9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157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3"/>
    </row>
    <row r="10" spans="2:39" ht="15" x14ac:dyDescent="0.3">
      <c r="B10" s="30"/>
      <c r="C10" s="77"/>
      <c r="D10" s="77"/>
      <c r="E10" s="77"/>
      <c r="F10" s="77"/>
      <c r="G10" s="77"/>
      <c r="H10" s="77"/>
      <c r="I10" s="77"/>
      <c r="J10" s="91" t="str">
        <f>_xlfn.CONCAT("Average Past 4 Weeks (", IF(ISBLANK($S$6),"",$S$6), ")")</f>
        <v>Average Past 4 Weeks (SF)</v>
      </c>
      <c r="K10" s="91"/>
      <c r="L10" s="91"/>
      <c r="M10" s="9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155</v>
      </c>
      <c r="V10" s="86"/>
      <c r="W10" s="86"/>
      <c r="X10" s="86"/>
      <c r="AB10" s="62"/>
      <c r="AC10" s="61"/>
      <c r="AD10" s="59"/>
    </row>
    <row r="11" spans="2:39" ht="15" x14ac:dyDescent="0.3">
      <c r="B11" s="30"/>
      <c r="C11" s="77"/>
      <c r="D11" s="77"/>
      <c r="E11" s="77"/>
      <c r="F11" s="77"/>
      <c r="G11" s="77"/>
      <c r="H11" s="77"/>
      <c r="I11" s="77"/>
      <c r="J11" s="91" t="str">
        <f>_xlfn.CONCAT("On Schedule Average (", IF(ISBLANK($S$6),"",$S$6), ")")</f>
        <v>On Schedule Average (SF)</v>
      </c>
      <c r="K11" s="91"/>
      <c r="L11" s="91"/>
      <c r="M11" s="91"/>
      <c r="N11" s="32">
        <f ca="1">IF($S$3&lt;MAX(Input_0401[Finish Date])+(7-WEEKDAY(MAX(Input_0401[Finish Date]),2)+_xlfn.SWITCH(Reporting_Day, "Sunday", 7, "Monday", 1, "Tuesday", 2, "Wednesday", 3, "Thursday", 4, "Friday", 5, "Saturday", 6)),AVERAGE(INDIRECT("AC"&amp;MATCH($S$3, Output_0401[Date],0)+13&amp;":AC"&amp;ROW(Output_0401[Weekly Plan])-1+ROWS(Output_0401[Weekly Plan]))), "-")</f>
        <v>301.81818181818176</v>
      </c>
      <c r="O11" s="33">
        <f ca="1">IF($O$5&gt;0.998, "-", (SUM(Input_0401[Total])-INDIRECT("AF"&amp;MATCH($S$3, Output_0401[Date],0)+13))/(ROW(Output_0401[Weekly Plan])-1+ROWS(Output_0401[Weekly Plan])-(MATCH($S$3, Output_0401[Date],0)+13)))</f>
        <v>414.28571428571428</v>
      </c>
      <c r="U11" s="86"/>
      <c r="V11" s="86"/>
      <c r="W11" s="86"/>
      <c r="X11" s="86"/>
      <c r="AC11" s="59"/>
      <c r="AD11" s="59"/>
    </row>
    <row r="12" spans="2:39" ht="15" x14ac:dyDescent="0.3">
      <c r="B12" s="30"/>
      <c r="C12" s="77"/>
      <c r="D12" s="77"/>
      <c r="E12" s="77"/>
      <c r="F12" s="77"/>
      <c r="G12" s="77"/>
      <c r="H12" s="77"/>
      <c r="I12" s="77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77"/>
      <c r="D13" s="77"/>
      <c r="E13" s="77"/>
      <c r="F13" s="77"/>
      <c r="G13" s="77"/>
      <c r="H13" s="77"/>
      <c r="I13" s="77"/>
      <c r="J13" s="81" t="s">
        <v>46</v>
      </c>
      <c r="K13" s="81"/>
      <c r="L13" s="81"/>
      <c r="M13" s="81"/>
      <c r="N13" s="82">
        <f ca="1">IF(O10=0,"",IF($O$5&gt;0.999, "Completed", WORKDAY($S$3, ROUNDUP((SUM(Input_0401[Total])-(INDIRECT("AF"&amp;MATCH($S$3, Output_0401[Date],0)+13)))/($O$10/COUNTIF($U$2:$U$8,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77"/>
      <c r="D14" s="77"/>
      <c r="E14" s="77"/>
      <c r="F14" s="77"/>
      <c r="G14" s="77"/>
      <c r="H14" s="77"/>
      <c r="I14" s="77"/>
      <c r="J14" s="35"/>
      <c r="K14" s="35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78">
        <v>3000</v>
      </c>
      <c r="X14" s="78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IF(Output_0401[[#This Row],[WP_A1]]="", 0, Output_0401[[#This Row],[WP_A1]])+IF(Output_0401[[#This Row],[WP_A2]]="", 0, Output_0401[[#This Row],[WP_A2]])+IF(Output_0401[[#This Row],[WP_A3]]="", 0, Output_0401[[#This Row],[WP_A3]])</f>
        <v>171.42857142857142</v>
      </c>
      <c r="AD14" s="51">
        <f>IF(AND(ISBLANK(Output_0401[[#This Row],[WA_A1]]),ISBLANK(Output_0401[[#This Row],[WA_A2]]),ISBLANK(Output_0401[[#This Row],[WA_A3]])),"", Output_0401[[#This Row],[WA_A1]]+Output_0401[[#This Row],[WA_A2]]+Output_0401[[#This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WeeklyPlanned(Output_0401[[#Headers],[WP_A1]], Output_0401[[#This Row],[Date]])</f>
        <v>171.42857142857142</v>
      </c>
      <c r="AH14" s="51">
        <v>300</v>
      </c>
      <c r="AI14" s="51" t="str">
        <f ca="1">WeeklyPlanned(Output_0401[[#Headers],[WP_A2]], Output_0401[[#This Row],[Date]])</f>
        <v/>
      </c>
      <c r="AJ14" s="51"/>
      <c r="AK14" s="51" t="str">
        <f ca="1">WeeklyPlanned(Output_0401[[#Headers],[WP_A3]], Output_0401[[#This Row],[Date]])</f>
        <v/>
      </c>
      <c r="AL14" s="51"/>
    </row>
    <row r="15" spans="2:39" ht="16" thickBot="1" x14ac:dyDescent="0.4">
      <c r="B15" s="30"/>
      <c r="C15" s="77"/>
      <c r="D15" s="77"/>
      <c r="E15" s="77"/>
      <c r="F15" s="77"/>
      <c r="G15" s="77"/>
      <c r="H15" s="77"/>
      <c r="I15" s="77"/>
      <c r="J15" s="39"/>
      <c r="K15" s="39"/>
      <c r="L15" s="89"/>
      <c r="M15" s="89"/>
      <c r="N15" s="89"/>
      <c r="O15" s="9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78">
        <v>3000</v>
      </c>
      <c r="X15" s="78">
        <v>600</v>
      </c>
      <c r="AA15" s="47">
        <f t="shared" si="0"/>
        <v>43915</v>
      </c>
      <c r="AB15" s="49" t="str">
        <f t="shared" ca="1" si="1"/>
        <v>A1</v>
      </c>
      <c r="AC15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5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WeeklyPlanned(Output_0401[[#Headers],[WP_A1]], Output_0401[[#This Row],[Date]])</f>
        <v>428.57142857142856</v>
      </c>
      <c r="AH15" s="51">
        <v>250</v>
      </c>
      <c r="AI15" s="51" t="str">
        <f ca="1">WeeklyPlanned(Output_0401[[#Headers],[WP_A2]], Output_0401[[#This Row],[Date]])</f>
        <v/>
      </c>
      <c r="AJ15" s="51"/>
      <c r="AK15" s="51" t="str">
        <f ca="1">WeeklyPlanned(Output_0401[[#Headers],[WP_A3]], Output_0401[[#This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78">
        <v>3000</v>
      </c>
      <c r="AA16" s="47">
        <f t="shared" si="0"/>
        <v>43922</v>
      </c>
      <c r="AB16" s="49" t="str">
        <f t="shared" ca="1" si="1"/>
        <v>A1</v>
      </c>
      <c r="AC16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6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WeeklyPlanned(Output_0401[[#Headers],[WP_A1]], Output_0401[[#This Row],[Date]])</f>
        <v>428.57142857142856</v>
      </c>
      <c r="AH16" s="51">
        <v>250</v>
      </c>
      <c r="AI16" s="51" t="str">
        <f ca="1">WeeklyPlanned(Output_0401[[#Headers],[WP_A2]], Output_0401[[#This Row],[Date]])</f>
        <v/>
      </c>
      <c r="AJ16" s="51"/>
      <c r="AK16" s="51" t="str">
        <f ca="1">WeeklyPlanned(Output_0401[[#Headers],[WP_A3]], Output_0401[[#This Row],[Date]])</f>
        <v/>
      </c>
      <c r="AL16" s="51"/>
    </row>
    <row r="17" spans="2:38" ht="15.5" x14ac:dyDescent="0.35">
      <c r="B17" s="30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7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WeeklyPlanned(Output_0401[[#Headers],[WP_A1]], Output_0401[[#This Row],[Date]])</f>
        <v>428.57142857142856</v>
      </c>
      <c r="AH17" s="51">
        <v>250</v>
      </c>
      <c r="AI17" s="51" t="str">
        <f ca="1">WeeklyPlanned(Output_0401[[#Headers],[WP_A2]], Output_0401[[#This Row],[Date]])</f>
        <v/>
      </c>
      <c r="AJ17" s="51"/>
      <c r="AK17" s="51" t="str">
        <f ca="1">WeeklyPlanned(Output_0401[[#Headers],[WP_A3]], Output_0401[[#This Row],[Date]])</f>
        <v/>
      </c>
      <c r="AL17" s="51"/>
    </row>
    <row r="18" spans="2:38" ht="15.5" x14ac:dyDescent="0.35">
      <c r="B18" s="30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8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WeeklyPlanned(Output_0401[[#Headers],[WP_A1]], Output_0401[[#This Row],[Date]])</f>
        <v>428.57142857142856</v>
      </c>
      <c r="AH18" s="51">
        <v>250</v>
      </c>
      <c r="AI18" s="51" t="str">
        <f ca="1">WeeklyPlanned(Output_0401[[#Headers],[WP_A2]], Output_0401[[#This Row],[Date]])</f>
        <v/>
      </c>
      <c r="AJ18" s="51"/>
      <c r="AK18" s="51" t="str">
        <f ca="1">WeeklyPlanned(Output_0401[[#Headers],[WP_A3]], Output_0401[[#This Row],[Date]])</f>
        <v/>
      </c>
      <c r="AL18" s="51"/>
    </row>
    <row r="19" spans="2:38" ht="15.5" x14ac:dyDescent="0.35">
      <c r="B19" s="30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43"/>
      <c r="AA19" s="47">
        <f t="shared" si="0"/>
        <v>43943</v>
      </c>
      <c r="AB19" s="49" t="str">
        <f t="shared" ca="1" si="1"/>
        <v>A1</v>
      </c>
      <c r="AC19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19" s="51">
        <f>IF(AND(ISBLANK(Output_0401[[#This Row],[WA_A1]]),ISBLANK(Output_0401[[#This Row],[WA_A2]]),ISBLANK(Output_0401[[#This Row],[WA_A3]])),"", Output_0401[[#This Row],[WA_A1]]+Output_0401[[#This Row],[WA_A2]]+Output_0401[[#This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WeeklyPlanned(Output_0401[[#Headers],[WP_A1]], Output_0401[[#This Row],[Date]])</f>
        <v>428.57142857142856</v>
      </c>
      <c r="AH19" s="51">
        <v>250</v>
      </c>
      <c r="AI19" s="51" t="str">
        <f ca="1">WeeklyPlanned(Output_0401[[#Headers],[WP_A2]], Output_0401[[#This Row],[Date]])</f>
        <v/>
      </c>
      <c r="AJ19" s="51"/>
      <c r="AK19" s="51" t="str">
        <f ca="1">WeeklyPlanned(Output_0401[[#Headers],[WP_A3]], Output_0401[[#This Row],[Date]])</f>
        <v/>
      </c>
      <c r="AL19" s="51"/>
    </row>
    <row r="20" spans="2:38" ht="15.5" x14ac:dyDescent="0.35">
      <c r="B20" s="30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43"/>
      <c r="AA20" s="47">
        <f t="shared" si="0"/>
        <v>43950</v>
      </c>
      <c r="AB20" s="49" t="str">
        <f t="shared" ca="1" si="1"/>
        <v>A1</v>
      </c>
      <c r="AC20" s="51">
        <f ca="1">IF(Output_0401[[#This Row],[WP_A1]]="", 0, Output_0401[[#This Row],[WP_A1]])+IF(Output_0401[[#This Row],[WP_A2]]="", 0, Output_0401[[#This Row],[WP_A2]])+IF(Output_0401[[#This Row],[WP_A3]]="", 0, Output_0401[[#This Row],[WP_A3]])</f>
        <v>428.57142857142856</v>
      </c>
      <c r="AD20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WeeklyPlanned(Output_0401[[#Headers],[WP_A1]], Output_0401[[#This Row],[Date]])</f>
        <v>428.57142857142856</v>
      </c>
      <c r="AH20" s="51">
        <v>250</v>
      </c>
      <c r="AI20" s="51" t="str">
        <f ca="1">WeeklyPlanned(Output_0401[[#Headers],[WP_A2]], Output_0401[[#This Row],[Date]])</f>
        <v/>
      </c>
      <c r="AJ20" s="51">
        <v>125</v>
      </c>
      <c r="AK20" s="51" t="str">
        <f ca="1">WeeklyPlanned(Output_0401[[#Headers],[WP_A3]], Output_0401[[#This Row],[Date]])</f>
        <v/>
      </c>
      <c r="AL20" s="51"/>
    </row>
    <row r="21" spans="2:38" ht="15.5" x14ac:dyDescent="0.35">
      <c r="B21" s="30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43"/>
      <c r="AA21" s="47">
        <f t="shared" si="0"/>
        <v>43957</v>
      </c>
      <c r="AB21" s="49" t="str">
        <f t="shared" ca="1" si="1"/>
        <v>A1</v>
      </c>
      <c r="AC21" s="51">
        <f ca="1">IF(Output_0401[[#This Row],[WP_A1]]="", 0, Output_0401[[#This Row],[WP_A1]])+IF(Output_0401[[#This Row],[WP_A2]]="", 0, Output_0401[[#This Row],[WP_A2]])+IF(Output_0401[[#This Row],[WP_A3]]="", 0, Output_0401[[#This Row],[WP_A3]])</f>
        <v>257.14285714285711</v>
      </c>
      <c r="AD21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WeeklyPlanned(Output_0401[[#Headers],[WP_A1]], Output_0401[[#This Row],[Date]])</f>
        <v>257.14285714285711</v>
      </c>
      <c r="AH21" s="51">
        <v>250</v>
      </c>
      <c r="AI21" s="51" t="str">
        <f ca="1">WeeklyPlanned(Output_0401[[#Headers],[WP_A2]], Output_0401[[#This Row],[Date]])</f>
        <v/>
      </c>
      <c r="AJ21" s="51">
        <v>125</v>
      </c>
      <c r="AK21" s="51" t="str">
        <f ca="1">WeeklyPlanned(Output_0401[[#Headers],[WP_A3]], Output_0401[[#This Row],[Date]])</f>
        <v/>
      </c>
      <c r="AL21" s="51"/>
    </row>
    <row r="22" spans="2:38" ht="15.5" x14ac:dyDescent="0.35">
      <c r="B22" s="30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43"/>
      <c r="AA22" s="47">
        <f t="shared" si="0"/>
        <v>43964</v>
      </c>
      <c r="AB22" s="49">
        <f t="shared" ca="1" si="1"/>
        <v>0</v>
      </c>
      <c r="AC22" s="51">
        <f ca="1">IF(Output_0401[[#This Row],[WP_A1]]="", 0, Output_0401[[#This Row],[WP_A1]])+IF(Output_0401[[#This Row],[WP_A2]]="", 0, Output_0401[[#This Row],[WP_A2]])+IF(Output_0401[[#This Row],[WP_A3]]="", 0, Output_0401[[#This Row],[WP_A3]])</f>
        <v>0</v>
      </c>
      <c r="AD22" s="51">
        <f>IF(AND(ISBLANK(Output_0401[[#This Row],[WA_A1]]),ISBLANK(Output_0401[[#This Row],[WA_A2]]),ISBLANK(Output_0401[[#This Row],[WA_A3]])),"", Output_0401[[#This Row],[WA_A1]]+Output_0401[[#This Row],[WA_A2]]+Output_0401[[#This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WeeklyPlanned(Output_0401[[#Headers],[WP_A1]], Output_0401[[#This Row],[Date]])</f>
        <v/>
      </c>
      <c r="AH22" s="51">
        <v>250</v>
      </c>
      <c r="AI22" s="51" t="str">
        <f ca="1">WeeklyPlanned(Output_0401[[#Headers],[WP_A2]], Output_0401[[#This Row],[Date]])</f>
        <v/>
      </c>
      <c r="AJ22" s="51">
        <v>125</v>
      </c>
      <c r="AK22" s="51" t="str">
        <f ca="1">WeeklyPlanned(Output_0401[[#Headers],[WP_A3]], Output_0401[[#This Row],[Date]])</f>
        <v/>
      </c>
      <c r="AL22" s="51"/>
    </row>
    <row r="23" spans="2:38" ht="15.5" x14ac:dyDescent="0.35">
      <c r="B23" s="30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43"/>
      <c r="AA23" s="47">
        <f t="shared" si="0"/>
        <v>43971</v>
      </c>
      <c r="AB23" s="49" t="str">
        <f t="shared" ca="1" si="1"/>
        <v>A2</v>
      </c>
      <c r="AC23" s="51">
        <f ca="1">IF(Output_0401[[#This Row],[WP_A1]]="", 0, Output_0401[[#This Row],[WP_A1]])+IF(Output_0401[[#This Row],[WP_A2]]="", 0, Output_0401[[#This Row],[WP_A2]])+IF(Output_0401[[#This Row],[WP_A3]]="", 0, Output_0401[[#This Row],[WP_A3]])</f>
        <v>163.63636363636363</v>
      </c>
      <c r="AD23" s="51">
        <f>IF(AND(ISBLANK(Output_0401[[#This Row],[WA_A1]]),ISBLANK(Output_0401[[#This Row],[WA_A2]]),ISBLANK(Output_0401[[#This Row],[WA_A3]])),"", Output_0401[[#This Row],[WA_A1]]+Output_0401[[#This Row],[WA_A2]]+Output_0401[[#This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WeeklyPlanned(Output_0401[[#Headers],[WP_A1]], Output_0401[[#This Row],[Date]])</f>
        <v/>
      </c>
      <c r="AH23" s="51">
        <v>150</v>
      </c>
      <c r="AI23" s="51">
        <f ca="1">WeeklyPlanned(Output_0401[[#Headers],[WP_A2]], Output_0401[[#This Row],[Date]])</f>
        <v>163.63636363636363</v>
      </c>
      <c r="AJ23" s="51">
        <v>125</v>
      </c>
      <c r="AK23" s="51" t="str">
        <f ca="1">WeeklyPlanned(Output_0401[[#Headers],[WP_A3]], Output_0401[[#This Row],[Date]])</f>
        <v/>
      </c>
      <c r="AL23" s="51"/>
    </row>
    <row r="24" spans="2:38" ht="15.5" x14ac:dyDescent="0.35">
      <c r="B24" s="30"/>
      <c r="C24" s="77" t="s">
        <v>47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43"/>
      <c r="AA24" s="47">
        <f t="shared" si="0"/>
        <v>43978</v>
      </c>
      <c r="AB24" s="49" t="str">
        <f t="shared" ca="1" si="1"/>
        <v>A2</v>
      </c>
      <c r="AC24" s="51">
        <f ca="1">IF(Output_0401[[#This Row],[WP_A1]]="", 0, Output_0401[[#This Row],[WP_A1]])+IF(Output_0401[[#This Row],[WP_A2]]="", 0, Output_0401[[#This Row],[WP_A2]])+IF(Output_0401[[#This Row],[WP_A3]]="", 0, Output_0401[[#This Row],[WP_A3]])</f>
        <v>218.18181818181819</v>
      </c>
      <c r="AD24" s="51">
        <f>IF(AND(ISBLANK(Output_0401[[#This Row],[WA_A1]]),ISBLANK(Output_0401[[#This Row],[WA_A2]]),ISBLANK(Output_0401[[#This Row],[WA_A3]])),"", Output_0401[[#This Row],[WA_A1]]+Output_0401[[#This Row],[WA_A2]]+Output_0401[[#This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WeeklyPlanned(Output_0401[[#Headers],[WP_A1]], Output_0401[[#This Row],[Date]])</f>
        <v/>
      </c>
      <c r="AH24" s="51">
        <v>150</v>
      </c>
      <c r="AI24" s="51">
        <f ca="1">WeeklyPlanned(Output_0401[[#Headers],[WP_A2]], Output_0401[[#This Row],[Date]])</f>
        <v>218.18181818181819</v>
      </c>
      <c r="AJ24" s="51">
        <v>50</v>
      </c>
      <c r="AK24" s="51" t="str">
        <f ca="1">WeeklyPlanned(Output_0401[[#Headers],[WP_A3]], Output_0401[[#This Row],[Date]])</f>
        <v/>
      </c>
      <c r="AL24" s="51"/>
    </row>
    <row r="25" spans="2:38" ht="15.5" x14ac:dyDescent="0.35">
      <c r="B25" s="30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43"/>
      <c r="AA25" s="47">
        <f t="shared" si="0"/>
        <v>43985</v>
      </c>
      <c r="AB25" s="49" t="str">
        <f t="shared" ca="1" si="1"/>
        <v>A2</v>
      </c>
      <c r="AC25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5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WeeklyPlanned(Output_0401[[#Headers],[WP_A1]], Output_0401[[#This Row],[Date]])</f>
        <v/>
      </c>
      <c r="AH25" s="51">
        <v>0</v>
      </c>
      <c r="AI25" s="51">
        <f ca="1">WeeklyPlanned(Output_0401[[#Headers],[WP_A2]], Output_0401[[#This Row],[Date]])</f>
        <v>272.72727272727275</v>
      </c>
      <c r="AJ25" s="51"/>
      <c r="AK25" s="51" t="str">
        <f ca="1">WeeklyPlanned(Output_0401[[#Headers],[WP_A3]], Output_0401[[#This Row],[Date]])</f>
        <v/>
      </c>
      <c r="AL25" s="51"/>
    </row>
    <row r="26" spans="2:38" ht="15.5" x14ac:dyDescent="0.35">
      <c r="B26" s="30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6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WeeklyPlanned(Output_0401[[#Headers],[WP_A1]], Output_0401[[#This Row],[Date]])</f>
        <v/>
      </c>
      <c r="AH26" s="51">
        <v>0</v>
      </c>
      <c r="AI26" s="51">
        <f ca="1">WeeklyPlanned(Output_0401[[#Headers],[WP_A2]], Output_0401[[#This Row],[Date]])</f>
        <v>272.72727272727275</v>
      </c>
      <c r="AJ26" s="51"/>
      <c r="AK26" s="51" t="str">
        <f ca="1">WeeklyPlanned(Output_0401[[#Headers],[WP_A3]], Output_0401[[#This Row],[Date]])</f>
        <v/>
      </c>
      <c r="AL26" s="51"/>
    </row>
    <row r="27" spans="2:38" ht="15.5" x14ac:dyDescent="0.35">
      <c r="B27" s="30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43"/>
      <c r="AA27" s="47">
        <f t="shared" si="0"/>
        <v>43999</v>
      </c>
      <c r="AB27" s="49" t="str">
        <f t="shared" ca="1" si="1"/>
        <v>A2</v>
      </c>
      <c r="AC27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7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WeeklyPlanned(Output_0401[[#Headers],[WP_A1]], Output_0401[[#This Row],[Date]])</f>
        <v/>
      </c>
      <c r="AH27" s="51">
        <v>0</v>
      </c>
      <c r="AI27" s="51">
        <f ca="1">WeeklyPlanned(Output_0401[[#Headers],[WP_A2]], Output_0401[[#This Row],[Date]])</f>
        <v>272.72727272727275</v>
      </c>
      <c r="AJ27" s="51"/>
      <c r="AK27" s="51" t="str">
        <f ca="1">WeeklyPlanned(Output_0401[[#Headers],[WP_A3]], Output_0401[[#This Row],[Date]])</f>
        <v/>
      </c>
      <c r="AL27" s="51"/>
    </row>
    <row r="28" spans="2:38" ht="15.5" x14ac:dyDescent="0.35">
      <c r="B28" s="30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43"/>
      <c r="AA28" s="47">
        <f t="shared" si="0"/>
        <v>44006</v>
      </c>
      <c r="AB28" s="49" t="str">
        <f t="shared" ca="1" si="1"/>
        <v>A2</v>
      </c>
      <c r="AC28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8" s="51">
        <f>IF(AND(ISBLANK(Output_0401[[#This Row],[WA_A1]]),ISBLANK(Output_0401[[#This Row],[WA_A2]]),ISBLANK(Output_0401[[#This Row],[WA_A3]])),"", Output_0401[[#This Row],[WA_A1]]+Output_0401[[#This Row],[WA_A2]]+Output_0401[[#This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WeeklyPlanned(Output_0401[[#Headers],[WP_A1]], Output_0401[[#This Row],[Date]])</f>
        <v/>
      </c>
      <c r="AH28" s="51">
        <v>0</v>
      </c>
      <c r="AI28" s="51">
        <f ca="1">WeeklyPlanned(Output_0401[[#Headers],[WP_A2]], Output_0401[[#This Row],[Date]])</f>
        <v>272.72727272727275</v>
      </c>
      <c r="AJ28" s="51"/>
      <c r="AK28" s="51" t="str">
        <f ca="1">WeeklyPlanned(Output_0401[[#Headers],[WP_A3]], Output_0401[[#This Row],[Date]])</f>
        <v/>
      </c>
      <c r="AL28" s="51"/>
    </row>
    <row r="29" spans="2:38" ht="15.5" x14ac:dyDescent="0.35">
      <c r="B29" s="30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43"/>
      <c r="AA29" s="47">
        <f t="shared" si="0"/>
        <v>44013</v>
      </c>
      <c r="AB29" s="49" t="str">
        <f t="shared" ca="1" si="1"/>
        <v>A2</v>
      </c>
      <c r="AC29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29" s="51">
        <f>IF(AND(ISBLANK(Output_0401[[#This Row],[WA_A1]]),ISBLANK(Output_0401[[#This Row],[WA_A2]]),ISBLANK(Output_0401[[#This Row],[WA_A3]])),"", Output_0401[[#This Row],[WA_A1]]+Output_0401[[#This Row],[WA_A2]]+Output_0401[[#This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WeeklyPlanned(Output_0401[[#Headers],[WP_A1]], Output_0401[[#This Row],[Date]])</f>
        <v/>
      </c>
      <c r="AH29" s="51">
        <v>0</v>
      </c>
      <c r="AI29" s="51">
        <f ca="1">WeeklyPlanned(Output_0401[[#Headers],[WP_A2]], Output_0401[[#This Row],[Date]])</f>
        <v>272.72727272727275</v>
      </c>
      <c r="AJ29" s="51">
        <v>50</v>
      </c>
      <c r="AK29" s="51" t="str">
        <f ca="1">WeeklyPlanned(Output_0401[[#Headers],[WP_A3]], Output_0401[[#This Row],[Date]])</f>
        <v/>
      </c>
      <c r="AL29" s="51">
        <v>0</v>
      </c>
    </row>
    <row r="30" spans="2:38" ht="15.5" x14ac:dyDescent="0.35">
      <c r="B30" s="30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43"/>
      <c r="AA30" s="47">
        <f t="shared" si="0"/>
        <v>44020</v>
      </c>
      <c r="AB30" s="49" t="str">
        <f t="shared" ca="1" si="1"/>
        <v>A2</v>
      </c>
      <c r="AC30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30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WeeklyPlanned(Output_0401[[#Headers],[WP_A1]], Output_0401[[#This Row],[Date]])</f>
        <v/>
      </c>
      <c r="AH30" s="51"/>
      <c r="AI30" s="51">
        <f ca="1">WeeklyPlanned(Output_0401[[#Headers],[WP_A2]], Output_0401[[#This Row],[Date]])</f>
        <v>272.72727272727275</v>
      </c>
      <c r="AJ30" s="51"/>
      <c r="AK30" s="51" t="str">
        <f ca="1">WeeklyPlanned(Output_0401[[#Headers],[WP_A3]], Output_0401[[#This Row],[Date]])</f>
        <v/>
      </c>
      <c r="AL30" s="51"/>
    </row>
    <row r="31" spans="2:38" ht="15.5" x14ac:dyDescent="0.35">
      <c r="B31" s="30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43"/>
      <c r="AA31" s="47">
        <f t="shared" si="0"/>
        <v>44027</v>
      </c>
      <c r="AB31" s="49" t="str">
        <f t="shared" ca="1" si="1"/>
        <v>A2</v>
      </c>
      <c r="AC31" s="51">
        <f ca="1">IF(Output_0401[[#This Row],[WP_A1]]="", 0, Output_0401[[#This Row],[WP_A1]])+IF(Output_0401[[#This Row],[WP_A2]]="", 0, Output_0401[[#This Row],[WP_A2]])+IF(Output_0401[[#This Row],[WP_A3]]="", 0, Output_0401[[#This Row],[WP_A3]])</f>
        <v>272.72727272727275</v>
      </c>
      <c r="AD31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WeeklyPlanned(Output_0401[[#Headers],[WP_A1]], Output_0401[[#This Row],[Date]])</f>
        <v/>
      </c>
      <c r="AH31" s="51"/>
      <c r="AI31" s="51">
        <f ca="1">WeeklyPlanned(Output_0401[[#Headers],[WP_A2]], Output_0401[[#This Row],[Date]])</f>
        <v>272.72727272727275</v>
      </c>
      <c r="AJ31" s="51"/>
      <c r="AK31" s="51" t="str">
        <f ca="1">WeeklyPlanned(Output_0401[[#Headers],[WP_A3]], Output_0401[[#This Row],[Date]])</f>
        <v/>
      </c>
      <c r="AL31" s="51"/>
    </row>
    <row r="32" spans="2:38" ht="15.5" x14ac:dyDescent="0.35">
      <c r="B32" s="30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43"/>
      <c r="AA32" s="47">
        <f t="shared" si="0"/>
        <v>44034</v>
      </c>
      <c r="AB32" s="49" t="str">
        <f t="shared" ca="1" si="1"/>
        <v>A2, A3</v>
      </c>
      <c r="AC32" s="51">
        <f ca="1">IF(Output_0401[[#This Row],[WP_A1]]="", 0, Output_0401[[#This Row],[WP_A1]])+IF(Output_0401[[#This Row],[WP_A2]]="", 0, Output_0401[[#This Row],[WP_A2]])+IF(Output_0401[[#This Row],[WP_A3]]="", 0, Output_0401[[#This Row],[WP_A3]])</f>
        <v>535.88516746411483</v>
      </c>
      <c r="AD32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WeeklyPlanned(Output_0401[[#Headers],[WP_A1]], Output_0401[[#This Row],[Date]])</f>
        <v/>
      </c>
      <c r="AH32" s="51"/>
      <c r="AI32" s="51">
        <f ca="1">WeeklyPlanned(Output_0401[[#Headers],[WP_A2]], Output_0401[[#This Row],[Date]])</f>
        <v>272.72727272727275</v>
      </c>
      <c r="AJ32" s="51"/>
      <c r="AK32" s="51">
        <f ca="1">WeeklyPlanned(Output_0401[[#Headers],[WP_A3]], Output_0401[[#This Row],[Date]])</f>
        <v>263.15789473684208</v>
      </c>
      <c r="AL32" s="51"/>
    </row>
    <row r="33" spans="2:38" ht="15.5" x14ac:dyDescent="0.35">
      <c r="B33" s="30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43"/>
      <c r="AA33" s="47">
        <f t="shared" si="0"/>
        <v>44041</v>
      </c>
      <c r="AB33" s="49" t="str">
        <f t="shared" ca="1" si="1"/>
        <v>A2, A3</v>
      </c>
      <c r="AC33" s="51">
        <f ca="1">IF(Output_0401[[#This Row],[WP_A1]]="", 0, Output_0401[[#This Row],[WP_A1]])+IF(Output_0401[[#This Row],[WP_A2]]="", 0, Output_0401[[#This Row],[WP_A2]])+IF(Output_0401[[#This Row],[WP_A3]]="", 0, Output_0401[[#This Row],[WP_A3]])</f>
        <v>535.88516746411483</v>
      </c>
      <c r="AD33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WeeklyPlanned(Output_0401[[#Headers],[WP_A1]], Output_0401[[#This Row],[Date]])</f>
        <v/>
      </c>
      <c r="AH33" s="51"/>
      <c r="AI33" s="51">
        <f ca="1">WeeklyPlanned(Output_0401[[#Headers],[WP_A2]], Output_0401[[#This Row],[Date]])</f>
        <v>272.72727272727275</v>
      </c>
      <c r="AJ33" s="51"/>
      <c r="AK33" s="51">
        <f ca="1">WeeklyPlanned(Output_0401[[#Headers],[WP_A3]], Output_0401[[#This Row],[Date]])</f>
        <v>263.15789473684208</v>
      </c>
      <c r="AL33" s="51"/>
    </row>
    <row r="34" spans="2:38" ht="15.5" x14ac:dyDescent="0.35">
      <c r="B34" s="30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43"/>
      <c r="AA34" s="47">
        <f t="shared" si="0"/>
        <v>44048</v>
      </c>
      <c r="AB34" s="49" t="str">
        <f t="shared" ca="1" si="1"/>
        <v>A2, A3</v>
      </c>
      <c r="AC34" s="51">
        <f ca="1">IF(Output_0401[[#This Row],[WP_A1]]="", 0, Output_0401[[#This Row],[WP_A1]])+IF(Output_0401[[#This Row],[WP_A2]]="", 0, Output_0401[[#This Row],[WP_A2]])+IF(Output_0401[[#This Row],[WP_A3]]="", 0, Output_0401[[#This Row],[WP_A3]])</f>
        <v>426.79425837320571</v>
      </c>
      <c r="AD34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WeeklyPlanned(Output_0401[[#Headers],[WP_A1]], Output_0401[[#This Row],[Date]])</f>
        <v/>
      </c>
      <c r="AH34" s="51"/>
      <c r="AI34" s="51">
        <f ca="1">WeeklyPlanned(Output_0401[[#Headers],[WP_A2]], Output_0401[[#This Row],[Date]])</f>
        <v>163.63636363636363</v>
      </c>
      <c r="AJ34" s="51"/>
      <c r="AK34" s="51">
        <f ca="1">WeeklyPlanned(Output_0401[[#Headers],[WP_A3]], Output_0401[[#This Row],[Date]])</f>
        <v>263.15789473684208</v>
      </c>
      <c r="AL34" s="51"/>
    </row>
    <row r="35" spans="2:38" ht="15.5" x14ac:dyDescent="0.35">
      <c r="B35" s="30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43"/>
      <c r="AA35" s="47">
        <f t="shared" si="0"/>
        <v>44055</v>
      </c>
      <c r="AB35" s="49" t="str">
        <f t="shared" ca="1" si="1"/>
        <v>A3</v>
      </c>
      <c r="AC35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5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WeeklyPlanned(Output_0401[[#Headers],[WP_A1]], Output_0401[[#This Row],[Date]])</f>
        <v/>
      </c>
      <c r="AH35" s="51"/>
      <c r="AI35" s="51" t="str">
        <f ca="1">WeeklyPlanned(Output_0401[[#Headers],[WP_A2]], Output_0401[[#This Row],[Date]])</f>
        <v/>
      </c>
      <c r="AJ35" s="51"/>
      <c r="AK35" s="51">
        <f ca="1">WeeklyPlanned(Output_0401[[#Headers],[WP_A3]], Output_0401[[#This Row],[Date]])</f>
        <v>263.15789473684208</v>
      </c>
      <c r="AL35" s="51"/>
    </row>
    <row r="36" spans="2:38" ht="15.5" x14ac:dyDescent="0.35">
      <c r="B36" s="30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43"/>
      <c r="AA36" s="47">
        <f t="shared" si="0"/>
        <v>44062</v>
      </c>
      <c r="AB36" s="49" t="str">
        <f t="shared" ca="1" si="1"/>
        <v>A3</v>
      </c>
      <c r="AC36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6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WeeklyPlanned(Output_0401[[#Headers],[WP_A1]], Output_0401[[#This Row],[Date]])</f>
        <v/>
      </c>
      <c r="AH36" s="51"/>
      <c r="AI36" s="51" t="str">
        <f ca="1">WeeklyPlanned(Output_0401[[#Headers],[WP_A2]], Output_0401[[#This Row],[Date]])</f>
        <v/>
      </c>
      <c r="AJ36" s="51"/>
      <c r="AK36" s="51">
        <f ca="1">WeeklyPlanned(Output_0401[[#Headers],[WP_A3]], Output_0401[[#This Row],[Date]])</f>
        <v>263.15789473684208</v>
      </c>
      <c r="AL36" s="51"/>
    </row>
    <row r="37" spans="2:38" ht="15.5" x14ac:dyDescent="0.35">
      <c r="B37" s="30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43"/>
      <c r="AA37" s="47">
        <f t="shared" si="0"/>
        <v>44069</v>
      </c>
      <c r="AB37" s="49" t="str">
        <f t="shared" ca="1" si="1"/>
        <v>A3</v>
      </c>
      <c r="AC37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7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WeeklyPlanned(Output_0401[[#Headers],[WP_A1]], Output_0401[[#This Row],[Date]])</f>
        <v/>
      </c>
      <c r="AH37" s="51"/>
      <c r="AI37" s="51" t="str">
        <f ca="1">WeeklyPlanned(Output_0401[[#Headers],[WP_A2]], Output_0401[[#This Row],[Date]])</f>
        <v/>
      </c>
      <c r="AJ37" s="51"/>
      <c r="AK37" s="51">
        <f ca="1">WeeklyPlanned(Output_0401[[#Headers],[WP_A3]], Output_0401[[#This Row],[Date]])</f>
        <v>263.15789473684208</v>
      </c>
      <c r="AL37" s="51"/>
    </row>
    <row r="38" spans="2:38" ht="15.5" x14ac:dyDescent="0.35">
      <c r="B38" s="30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43"/>
      <c r="AA38" s="47">
        <f t="shared" si="0"/>
        <v>44076</v>
      </c>
      <c r="AB38" s="49" t="str">
        <f t="shared" ca="1" si="1"/>
        <v>A3</v>
      </c>
      <c r="AC38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8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WeeklyPlanned(Output_0401[[#Headers],[WP_A1]], Output_0401[[#This Row],[Date]])</f>
        <v/>
      </c>
      <c r="AH38" s="51"/>
      <c r="AI38" s="51" t="str">
        <f ca="1">WeeklyPlanned(Output_0401[[#Headers],[WP_A2]], Output_0401[[#This Row],[Date]])</f>
        <v/>
      </c>
      <c r="AJ38" s="51"/>
      <c r="AK38" s="51">
        <f ca="1">WeeklyPlanned(Output_0401[[#Headers],[WP_A3]], Output_0401[[#This Row],[Date]])</f>
        <v>263.15789473684208</v>
      </c>
      <c r="AL38" s="51"/>
    </row>
    <row r="39" spans="2:38" ht="15.5" x14ac:dyDescent="0.35">
      <c r="B39" s="30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43"/>
      <c r="AA39" s="47">
        <f t="shared" si="0"/>
        <v>44083</v>
      </c>
      <c r="AB39" s="49" t="str">
        <f t="shared" ca="1" si="1"/>
        <v>A3</v>
      </c>
      <c r="AC39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39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WeeklyPlanned(Output_0401[[#Headers],[WP_A1]], Output_0401[[#This Row],[Date]])</f>
        <v/>
      </c>
      <c r="AH39" s="51"/>
      <c r="AI39" s="51" t="str">
        <f ca="1">WeeklyPlanned(Output_0401[[#Headers],[WP_A2]], Output_0401[[#This Row],[Date]])</f>
        <v/>
      </c>
      <c r="AJ39" s="51"/>
      <c r="AK39" s="51">
        <f ca="1">WeeklyPlanned(Output_0401[[#Headers],[WP_A3]], Output_0401[[#This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0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WeeklyPlanned(Output_0401[[#Headers],[WP_A1]], Output_0401[[#This Row],[Date]])</f>
        <v/>
      </c>
      <c r="AH40" s="51"/>
      <c r="AI40" s="51" t="str">
        <f ca="1">WeeklyPlanned(Output_0401[[#Headers],[WP_A2]], Output_0401[[#This Row],[Date]])</f>
        <v/>
      </c>
      <c r="AJ40" s="51"/>
      <c r="AK40" s="51">
        <f ca="1">WeeklyPlanned(Output_0401[[#Headers],[WP_A3]], Output_0401[[#This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1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WeeklyPlanned(Output_0401[[#Headers],[WP_A1]], Output_0401[[#This Row],[Date]])</f>
        <v/>
      </c>
      <c r="AH41" s="51"/>
      <c r="AI41" s="51" t="str">
        <f ca="1">WeeklyPlanned(Output_0401[[#Headers],[WP_A2]], Output_0401[[#This Row],[Date]])</f>
        <v/>
      </c>
      <c r="AJ41" s="51"/>
      <c r="AK41" s="51">
        <f ca="1">WeeklyPlanned(Output_0401[[#Headers],[WP_A3]], Output_0401[[#This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IF(Output_0401[[#This Row],[WP_A1]]="", 0, Output_0401[[#This Row],[WP_A1]])+IF(Output_0401[[#This Row],[WP_A2]]="", 0, Output_0401[[#This Row],[WP_A2]])+IF(Output_0401[[#This Row],[WP_A3]]="", 0, Output_0401[[#This Row],[WP_A3]])</f>
        <v>263.15789473684208</v>
      </c>
      <c r="AD42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WeeklyPlanned(Output_0401[[#Headers],[WP_A1]], Output_0401[[#This Row],[Date]])</f>
        <v/>
      </c>
      <c r="AH42" s="51"/>
      <c r="AI42" s="51" t="str">
        <f ca="1">WeeklyPlanned(Output_0401[[#Headers],[WP_A2]], Output_0401[[#This Row],[Date]])</f>
        <v/>
      </c>
      <c r="AJ42" s="51"/>
      <c r="AK42" s="51">
        <f ca="1">WeeklyPlanned(Output_0401[[#Headers],[WP_A3]], Output_0401[[#This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IF(Output_0401[[#This Row],[WP_A1]]="", 0, Output_0401[[#This Row],[WP_A1]])+IF(Output_0401[[#This Row],[WP_A2]]="", 0, Output_0401[[#This Row],[WP_A2]])+IF(Output_0401[[#This Row],[WP_A3]]="", 0, Output_0401[[#This Row],[WP_A3]])</f>
        <v>105.26315789473684</v>
      </c>
      <c r="AD43" s="51" t="str">
        <f>IF(AND(ISBLANK(Output_0401[[#This Row],[WA_A1]]),ISBLANK(Output_0401[[#This Row],[WA_A2]]),ISBLANK(Output_0401[[#This Row],[WA_A3]])),"", Output_0401[[#This Row],[WA_A1]]+Output_0401[[#This Row],[WA_A2]]+Output_0401[[#This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WeeklyPlanned(Output_0401[[#Headers],[WP_A1]], Output_0401[[#This Row],[Date]])</f>
        <v/>
      </c>
      <c r="AH43" s="51"/>
      <c r="AI43" s="51" t="str">
        <f ca="1">WeeklyPlanned(Output_0401[[#Headers],[WP_A2]], Output_0401[[#This Row],[Date]])</f>
        <v/>
      </c>
      <c r="AJ43" s="51"/>
      <c r="AK43" s="51">
        <f ca="1">WeeklyPlanned(Output_0401[[#Headers],[WP_A3]], Output_0401[[#This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C6:I6"/>
    <mergeCell ref="J6:M6"/>
    <mergeCell ref="C7:I7"/>
    <mergeCell ref="J7:M7"/>
    <mergeCell ref="J8:M8"/>
    <mergeCell ref="J9:M9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2F5B2D26-ADF7-4DEA-8F52-C1622824FB4F}">
      <formula1>"TRUE, FALSE"</formula1>
    </dataValidation>
    <dataValidation type="list" showInputMessage="1" showErrorMessage="1" sqref="S8" xr:uid="{D74F718E-5035-4AAD-8346-455C7D83BD50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0401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'0401'!Print_Area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2020-07-31T15:53:39Z</dcterms:modified>
</cp:coreProperties>
</file>